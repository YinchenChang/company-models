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TK_In" sheetId="3" state="visible" r:id="rId5"/>
    <sheet name="SIL_In" sheetId="4" state="visible" r:id="rId6"/>
    <sheet name="Players" sheetId="5" state="visible" r:id="rId7"/>
    <sheet name="Matrix" sheetId="6" state="visible" r:id="rId8"/>
    <sheet name="Pipeline" sheetId="7" state="visible" r:id="rId9"/>
    <sheet name="CapexGW" sheetId="8" state="visible" r:id="rId10"/>
    <sheet name="Deploy" sheetId="9" state="visible" r:id="rId11"/>
    <sheet name="C0" sheetId="10" state="visible" r:id="rId12"/>
    <sheet name="C1" sheetId="11" state="visible" r:id="rId13"/>
    <sheet name="Compare" sheetId="12" state="visible" r:id="rId14"/>
    <sheet name="Funding" sheetId="13" state="visible" r:id="rId15"/>
    <sheet name="FundRaw" sheetId="14" state="visible" r:id="rId16"/>
    <sheet name="Facility" sheetId="15" state="visible" r:id="rId17"/>
    <sheet name="SegIn" sheetId="16" state="visible" r:id="rId18"/>
    <sheet name="Spend" sheetId="17" state="visible" r:id="rId19"/>
    <sheet name="Interface" sheetId="18" state="visible" r:id="rId20"/>
    <sheet name="Checks" sheetId="19" state="visible" r:id="rId21"/>
    <sheet name="Decisions" sheetId="20" state="visible" r:id="rId22"/>
    <sheet name="DB_Evidence" sheetId="21" state="visible" r:id="rId23"/>
    <sheet name="Sources" sheetId="22" state="visible" r:id="rId24"/>
    <sheet name="Requests" sheetId="23" state="visible" r:id="rId25"/>
  </sheets>
  <definedNames>
    <definedName function="false" hidden="false" name="ai_amzn" vbProcedure="false">In!$I$14</definedName>
    <definedName function="false" hidden="false" name="ai_amzn_hi" vbProcedure="false">In!$J$14</definedName>
    <definedName function="false" hidden="false" name="ai_amzn_lo" vbProcedure="false">In!$H$14</definedName>
    <definedName function="false" hidden="false" name="ai_sh" vbProcedure="false">In!$I$13</definedName>
    <definedName function="false" hidden="false" name="ai_sh_hi" vbProcedure="false">In!$J$13</definedName>
    <definedName function="false" hidden="false" name="ai_sh_lo" vbProcedure="false">In!$H$13</definedName>
    <definedName function="false" hidden="false" name="asof" vbProcedure="false">In!$I$8</definedName>
    <definedName function="false" hidden="false" name="btm_plan" vbProcedure="false">In!$I$81</definedName>
    <definedName function="false" hidden="false" name="btm_plan_hi" vbProcedure="false">In!$J$81</definedName>
    <definedName function="false" hidden="false" name="btm_plan_lo" vbProcedure="false">In!$H$81</definedName>
    <definedName function="false" hidden="false" name="btm_run" vbProcedure="false">In!$I$82</definedName>
    <definedName function="false" hidden="false" name="btm_run_hi" vbProcedure="false">In!$J$82</definedName>
    <definedName function="false" hidden="false" name="btm_run_lo" vbProcedure="false">In!$H$82</definedName>
    <definedName function="false" hidden="false" name="cap_g_ext" vbProcedure="false">In!$I$15</definedName>
    <definedName function="false" hidden="false" name="cap_g_ext_hi" vbProcedure="false">In!$J$15</definedName>
    <definedName function="false" hidden="false" name="cap_g_ext_lo" vbProcedure="false">In!$H$15</definedName>
    <definedName function="false" hidden="false" name="cn_sh26" vbProcedure="false">In!$I$19</definedName>
    <definedName function="false" hidden="false" name="cn_sh26_hi" vbProcedure="false">In!$J$19</definedName>
    <definedName function="false" hidden="false" name="cn_sh26_lo" vbProcedure="false">In!$H$19</definedName>
    <definedName function="false" hidden="false" name="cn_sh30" vbProcedure="false">In!$I$20</definedName>
    <definedName function="false" hidden="false" name="cn_sh30_hi" vbProcedure="false">In!$J$20</definedName>
    <definedName function="false" hidden="false" name="cn_sh30_lo" vbProcedure="false">In!$H$20</definedName>
    <definedName function="false" hidden="false" name="cn_tot26" vbProcedure="false">In!$I$17</definedName>
    <definedName function="false" hidden="false" name="cn_tot26_hi" vbProcedure="false">In!$J$17</definedName>
    <definedName function="false" hidden="false" name="cn_tot26_lo" vbProcedure="false">In!$H$17</definedName>
    <definedName function="false" hidden="false" name="cn_tot30" vbProcedure="false">In!$I$18</definedName>
    <definedName function="false" hidden="false" name="cn_tot30_hi" vbProcedure="false">In!$J$18</definedName>
    <definedName function="false" hidden="false" name="cn_tot30_lo" vbProcedure="false">In!$H$18</definedName>
    <definedName function="false" hidden="false" name="ctr_amzn_ant" vbProcedure="false">In!$I$56</definedName>
    <definedName function="false" hidden="false" name="ctr_crwv" vbProcedure="false">In!$I$53</definedName>
    <definedName function="false" hidden="false" name="ctr_googl_ant" vbProcedure="false">In!$I$58</definedName>
    <definedName function="false" hidden="false" name="ctr_msft_ant" vbProcedure="false">In!$I$57</definedName>
    <definedName function="false" hidden="false" name="ctr_nbis" vbProcedure="false">In!$I$54</definedName>
    <definedName function="false" hidden="false" name="ctr_oai_90d" vbProcedure="false">In!$I$52</definedName>
    <definedName function="false" hidden="false" name="ctr_orcl_oai" vbProcedure="false">In!$I$55</definedName>
    <definedName function="false" hidden="false" name="dly_d1_m" vbProcedure="false">In!$I$23</definedName>
    <definedName function="false" hidden="false" name="dly_d1_m_hi" vbProcedure="false">In!$J$23</definedName>
    <definedName function="false" hidden="false" name="dly_d1_m_lo" vbProcedure="false">In!$H$23</definedName>
    <definedName function="false" hidden="false" name="dly_d1_s" vbProcedure="false">In!$I$22</definedName>
    <definedName function="false" hidden="false" name="dly_d1_s_hi" vbProcedure="false">In!$J$22</definedName>
    <definedName function="false" hidden="false" name="dly_d1_s_lo" vbProcedure="false">In!$H$22</definedName>
    <definedName function="false" hidden="false" name="dly_d2_bind" vbProcedure="false">In!$I$24</definedName>
    <definedName function="false" hidden="false" name="dly_d2_bind_hi" vbProcedure="false">In!$J$24</definedName>
    <definedName function="false" hidden="false" name="dly_d2_bind_lo" vbProcedure="false">In!$H$24</definedName>
    <definedName function="false" hidden="false" name="dly_d2_m" vbProcedure="false">In!$I$25</definedName>
    <definedName function="false" hidden="false" name="dly_d2_m_hi" vbProcedure="false">In!$J$25</definedName>
    <definedName function="false" hidden="false" name="dly_d2_m_lo" vbProcedure="false">In!$H$25</definedName>
    <definedName function="false" hidden="false" name="dly_d2_y0" vbProcedure="false">In!$I$26</definedName>
    <definedName function="false" hidden="false" name="dly_d2_y1" vbProcedure="false">In!$I$27</definedName>
    <definedName function="false" hidden="false" name="fac_bldg" vbProcedure="false">In!$I$70</definedName>
    <definedName function="false" hidden="false" name="fac_bldg_hi" vbProcedure="false">In!$J$70</definedName>
    <definedName function="false" hidden="false" name="fac_bldg_lo" vbProcedure="false">In!$H$70</definedName>
    <definedName function="false" hidden="false" name="fac_cool" vbProcedure="false">In!$I$69</definedName>
    <definedName function="false" hidden="false" name="fac_cool_hi" vbProcedure="false">In!$J$69</definedName>
    <definedName function="false" hidden="false" name="fac_cool_lo" vbProcedure="false">In!$H$69</definedName>
    <definedName function="false" hidden="false" name="fac_dist" vbProcedure="false">In!$I$65</definedName>
    <definedName function="false" hidden="false" name="fac_dist_hi" vbProcedure="false">In!$J$65</definedName>
    <definedName function="false" hidden="false" name="fac_dist_lo" vbProcedure="false">In!$H$65</definedName>
    <definedName function="false" hidden="false" name="fac_gen_mult" vbProcedure="false">In!$I$66</definedName>
    <definedName function="false" hidden="false" name="fac_gen_mult_hi" vbProcedure="false">In!$J$66</definedName>
    <definedName function="false" hidden="false" name="fac_gen_mult_lo" vbProcedure="false">In!$H$66</definedName>
    <definedName function="false" hidden="false" name="fac_gen_px" vbProcedure="false">In!$I$67</definedName>
    <definedName function="false" hidden="false" name="fac_gen_px0" vbProcedure="false">In!$I$75</definedName>
    <definedName function="false" hidden="false" name="fac_gen_px0_hi" vbProcedure="false">In!$J$75</definedName>
    <definedName function="false" hidden="false" name="fac_gen_px0_lo" vbProcedure="false">In!$H$75</definedName>
    <definedName function="false" hidden="false" name="fac_gen_px_hi" vbProcedure="false">In!$J$67</definedName>
    <definedName function="false" hidden="false" name="fac_gen_px_lo" vbProcedure="false">In!$H$67</definedName>
    <definedName function="false" hidden="false" name="fac_labor" vbProcedure="false">In!$I$71</definedName>
    <definedName function="false" hidden="false" name="fac_labor_hi" vbProcedure="false">In!$J$71</definedName>
    <definedName function="false" hidden="false" name="fac_labor_lo" vbProcedure="false">In!$H$71</definedName>
    <definedName function="false" hidden="false" name="fac_land" vbProcedure="false">In!$I$74</definedName>
    <definedName function="false" hidden="false" name="fac_land_hi" vbProcedure="false">In!$J$74</definedName>
    <definedName function="false" hidden="false" name="fac_land_lo" vbProcedure="false">In!$H$74</definedName>
    <definedName function="false" hidden="false" name="fac_net" vbProcedure="false">In!$I$73</definedName>
    <definedName function="false" hidden="false" name="fac_net_hi" vbProcedure="false">In!$J$73</definedName>
    <definedName function="false" hidden="false" name="fac_net_lo" vbProcedure="false">In!$H$73</definedName>
    <definedName function="false" hidden="false" name="fac_prof0" vbProcedure="false">In!$I$72</definedName>
    <definedName function="false" hidden="false" name="fac_prof0_hi" vbProcedure="false">In!$J$72</definedName>
    <definedName function="false" hidden="false" name="fac_prof0_lo" vbProcedure="false">In!$H$72</definedName>
    <definedName function="false" hidden="false" name="fac_ups" vbProcedure="false">In!$I$68</definedName>
    <definedName function="false" hidden="false" name="fac_ups_hi" vbProcedure="false">In!$J$68</definedName>
    <definedName function="false" hidden="false" name="fac_ups_lo" vbProcedure="false">In!$H$68</definedName>
    <definedName function="false" hidden="false" name="fye_amzn" vbProcedure="false">In!$I$94</definedName>
    <definedName function="false" hidden="false" name="fye_crwv" vbProcedure="false">In!$I$96</definedName>
    <definedName function="false" hidden="false" name="fye_googl" vbProcedure="false">In!$I$93</definedName>
    <definedName function="false" hidden="false" name="fye_meta" vbProcedure="false">In!$I$99</definedName>
    <definedName function="false" hidden="false" name="fye_msft" vbProcedure="false">In!$I$92</definedName>
    <definedName function="false" hidden="false" name="fye_nbis" vbProcedure="false">In!$I$97</definedName>
    <definedName function="false" hidden="false" name="fye_orcl" vbProcedure="false">In!$I$95</definedName>
    <definedName function="false" hidden="false" name="fye_wyfi" vbProcedure="false">In!$I$98</definedName>
    <definedName function="false" hidden="false" name="g_ITtoFac" vbProcedure="false">In!$I$6</definedName>
    <definedName function="false" hidden="false" name="g_lt" vbProcedure="false">In!$I$11</definedName>
    <definedName function="false" hidden="false" name="g_lt_hi" vbProcedure="false">In!$J$11</definedName>
    <definedName function="false" hidden="false" name="g_lt_lo" vbProcedure="false">In!$H$11</definedName>
    <definedName function="false" hidden="false" name="k_chip2it" vbProcedure="false">In!$I$7</definedName>
    <definedName function="false" hidden="false" name="k_chip2it_hi" vbProcedure="false">In!$J$7</definedName>
    <definedName function="false" hidden="false" name="k_chip2it_lo" vbProcedure="false">In!$H$7</definedName>
    <definedName function="false" hidden="false" name="lag_bldg" vbProcedure="false">In!$I$10</definedName>
    <definedName function="false" hidden="false" name="lag_bldg_hi" vbProcedure="false">In!$J$10</definedName>
    <definedName function="false" hidden="false" name="lag_bldg_lo" vbProcedure="false">In!$H$10</definedName>
    <definedName function="false" hidden="false" name="lease_nc_amzn" vbProcedure="false">In!$I$63</definedName>
    <definedName function="false" hidden="false" name="lease_nc_googl" vbProcedure="false">In!$I$62</definedName>
    <definedName function="false" hidden="false" name="lease_nc_msft" vbProcedure="false">In!$I$61</definedName>
    <definedName function="false" hidden="false" name="msft_guardian" vbProcedure="false">In!$I$44</definedName>
    <definedName function="false" hidden="false" name="msft_guardian_hi" vbProcedure="false">In!$J$44</definedName>
    <definedName function="false" hidden="false" name="msft_guardian_lo" vbProcedure="false">In!$H$44</definedName>
    <definedName function="false" hidden="false" name="nnv_amzn" vbProcedure="false">In!$I$86</definedName>
    <definedName function="false" hidden="false" name="nnv_crwv" vbProcedure="false">In!$I$87</definedName>
    <definedName function="false" hidden="false" name="nnv_googl" vbProcedure="false">In!$I$85</definedName>
    <definedName function="false" hidden="false" name="nnv_nbis" vbProcedure="false">In!$I$88</definedName>
    <definedName function="false" hidden="false" name="nnv_wyfi" vbProcedure="false">In!$I$89</definedName>
    <definedName function="false" hidden="false" name="nnv_xai" vbProcedure="false">In!$I$90</definedName>
    <definedName function="false" hidden="false" name="obschip_googl" vbProcedure="false">In!$I$31</definedName>
    <definedName function="false" hidden="false" name="obsd_amzn" vbProcedure="false">In!$I$34</definedName>
    <definedName function="false" hidden="false" name="obsd_crwv" vbProcedure="false">In!$I$38</definedName>
    <definedName function="false" hidden="false" name="obsd_googl" vbProcedure="false">In!$I$32</definedName>
    <definedName function="false" hidden="false" name="obsd_msft" vbProcedure="false">In!$I$30</definedName>
    <definedName function="false" hidden="false" name="obsd_orcl" vbProcedure="false">In!$I$36</definedName>
    <definedName function="false" hidden="false" name="obsd_xai" vbProcedure="false">In!$I$40</definedName>
    <definedName function="false" hidden="false" name="obs_amzn" vbProcedure="false">In!$I$33</definedName>
    <definedName function="false" hidden="false" name="obs_amzn_hi" vbProcedure="false">In!$J$33</definedName>
    <definedName function="false" hidden="false" name="obs_amzn_lo" vbProcedure="false">In!$H$33</definedName>
    <definedName function="false" hidden="false" name="obs_crwv" vbProcedure="false">In!$I$37</definedName>
    <definedName function="false" hidden="false" name="obs_msft" vbProcedure="false">In!$I$29</definedName>
    <definedName function="false" hidden="false" name="obs_msft_hi" vbProcedure="false">In!$J$29</definedName>
    <definedName function="false" hidden="false" name="obs_msft_lo" vbProcedure="false">In!$H$29</definedName>
    <definedName function="false" hidden="false" name="obs_orcl" vbProcedure="false">In!$I$35</definedName>
    <definedName function="false" hidden="false" name="obs_xai" vbProcedure="false">In!$I$39</definedName>
    <definedName function="false" hidden="false" name="other_incl_china" vbProcedure="false">In!$I$48</definedName>
    <definedName function="false" hidden="false" name="other_incl_china_hi" vbProcedure="false">In!$J$48</definedName>
    <definedName function="false" hidden="false" name="other_incl_china_lo" vbProcedure="false">In!$H$48</definedName>
    <definedName function="false" hidden="false" name="oth_excn" vbProcedure="false">In!$I$50</definedName>
    <definedName function="false" hidden="false" name="oth_excn_hi" vbProcedure="false">In!$J$50</definedName>
    <definedName function="false" hidden="false" name="oth_excn_lo" vbProcedure="false">In!$H$50</definedName>
    <definedName function="false" hidden="false" name="oth_full" vbProcedure="false">In!$I$49</definedName>
    <definedName function="false" hidden="false" name="oth_full_hi" vbProcedure="false">In!$J$49</definedName>
    <definedName function="false" hidden="false" name="oth_full_lo" vbProcedure="false">In!$H$49</definedName>
    <definedName function="false" hidden="false" name="ovr25_amzn" vbProcedure="false">In!$I$43</definedName>
    <definedName function="false" hidden="false" name="ovr25_amzn_hi" vbProcedure="false">In!$J$43</definedName>
    <definedName function="false" hidden="false" name="ovr25_amzn_lo" vbProcedure="false">In!$H$43</definedName>
    <definedName function="false" hidden="false" name="ovr25_googl" vbProcedure="false">In!$I$42</definedName>
    <definedName function="false" hidden="false" name="ovr25_googl_hi" vbProcedure="false">In!$J$42</definedName>
    <definedName function="false" hidden="false" name="ovr25_googl_lo" vbProcedure="false">In!$H$42</definedName>
    <definedName function="false" hidden="false" name="rng25_cn" vbProcedure="false">In!$I$46</definedName>
    <definedName function="false" hidden="false" name="rng25_cn_hi" vbProcedure="false">In!$J$46</definedName>
    <definedName function="false" hidden="false" name="rng25_cn_lo" vbProcedure="false">In!$H$46</definedName>
    <definedName function="false" hidden="false" name="rng25_neo" vbProcedure="false">In!$I$45</definedName>
    <definedName function="false" hidden="false" name="rng25_neo_hi" vbProcedure="false">In!$J$45</definedName>
    <definedName function="false" hidden="false" name="rng25_neo_lo" vbProcedure="false">In!$H$45</definedName>
    <definedName function="false" hidden="false" name="rng26_cn" vbProcedure="false">In!$I$47</definedName>
    <definedName function="false" hidden="false" name="rng26_cn_hi" vbProcedure="false">In!$J$47</definedName>
    <definedName function="false" hidden="false" name="rng26_cn_lo" vbProcedure="false">In!$H$47</definedName>
    <definedName function="false" hidden="false" name="SEG_compute" vbProcedure="false">SegIn!$C$4</definedName>
    <definedName function="false" hidden="false" name="SEG_foundry" vbProcedure="false">SegIn!$C$7</definedName>
    <definedName function="false" hidden="false" name="SEG_memory" vbProcedure="false">SegIn!$C$5</definedName>
    <definedName function="false" hidden="false" name="SEG_network" vbProcedure="false">SegIn!$C$6</definedName>
    <definedName function="false" hidden="false" name="SEG_power_thermal" vbProcedure="false">SegIn!$C$9</definedName>
    <definedName function="false" hidden="false" name="SEG_server" vbProcedure="false">SegIn!$C$10</definedName>
    <definedName function="false" hidden="false" name="SEG_storage" vbProcedure="false">SegIn!$C$11</definedName>
    <definedName function="false" hidden="false" name="SEG_substrate" vbProcedure="false">SegIn!$C$8</definedName>
    <definedName function="false" hidden="false" name="self_gw" vbProcedure="false">In!$I$77</definedName>
    <definedName function="false" hidden="false" name="self_gw_hi" vbProcedure="false">In!$J$77</definedName>
    <definedName function="false" hidden="false" name="self_gw_lo" vbProcedure="false">In!$H$77</definedName>
    <definedName function="false" hidden="false" name="self_px" vbProcedure="false">In!$I$78</definedName>
    <definedName function="false" hidden="false" name="self_px_hi" vbProcedure="false">In!$J$78</definedName>
    <definedName function="false" hidden="false" name="self_px_lo" vbProcedure="false">In!$H$78</definedName>
    <definedName function="false" hidden="false" name="self_sh" vbProcedure="false">In!$I$79</definedName>
    <definedName function="false" hidden="false" name="self_sh_hi" vbProcedure="false">In!$J$79</definedName>
    <definedName function="false" hidden="false" name="self_sh_lo" vbProcedure="false">In!$H$79</definedName>
    <definedName function="false" hidden="false" name="SIL_it_AMD8" vbProcedure="false">SIL_In!$D$12</definedName>
    <definedName function="false" hidden="false" name="SIL_it_AMDR" vbProcedure="false">SIL_In!$D$13</definedName>
    <definedName function="false" hidden="false" name="SIL_it_ASIC" vbProcedure="false">SIL_In!$D$16</definedName>
    <definedName function="false" hidden="false" name="SIL_it_GB" vbProcedure="false">SIL_In!$D$8</definedName>
    <definedName function="false" hidden="false" name="SIL_it_HP" vbProcedure="false">SIL_In!$D$11</definedName>
    <definedName function="false" hidden="false" name="SIL_it_RU" vbProcedure="false">SIL_In!$D$10</definedName>
    <definedName function="false" hidden="false" name="SIL_it_TPU" vbProcedure="false">SIL_In!$D$14</definedName>
    <definedName function="false" hidden="false" name="SIL_it_TRN" vbProcedure="false">SIL_In!$D$15</definedName>
    <definedName function="false" hidden="false" name="SIL_it_VR" vbProcedure="false">SIL_In!$D$9</definedName>
    <definedName function="false" hidden="false" name="SIL_vr26" vbProcedure="false">SIL_In!$D$5</definedName>
    <definedName function="false" hidden="false" name="SIL_vr26_hi" vbProcedure="false">SIL_In!$D$7</definedName>
    <definedName function="false" hidden="false" name="SIL_vr26_lo" vbProcedure="false">SIL_In!$D$6</definedName>
    <definedName function="false" hidden="false" name="spend_nnv_hold" vbProcedure="false">In!$I$83</definedName>
    <definedName function="false" hidden="false" name="spend_nnv_hold_hi" vbProcedure="false">In!$J$83</definedName>
    <definedName function="false" hidden="false" name="spend_nnv_hold_lo" vbProcedure="false">In!$H$83</definedName>
    <definedName function="false" hidden="false" name="tgt_msft_32" vbProcedure="false">In!$I$60</definedName>
    <definedName function="false" hidden="false" name="tgt_xai_27" vbProcedure="false">In!$I$59</definedName>
    <definedName function="false" hidden="false" name="TK_CapexFacility_GB200" vbProcedure="false">TK_In!$E$21</definedName>
    <definedName function="false" hidden="false" name="TK_CapexFacility_GB200_hi" vbProcedure="false">TK_In!$F$21</definedName>
    <definedName function="false" hidden="false" name="TK_CapexFacility_GB200_lo" vbProcedure="false">TK_In!$D$21</definedName>
    <definedName function="false" hidden="false" name="TK_CapexFacility_GB300" vbProcedure="false">TK_In!$E$22</definedName>
    <definedName function="false" hidden="false" name="TK_CapexFacility_GB300_hi" vbProcedure="false">TK_In!$F$22</definedName>
    <definedName function="false" hidden="false" name="TK_CapexFacility_GB300_lo" vbProcedure="false">TK_In!$D$22</definedName>
    <definedName function="false" hidden="false" name="TK_CapexFacility_H100" vbProcedure="false">TK_In!$E$20</definedName>
    <definedName function="false" hidden="false" name="TK_CapexFacility_H100_hi" vbProcedure="false">TK_In!$F$20</definedName>
    <definedName function="false" hidden="false" name="TK_CapexFacility_H100_lo" vbProcedure="false">TK_In!$D$20</definedName>
    <definedName function="false" hidden="false" name="TK_CapexFacility_RU" vbProcedure="false">TK_In!$E$24</definedName>
    <definedName function="false" hidden="false" name="TK_CapexFacility_RU_hi" vbProcedure="false">TK_In!$F$24</definedName>
    <definedName function="false" hidden="false" name="TK_CapexFacility_RU_lo" vbProcedure="false">TK_In!$D$24</definedName>
    <definedName function="false" hidden="false" name="TK_CapexFacility_VR200" vbProcedure="false">TK_In!$E$23</definedName>
    <definedName function="false" hidden="false" name="TK_CapexFacility_VR200_hi" vbProcedure="false">TK_In!$F$23</definedName>
    <definedName function="false" hidden="false" name="TK_CapexFacility_VR200_lo" vbProcedure="false">TK_In!$D$23</definedName>
    <definedName function="false" hidden="false" name="TK_CapexIT_GB200" vbProcedure="false">TK_In!$E$16</definedName>
    <definedName function="false" hidden="false" name="TK_CapexIT_GB200_hi" vbProcedure="false">TK_In!$F$16</definedName>
    <definedName function="false" hidden="false" name="TK_CapexIT_GB200_lo" vbProcedure="false">TK_In!$D$16</definedName>
    <definedName function="false" hidden="false" name="TK_CapexIT_GB300" vbProcedure="false">TK_In!$E$17</definedName>
    <definedName function="false" hidden="false" name="TK_CapexIT_GB300_hi" vbProcedure="false">TK_In!$F$17</definedName>
    <definedName function="false" hidden="false" name="TK_CapexIT_GB300_lo" vbProcedure="false">TK_In!$D$17</definedName>
    <definedName function="false" hidden="false" name="TK_CapexIT_H100" vbProcedure="false">TK_In!$E$15</definedName>
    <definedName function="false" hidden="false" name="TK_CapexIT_H100_hi" vbProcedure="false">TK_In!$F$15</definedName>
    <definedName function="false" hidden="false" name="TK_CapexIT_H100_lo" vbProcedure="false">TK_In!$D$15</definedName>
    <definedName function="false" hidden="false" name="TK_CapexIT_RU" vbProcedure="false">TK_In!$E$19</definedName>
    <definedName function="false" hidden="false" name="TK_CapexIT_RU_hi" vbProcedure="false">TK_In!$F$19</definedName>
    <definedName function="false" hidden="false" name="TK_CapexIT_RU_lo" vbProcedure="false">TK_In!$D$19</definedName>
    <definedName function="false" hidden="false" name="TK_CapexIT_VR200" vbProcedure="false">TK_In!$E$18</definedName>
    <definedName function="false" hidden="false" name="TK_CapexIT_VR200_hi" vbProcedure="false">TK_In!$F$18</definedName>
    <definedName function="false" hidden="false" name="TK_CapexIT_VR200_lo" vbProcedure="false">TK_In!$D$18</definedName>
    <definedName function="false" hidden="false" name="TK_CapexTotal_GB200" vbProcedure="false">TK_In!$E$26</definedName>
    <definedName function="false" hidden="false" name="TK_CapexTotal_GB200_hi" vbProcedure="false">TK_In!$F$26</definedName>
    <definedName function="false" hidden="false" name="TK_CapexTotal_GB200_lo" vbProcedure="false">TK_In!$D$26</definedName>
    <definedName function="false" hidden="false" name="TK_CapexTotal_GB300" vbProcedure="false">TK_In!$E$27</definedName>
    <definedName function="false" hidden="false" name="TK_CapexTotal_GB300_hi" vbProcedure="false">TK_In!$F$27</definedName>
    <definedName function="false" hidden="false" name="TK_CapexTotal_GB300_lo" vbProcedure="false">TK_In!$D$27</definedName>
    <definedName function="false" hidden="false" name="TK_CapexTotal_H100" vbProcedure="false">TK_In!$E$25</definedName>
    <definedName function="false" hidden="false" name="TK_CapexTotal_H100_hi" vbProcedure="false">TK_In!$F$25</definedName>
    <definedName function="false" hidden="false" name="TK_CapexTotal_H100_lo" vbProcedure="false">TK_In!$D$25</definedName>
    <definedName function="false" hidden="false" name="TK_CapexTotal_RU" vbProcedure="false">TK_In!$E$29</definedName>
    <definedName function="false" hidden="false" name="TK_CapexTotal_RU_hi" vbProcedure="false">TK_In!$F$29</definedName>
    <definedName function="false" hidden="false" name="TK_CapexTotal_RU_lo" vbProcedure="false">TK_In!$D$29</definedName>
    <definedName function="false" hidden="false" name="TK_CapexTotal_VR200" vbProcedure="false">TK_In!$E$28</definedName>
    <definedName function="false" hidden="false" name="TK_CapexTotal_VR200_hi" vbProcedure="false">TK_In!$F$28</definedName>
    <definedName function="false" hidden="false" name="TK_CapexTotal_VR200_lo" vbProcedure="false">TK_In!$D$28</definedName>
    <definedName function="false" hidden="false" name="TK_FacilityGW_GB200" vbProcedure="false">TK_In!$E$60</definedName>
    <definedName function="false" hidden="false" name="TK_FacilityGW_GB200_hi" vbProcedure="false">TK_In!$F$60</definedName>
    <definedName function="false" hidden="false" name="TK_FacilityGW_GB200_lo" vbProcedure="false">TK_In!$D$60</definedName>
    <definedName function="false" hidden="false" name="TK_FacilityGW_GB300" vbProcedure="false">TK_In!$E$61</definedName>
    <definedName function="false" hidden="false" name="TK_FacilityGW_GB300_hi" vbProcedure="false">TK_In!$F$61</definedName>
    <definedName function="false" hidden="false" name="TK_FacilityGW_GB300_lo" vbProcedure="false">TK_In!$D$61</definedName>
    <definedName function="false" hidden="false" name="TK_FacilityGW_H100" vbProcedure="false">TK_In!$E$59</definedName>
    <definedName function="false" hidden="false" name="TK_FacilityGW_H100_hi" vbProcedure="false">TK_In!$F$59</definedName>
    <definedName function="false" hidden="false" name="TK_FacilityGW_H100_lo" vbProcedure="false">TK_In!$D$59</definedName>
    <definedName function="false" hidden="false" name="TK_FacilityGW_RU" vbProcedure="false">TK_In!$E$63</definedName>
    <definedName function="false" hidden="false" name="TK_FacilityGW_RU_hi" vbProcedure="false">TK_In!$F$63</definedName>
    <definedName function="false" hidden="false" name="TK_FacilityGW_RU_lo" vbProcedure="false">TK_In!$D$63</definedName>
    <definedName function="false" hidden="false" name="TK_FacilityGW_VR200" vbProcedure="false">TK_In!$E$62</definedName>
    <definedName function="false" hidden="false" name="TK_FacilityGW_VR200_hi" vbProcedure="false">TK_In!$F$62</definedName>
    <definedName function="false" hidden="false" name="TK_FacilityGW_VR200_lo" vbProcedure="false">TK_In!$D$62</definedName>
    <definedName function="false" hidden="false" name="TK_GPUsPerGW_GB200" vbProcedure="false">TK_In!$E$11</definedName>
    <definedName function="false" hidden="false" name="TK_GPUsPerGW_GB200_hi" vbProcedure="false">TK_In!$F$11</definedName>
    <definedName function="false" hidden="false" name="TK_GPUsPerGW_GB200_lo" vbProcedure="false">TK_In!$D$11</definedName>
    <definedName function="false" hidden="false" name="TK_GPUsPerGW_GB300" vbProcedure="false">TK_In!$E$12</definedName>
    <definedName function="false" hidden="false" name="TK_GPUsPerGW_GB300_hi" vbProcedure="false">TK_In!$F$12</definedName>
    <definedName function="false" hidden="false" name="TK_GPUsPerGW_GB300_lo" vbProcedure="false">TK_In!$D$12</definedName>
    <definedName function="false" hidden="false" name="TK_GPUsPerGW_H100" vbProcedure="false">TK_In!$E$10</definedName>
    <definedName function="false" hidden="false" name="TK_GPUsPerGW_H100_hi" vbProcedure="false">TK_In!$F$10</definedName>
    <definedName function="false" hidden="false" name="TK_GPUsPerGW_H100_lo" vbProcedure="false">TK_In!$D$10</definedName>
    <definedName function="false" hidden="false" name="TK_GPUsPerGW_RU" vbProcedure="false">TK_In!$E$14</definedName>
    <definedName function="false" hidden="false" name="TK_GPUsPerGW_RU_hi" vbProcedure="false">TK_In!$F$14</definedName>
    <definedName function="false" hidden="false" name="TK_GPUsPerGW_RU_lo" vbProcedure="false">TK_In!$D$14</definedName>
    <definedName function="false" hidden="false" name="TK_GPUsPerGW_VR200" vbProcedure="false">TK_In!$E$13</definedName>
    <definedName function="false" hidden="false" name="TK_GPUsPerGW_VR200_hi" vbProcedure="false">TK_In!$F$13</definedName>
    <definedName function="false" hidden="false" name="TK_GPUsPerGW_VR200_lo" vbProcedure="false">TK_In!$D$13</definedName>
    <definedName function="false" hidden="false" name="TK_NonNV_Hold_AMD" vbProcedure="false">TK_In!$E$52</definedName>
    <definedName function="false" hidden="false" name="TK_NonNV_Hold_AMD_hi" vbProcedure="false">TK_In!$F$52</definedName>
    <definedName function="false" hidden="false" name="TK_NonNV_Hold_AMD_lo" vbProcedure="false">TK_In!$D$52</definedName>
    <definedName function="false" hidden="false" name="TK_NonNV_Hold_Ascend" vbProcedure="false">TK_In!$E$57</definedName>
    <definedName function="false" hidden="false" name="TK_NonNV_Hold_Ascend_hi" vbProcedure="false">TK_In!$F$57</definedName>
    <definedName function="false" hidden="false" name="TK_NonNV_Hold_Ascend_lo" vbProcedure="false">TK_In!$D$57</definedName>
    <definedName function="false" hidden="false" name="TK_NonNV_Hold_CS" vbProcedure="false">TK_In!$E$55</definedName>
    <definedName function="false" hidden="false" name="TK_NonNV_Hold_CS_hi" vbProcedure="false">TK_In!$F$55</definedName>
    <definedName function="false" hidden="false" name="TK_NonNV_Hold_CS_lo" vbProcedure="false">TK_In!$D$55</definedName>
    <definedName function="false" hidden="false" name="TK_NonNV_Hold_Maia" vbProcedure="false">TK_In!$E$58</definedName>
    <definedName function="false" hidden="false" name="TK_NonNV_Hold_Maia_hi" vbProcedure="false">TK_In!$F$58</definedName>
    <definedName function="false" hidden="false" name="TK_NonNV_Hold_Maia_lo" vbProcedure="false">TK_In!$D$58</definedName>
    <definedName function="false" hidden="false" name="TK_NonNV_Hold_OAI" vbProcedure="false">TK_In!$E$56</definedName>
    <definedName function="false" hidden="false" name="TK_NonNV_Hold_OAI_hi" vbProcedure="false">TK_In!$F$56</definedName>
    <definedName function="false" hidden="false" name="TK_NonNV_Hold_OAI_lo" vbProcedure="false">TK_In!$D$56</definedName>
    <definedName function="false" hidden="false" name="TK_NonNV_Hold_TPU" vbProcedure="false">TK_In!$E$53</definedName>
    <definedName function="false" hidden="false" name="TK_NonNV_Hold_TPU_hi" vbProcedure="false">TK_In!$F$53</definedName>
    <definedName function="false" hidden="false" name="TK_NonNV_Hold_TPU_lo" vbProcedure="false">TK_In!$D$53</definedName>
    <definedName function="false" hidden="false" name="TK_NonNV_Hold_Trn" vbProcedure="false">TK_In!$E$54</definedName>
    <definedName function="false" hidden="false" name="TK_NonNV_Hold_Trn_hi" vbProcedure="false">TK_In!$F$54</definedName>
    <definedName function="false" hidden="false" name="TK_NonNV_Hold_Trn_lo" vbProcedure="false">TK_In!$D$54</definedName>
    <definedName function="false" hidden="false" name="TK_NonNV_Out_AMD" vbProcedure="false">TK_In!$E$45</definedName>
    <definedName function="false" hidden="false" name="TK_NonNV_Out_AMD_hi" vbProcedure="false">TK_In!$F$45</definedName>
    <definedName function="false" hidden="false" name="TK_NonNV_Out_AMD_lo" vbProcedure="false">TK_In!$D$45</definedName>
    <definedName function="false" hidden="false" name="TK_NonNV_Out_Ascend" vbProcedure="false">TK_In!$E$50</definedName>
    <definedName function="false" hidden="false" name="TK_NonNV_Out_Ascend_hi" vbProcedure="false">TK_In!$F$50</definedName>
    <definedName function="false" hidden="false" name="TK_NonNV_Out_Ascend_lo" vbProcedure="false">TK_In!$D$50</definedName>
    <definedName function="false" hidden="false" name="TK_NonNV_Out_CS" vbProcedure="false">TK_In!$E$48</definedName>
    <definedName function="false" hidden="false" name="TK_NonNV_Out_CS_hi" vbProcedure="false">TK_In!$F$48</definedName>
    <definedName function="false" hidden="false" name="TK_NonNV_Out_CS_lo" vbProcedure="false">TK_In!$D$48</definedName>
    <definedName function="false" hidden="false" name="TK_NonNV_Out_Maia" vbProcedure="false">TK_In!$E$51</definedName>
    <definedName function="false" hidden="false" name="TK_NonNV_Out_Maia_hi" vbProcedure="false">TK_In!$F$51</definedName>
    <definedName function="false" hidden="false" name="TK_NonNV_Out_Maia_lo" vbProcedure="false">TK_In!$D$51</definedName>
    <definedName function="false" hidden="false" name="TK_NonNV_Out_OAI" vbProcedure="false">TK_In!$E$49</definedName>
    <definedName function="false" hidden="false" name="TK_NonNV_Out_OAI_hi" vbProcedure="false">TK_In!$F$49</definedName>
    <definedName function="false" hidden="false" name="TK_NonNV_Out_OAI_lo" vbProcedure="false">TK_In!$D$49</definedName>
    <definedName function="false" hidden="false" name="TK_NonNV_Out_TPU" vbProcedure="false">TK_In!$E$46</definedName>
    <definedName function="false" hidden="false" name="TK_NonNV_Out_TPU_hi" vbProcedure="false">TK_In!$F$46</definedName>
    <definedName function="false" hidden="false" name="TK_NonNV_Out_TPU_lo" vbProcedure="false">TK_In!$D$46</definedName>
    <definedName function="false" hidden="false" name="TK_NonNV_Out_Trn" vbProcedure="false">TK_In!$E$47</definedName>
    <definedName function="false" hidden="false" name="TK_NonNV_Out_Trn_hi" vbProcedure="false">TK_In!$F$47</definedName>
    <definedName function="false" hidden="false" name="TK_NonNV_Out_Trn_lo" vbProcedure="false">TK_In!$D$47</definedName>
    <definedName function="false" hidden="false" name="TK_RackPrice_GB200" vbProcedure="false">TK_In!$E$31</definedName>
    <definedName function="false" hidden="false" name="TK_RackPrice_GB200_hi" vbProcedure="false">TK_In!$F$31</definedName>
    <definedName function="false" hidden="false" name="TK_RackPrice_GB200_lo" vbProcedure="false">TK_In!$D$31</definedName>
    <definedName function="false" hidden="false" name="TK_RackPrice_GB300" vbProcedure="false">TK_In!$E$32</definedName>
    <definedName function="false" hidden="false" name="TK_RackPrice_GB300_hi" vbProcedure="false">TK_In!$F$32</definedName>
    <definedName function="false" hidden="false" name="TK_RackPrice_GB300_lo" vbProcedure="false">TK_In!$D$32</definedName>
    <definedName function="false" hidden="false" name="TK_RackPrice_H100" vbProcedure="false">TK_In!$E$30</definedName>
    <definedName function="false" hidden="false" name="TK_RackPrice_H100_hi" vbProcedure="false">TK_In!$F$30</definedName>
    <definedName function="false" hidden="false" name="TK_RackPrice_H100_lo" vbProcedure="false">TK_In!$D$30</definedName>
    <definedName function="false" hidden="false" name="TK_RackPrice_RU" vbProcedure="false">TK_In!$E$34</definedName>
    <definedName function="false" hidden="false" name="TK_RackPrice_RU_hi" vbProcedure="false">TK_In!$F$34</definedName>
    <definedName function="false" hidden="false" name="TK_RackPrice_RU_lo" vbProcedure="false">TK_In!$D$34</definedName>
    <definedName function="false" hidden="false" name="TK_RackPrice_VR200" vbProcedure="false">TK_In!$E$33</definedName>
    <definedName function="false" hidden="false" name="TK_RackPrice_VR200_hi" vbProcedure="false">TK_In!$F$33</definedName>
    <definedName function="false" hidden="false" name="TK_RackPrice_VR200_lo" vbProcedure="false">TK_In!$D$33</definedName>
    <definedName function="false" hidden="false" name="TK_RacksPerGW_GB200" vbProcedure="false">TK_In!$E$6</definedName>
    <definedName function="false" hidden="false" name="TK_RacksPerGW_GB200_hi" vbProcedure="false">TK_In!$F$6</definedName>
    <definedName function="false" hidden="false" name="TK_RacksPerGW_GB200_lo" vbProcedure="false">TK_In!$D$6</definedName>
    <definedName function="false" hidden="false" name="TK_RacksPerGW_GB300" vbProcedure="false">TK_In!$E$7</definedName>
    <definedName function="false" hidden="false" name="TK_RacksPerGW_GB300_hi" vbProcedure="false">TK_In!$F$7</definedName>
    <definedName function="false" hidden="false" name="TK_RacksPerGW_GB300_lo" vbProcedure="false">TK_In!$D$7</definedName>
    <definedName function="false" hidden="false" name="TK_RacksPerGW_H100" vbProcedure="false">TK_In!$E$5</definedName>
    <definedName function="false" hidden="false" name="TK_RacksPerGW_H100_hi" vbProcedure="false">TK_In!$F$5</definedName>
    <definedName function="false" hidden="false" name="TK_RacksPerGW_H100_lo" vbProcedure="false">TK_In!$D$5</definedName>
    <definedName function="false" hidden="false" name="TK_RacksPerGW_RU" vbProcedure="false">TK_In!$E$9</definedName>
    <definedName function="false" hidden="false" name="TK_RacksPerGW_RU_hi" vbProcedure="false">TK_In!$F$9</definedName>
    <definedName function="false" hidden="false" name="TK_RacksPerGW_RU_lo" vbProcedure="false">TK_In!$D$9</definedName>
    <definedName function="false" hidden="false" name="TK_RacksPerGW_VR200" vbProcedure="false">TK_In!$E$8</definedName>
    <definedName function="false" hidden="false" name="TK_RacksPerGW_VR200_hi" vbProcedure="false">TK_In!$F$8</definedName>
    <definedName function="false" hidden="false" name="TK_RacksPerGW_VR200_lo" vbProcedure="false">TK_In!$D$8</definedName>
    <definedName function="false" hidden="false" name="TK_ScaleOutShare_GB200" vbProcedure="false">TK_In!$E$36</definedName>
    <definedName function="false" hidden="false" name="TK_ScaleOutShare_GB200_hi" vbProcedure="false">TK_In!$F$36</definedName>
    <definedName function="false" hidden="false" name="TK_ScaleOutShare_GB200_lo" vbProcedure="false">TK_In!$D$36</definedName>
    <definedName function="false" hidden="false" name="TK_ScaleOutShare_GB300" vbProcedure="false">TK_In!$E$37</definedName>
    <definedName function="false" hidden="false" name="TK_ScaleOutShare_GB300_hi" vbProcedure="false">TK_In!$F$37</definedName>
    <definedName function="false" hidden="false" name="TK_ScaleOutShare_GB300_lo" vbProcedure="false">TK_In!$D$37</definedName>
    <definedName function="false" hidden="false" name="TK_ScaleOutShare_H100" vbProcedure="false">TK_In!$E$35</definedName>
    <definedName function="false" hidden="false" name="TK_ScaleOutShare_H100_hi" vbProcedure="false">TK_In!$F$35</definedName>
    <definedName function="false" hidden="false" name="TK_ScaleOutShare_H100_lo" vbProcedure="false">TK_In!$D$35</definedName>
    <definedName function="false" hidden="false" name="TK_ScaleOutShare_RU" vbProcedure="false">TK_In!$E$39</definedName>
    <definedName function="false" hidden="false" name="TK_ScaleOutShare_RU_hi" vbProcedure="false">TK_In!$F$39</definedName>
    <definedName function="false" hidden="false" name="TK_ScaleOutShare_RU_lo" vbProcedure="false">TK_In!$D$39</definedName>
    <definedName function="false" hidden="false" name="TK_ScaleOutShare_VR200" vbProcedure="false">TK_In!$E$38</definedName>
    <definedName function="false" hidden="false" name="TK_ScaleOutShare_VR200_hi" vbProcedure="false">TK_In!$F$38</definedName>
    <definedName function="false" hidden="false" name="TK_ScaleOutShare_VR200_lo" vbProcedure="false">TK_In!$D$38</definedName>
    <definedName function="false" hidden="false" name="TK_StoragePerGPU_GB200" vbProcedure="false">TK_In!$E$41</definedName>
    <definedName function="false" hidden="false" name="TK_StoragePerGPU_GB200_hi" vbProcedure="false">TK_In!$F$41</definedName>
    <definedName function="false" hidden="false" name="TK_StoragePerGPU_GB200_lo" vbProcedure="false">TK_In!$D$41</definedName>
    <definedName function="false" hidden="false" name="TK_StoragePerGPU_GB300" vbProcedure="false">TK_In!$E$42</definedName>
    <definedName function="false" hidden="false" name="TK_StoragePerGPU_GB300_hi" vbProcedure="false">TK_In!$F$42</definedName>
    <definedName function="false" hidden="false" name="TK_StoragePerGPU_GB300_lo" vbProcedure="false">TK_In!$D$42</definedName>
    <definedName function="false" hidden="false" name="TK_StoragePerGPU_H100" vbProcedure="false">TK_In!$E$40</definedName>
    <definedName function="false" hidden="false" name="TK_StoragePerGPU_H100_hi" vbProcedure="false">TK_In!$F$40</definedName>
    <definedName function="false" hidden="false" name="TK_StoragePerGPU_H100_lo" vbProcedure="false">TK_In!$D$40</definedName>
    <definedName function="false" hidden="false" name="TK_StoragePerGPU_RU" vbProcedure="false">TK_In!$E$44</definedName>
    <definedName function="false" hidden="false" name="TK_StoragePerGPU_RU_hi" vbProcedure="false">TK_In!$F$44</definedName>
    <definedName function="false" hidden="false" name="TK_StoragePerGPU_RU_lo" vbProcedure="false">TK_In!$D$44</definedName>
    <definedName function="false" hidden="false" name="TK_StoragePerGPU_VR200" vbProcedure="false">TK_In!$E$43</definedName>
    <definedName function="false" hidden="false" name="TK_StoragePerGPU_VR200_hi" vbProcedure="false">TK_In!$F$43</definedName>
    <definedName function="false" hidden="false" name="TK_StoragePerGPU_VR200_lo" vbProcedure="false">TK_In!$D$43</definedName>
    <definedName function="false" hidden="false" name="tolband" vbProcedure="false">In!$I$9</definedName>
    <definedName function="false" hidden="false" name="tolband_hi" vbProcedure="false">In!$J$9</definedName>
    <definedName function="false" hidden="false" name="tolband_lo" vbProcedure="false">In!$H$9</definedName>
    <definedName function="false" hidden="false" name="WGOV_Errors" vbProcedure="false">Checks!$C$156</definedName>
    <definedName function="false" hidden="false" name="WGOV_Warn" vbProcedure="false">Checks!$C$157</definedName>
    <definedName function="false" hidden="false" name="WIF_Coverage_2024" vbProcedure="false">Interface!$D$7</definedName>
    <definedName function="false" hidden="false" name="WIF_Coverage_2025" vbProcedure="false">Interface!$E$7</definedName>
    <definedName function="false" hidden="false" name="WIF_Coverage_2026" vbProcedure="false">Interface!$F$7</definedName>
    <definedName function="false" hidden="false" name="WIF_Coverage_2027" vbProcedure="false">Interface!$G$7</definedName>
    <definedName function="false" hidden="false" name="WIF_Coverage_2028" vbProcedure="false">Interface!$H$7</definedName>
    <definedName function="false" hidden="false" name="WIF_Coverage_2029" vbProcedure="false">Interface!$I$7</definedName>
    <definedName function="false" hidden="false" name="WIF_Coverage_2030" vbProcedure="false">Interface!$J$7</definedName>
    <definedName function="false" hidden="false" name="WIF_Coverage_2031" vbProcedure="false">Interface!$K$7</definedName>
    <definedName function="false" hidden="false" name="WIF_Coverage_2032" vbProcedure="false">Interface!$L$7</definedName>
    <definedName function="false" hidden="false" name="WIF_Facility_bldg_2024" vbProcedure="false">Interface!$D$138</definedName>
    <definedName function="false" hidden="false" name="WIF_Facility_bldg_2025" vbProcedure="false">Interface!$E$138</definedName>
    <definedName function="false" hidden="false" name="WIF_Facility_bldg_2026" vbProcedure="false">Interface!$F$138</definedName>
    <definedName function="false" hidden="false" name="WIF_Facility_bldg_2027" vbProcedure="false">Interface!$G$138</definedName>
    <definedName function="false" hidden="false" name="WIF_Facility_bldg_2028" vbProcedure="false">Interface!$H$138</definedName>
    <definedName function="false" hidden="false" name="WIF_Facility_bldg_2029" vbProcedure="false">Interface!$I$138</definedName>
    <definedName function="false" hidden="false" name="WIF_Facility_bldg_2030" vbProcedure="false">Interface!$J$138</definedName>
    <definedName function="false" hidden="false" name="WIF_Facility_bldg_2031" vbProcedure="false">Interface!$K$138</definedName>
    <definedName function="false" hidden="false" name="WIF_Facility_bldg_2032" vbProcedure="false">Interface!$L$138</definedName>
    <definedName function="false" hidden="false" name="WIF_Facility_cool_2024" vbProcedure="false">Interface!$D$137</definedName>
    <definedName function="false" hidden="false" name="WIF_Facility_cool_2025" vbProcedure="false">Interface!$E$137</definedName>
    <definedName function="false" hidden="false" name="WIF_Facility_cool_2026" vbProcedure="false">Interface!$F$137</definedName>
    <definedName function="false" hidden="false" name="WIF_Facility_cool_2027" vbProcedure="false">Interface!$G$137</definedName>
    <definedName function="false" hidden="false" name="WIF_Facility_cool_2028" vbProcedure="false">Interface!$H$137</definedName>
    <definedName function="false" hidden="false" name="WIF_Facility_cool_2029" vbProcedure="false">Interface!$I$137</definedName>
    <definedName function="false" hidden="false" name="WIF_Facility_cool_2030" vbProcedure="false">Interface!$J$137</definedName>
    <definedName function="false" hidden="false" name="WIF_Facility_cool_2031" vbProcedure="false">Interface!$K$137</definedName>
    <definedName function="false" hidden="false" name="WIF_Facility_cool_2032" vbProcedure="false">Interface!$L$137</definedName>
    <definedName function="false" hidden="false" name="WIF_Facility_dist_2024" vbProcedure="false">Interface!$D$134</definedName>
    <definedName function="false" hidden="false" name="WIF_Facility_dist_2025" vbProcedure="false">Interface!$E$134</definedName>
    <definedName function="false" hidden="false" name="WIF_Facility_dist_2026" vbProcedure="false">Interface!$F$134</definedName>
    <definedName function="false" hidden="false" name="WIF_Facility_dist_2027" vbProcedure="false">Interface!$G$134</definedName>
    <definedName function="false" hidden="false" name="WIF_Facility_dist_2028" vbProcedure="false">Interface!$H$134</definedName>
    <definedName function="false" hidden="false" name="WIF_Facility_dist_2029" vbProcedure="false">Interface!$I$134</definedName>
    <definedName function="false" hidden="false" name="WIF_Facility_dist_2030" vbProcedure="false">Interface!$J$134</definedName>
    <definedName function="false" hidden="false" name="WIF_Facility_dist_2031" vbProcedure="false">Interface!$K$134</definedName>
    <definedName function="false" hidden="false" name="WIF_Facility_dist_2032" vbProcedure="false">Interface!$L$134</definedName>
    <definedName function="false" hidden="false" name="WIF_Facility_gen_2024" vbProcedure="false">Interface!$D$135</definedName>
    <definedName function="false" hidden="false" name="WIF_Facility_gen_2025" vbProcedure="false">Interface!$E$135</definedName>
    <definedName function="false" hidden="false" name="WIF_Facility_gen_2026" vbProcedure="false">Interface!$F$135</definedName>
    <definedName function="false" hidden="false" name="WIF_Facility_gen_2027" vbProcedure="false">Interface!$G$135</definedName>
    <definedName function="false" hidden="false" name="WIF_Facility_gen_2028" vbProcedure="false">Interface!$H$135</definedName>
    <definedName function="false" hidden="false" name="WIF_Facility_gen_2029" vbProcedure="false">Interface!$I$135</definedName>
    <definedName function="false" hidden="false" name="WIF_Facility_gen_2030" vbProcedure="false">Interface!$J$135</definedName>
    <definedName function="false" hidden="false" name="WIF_Facility_gen_2031" vbProcedure="false">Interface!$K$135</definedName>
    <definedName function="false" hidden="false" name="WIF_Facility_gen_2032" vbProcedure="false">Interface!$L$135</definedName>
    <definedName function="false" hidden="false" name="WIF_Facility_labor_2024" vbProcedure="false">Interface!$D$139</definedName>
    <definedName function="false" hidden="false" name="WIF_Facility_labor_2025" vbProcedure="false">Interface!$E$139</definedName>
    <definedName function="false" hidden="false" name="WIF_Facility_labor_2026" vbProcedure="false">Interface!$F$139</definedName>
    <definedName function="false" hidden="false" name="WIF_Facility_labor_2027" vbProcedure="false">Interface!$G$139</definedName>
    <definedName function="false" hidden="false" name="WIF_Facility_labor_2028" vbProcedure="false">Interface!$H$139</definedName>
    <definedName function="false" hidden="false" name="WIF_Facility_labor_2029" vbProcedure="false">Interface!$I$139</definedName>
    <definedName function="false" hidden="false" name="WIF_Facility_labor_2030" vbProcedure="false">Interface!$J$139</definedName>
    <definedName function="false" hidden="false" name="WIF_Facility_labor_2031" vbProcedure="false">Interface!$K$139</definedName>
    <definedName function="false" hidden="false" name="WIF_Facility_labor_2032" vbProcedure="false">Interface!$L$139</definedName>
    <definedName function="false" hidden="false" name="WIF_Facility_land_2024" vbProcedure="false">Interface!$D$142</definedName>
    <definedName function="false" hidden="false" name="WIF_Facility_land_2025" vbProcedure="false">Interface!$E$142</definedName>
    <definedName function="false" hidden="false" name="WIF_Facility_land_2026" vbProcedure="false">Interface!$F$142</definedName>
    <definedName function="false" hidden="false" name="WIF_Facility_land_2027" vbProcedure="false">Interface!$G$142</definedName>
    <definedName function="false" hidden="false" name="WIF_Facility_land_2028" vbProcedure="false">Interface!$H$142</definedName>
    <definedName function="false" hidden="false" name="WIF_Facility_land_2029" vbProcedure="false">Interface!$I$142</definedName>
    <definedName function="false" hidden="false" name="WIF_Facility_land_2030" vbProcedure="false">Interface!$J$142</definedName>
    <definedName function="false" hidden="false" name="WIF_Facility_land_2031" vbProcedure="false">Interface!$K$142</definedName>
    <definedName function="false" hidden="false" name="WIF_Facility_land_2032" vbProcedure="false">Interface!$L$142</definedName>
    <definedName function="false" hidden="false" name="WIF_Facility_mkt_q_gen_2024" vbProcedure="false">Interface!$D$145</definedName>
    <definedName function="false" hidden="false" name="WIF_Facility_mkt_q_gen_2025" vbProcedure="false">Interface!$E$145</definedName>
    <definedName function="false" hidden="false" name="WIF_Facility_mkt_q_gen_2026" vbProcedure="false">Interface!$F$145</definedName>
    <definedName function="false" hidden="false" name="WIF_Facility_mkt_q_gen_2027" vbProcedure="false">Interface!$G$145</definedName>
    <definedName function="false" hidden="false" name="WIF_Facility_mkt_q_gen_2028" vbProcedure="false">Interface!$H$145</definedName>
    <definedName function="false" hidden="false" name="WIF_Facility_mkt_q_gen_2029" vbProcedure="false">Interface!$I$145</definedName>
    <definedName function="false" hidden="false" name="WIF_Facility_mkt_q_gen_2030" vbProcedure="false">Interface!$J$145</definedName>
    <definedName function="false" hidden="false" name="WIF_Facility_mkt_q_gen_2031" vbProcedure="false">Interface!$K$145</definedName>
    <definedName function="false" hidden="false" name="WIF_Facility_mkt_q_gen_2032" vbProcedure="false">Interface!$L$145</definedName>
    <definedName function="false" hidden="false" name="WIF_Facility_mkt_q_self_2024" vbProcedure="false">Interface!$D$146</definedName>
    <definedName function="false" hidden="false" name="WIF_Facility_mkt_q_self_2025" vbProcedure="false">Interface!$E$146</definedName>
    <definedName function="false" hidden="false" name="WIF_Facility_mkt_q_self_2026" vbProcedure="false">Interface!$F$146</definedName>
    <definedName function="false" hidden="false" name="WIF_Facility_mkt_q_self_2027" vbProcedure="false">Interface!$G$146</definedName>
    <definedName function="false" hidden="false" name="WIF_Facility_mkt_q_self_2028" vbProcedure="false">Interface!$H$146</definedName>
    <definedName function="false" hidden="false" name="WIF_Facility_mkt_q_self_2029" vbProcedure="false">Interface!$I$146</definedName>
    <definedName function="false" hidden="false" name="WIF_Facility_mkt_q_self_2030" vbProcedure="false">Interface!$J$146</definedName>
    <definedName function="false" hidden="false" name="WIF_Facility_mkt_q_self_2031" vbProcedure="false">Interface!$K$146</definedName>
    <definedName function="false" hidden="false" name="WIF_Facility_mkt_q_self_2032" vbProcedure="false">Interface!$L$146</definedName>
    <definedName function="false" hidden="false" name="WIF_Facility_net_2024" vbProcedure="false">Interface!$D$141</definedName>
    <definedName function="false" hidden="false" name="WIF_Facility_net_2025" vbProcedure="false">Interface!$E$141</definedName>
    <definedName function="false" hidden="false" name="WIF_Facility_net_2026" vbProcedure="false">Interface!$F$141</definedName>
    <definedName function="false" hidden="false" name="WIF_Facility_net_2027" vbProcedure="false">Interface!$G$141</definedName>
    <definedName function="false" hidden="false" name="WIF_Facility_net_2028" vbProcedure="false">Interface!$H$141</definedName>
    <definedName function="false" hidden="false" name="WIF_Facility_net_2029" vbProcedure="false">Interface!$I$141</definedName>
    <definedName function="false" hidden="false" name="WIF_Facility_net_2030" vbProcedure="false">Interface!$J$141</definedName>
    <definedName function="false" hidden="false" name="WIF_Facility_net_2031" vbProcedure="false">Interface!$K$141</definedName>
    <definedName function="false" hidden="false" name="WIF_Facility_net_2032" vbProcedure="false">Interface!$L$141</definedName>
    <definedName function="false" hidden="false" name="WIF_Facility_prof_2024" vbProcedure="false">Interface!$D$140</definedName>
    <definedName function="false" hidden="false" name="WIF_Facility_prof_2025" vbProcedure="false">Interface!$E$140</definedName>
    <definedName function="false" hidden="false" name="WIF_Facility_prof_2026" vbProcedure="false">Interface!$F$140</definedName>
    <definedName function="false" hidden="false" name="WIF_Facility_prof_2027" vbProcedure="false">Interface!$G$140</definedName>
    <definedName function="false" hidden="false" name="WIF_Facility_prof_2028" vbProcedure="false">Interface!$H$140</definedName>
    <definedName function="false" hidden="false" name="WIF_Facility_prof_2029" vbProcedure="false">Interface!$I$140</definedName>
    <definedName function="false" hidden="false" name="WIF_Facility_prof_2030" vbProcedure="false">Interface!$J$140</definedName>
    <definedName function="false" hidden="false" name="WIF_Facility_prof_2031" vbProcedure="false">Interface!$K$140</definedName>
    <definedName function="false" hidden="false" name="WIF_Facility_prof_2032" vbProcedure="false">Interface!$L$140</definedName>
    <definedName function="false" hidden="false" name="WIF_Facility_resid_2024" vbProcedure="false">Interface!$D$143</definedName>
    <definedName function="false" hidden="false" name="WIF_Facility_resid_2025" vbProcedure="false">Interface!$E$143</definedName>
    <definedName function="false" hidden="false" name="WIF_Facility_resid_2026" vbProcedure="false">Interface!$F$143</definedName>
    <definedName function="false" hidden="false" name="WIF_Facility_resid_2027" vbProcedure="false">Interface!$G$143</definedName>
    <definedName function="false" hidden="false" name="WIF_Facility_resid_2028" vbProcedure="false">Interface!$H$143</definedName>
    <definedName function="false" hidden="false" name="WIF_Facility_resid_2029" vbProcedure="false">Interface!$I$143</definedName>
    <definedName function="false" hidden="false" name="WIF_Facility_resid_2030" vbProcedure="false">Interface!$J$143</definedName>
    <definedName function="false" hidden="false" name="WIF_Facility_resid_2031" vbProcedure="false">Interface!$K$143</definedName>
    <definedName function="false" hidden="false" name="WIF_Facility_resid_2032" vbProcedure="false">Interface!$L$143</definedName>
    <definedName function="false" hidden="false" name="WIF_Facility_self_unit_2024" vbProcedure="false">Interface!$D$144</definedName>
    <definedName function="false" hidden="false" name="WIF_Facility_self_unit_2025" vbProcedure="false">Interface!$E$144</definedName>
    <definedName function="false" hidden="false" name="WIF_Facility_self_unit_2026" vbProcedure="false">Interface!$F$144</definedName>
    <definedName function="false" hidden="false" name="WIF_Facility_self_unit_2027" vbProcedure="false">Interface!$G$144</definedName>
    <definedName function="false" hidden="false" name="WIF_Facility_self_unit_2028" vbProcedure="false">Interface!$H$144</definedName>
    <definedName function="false" hidden="false" name="WIF_Facility_self_unit_2029" vbProcedure="false">Interface!$I$144</definedName>
    <definedName function="false" hidden="false" name="WIF_Facility_self_unit_2030" vbProcedure="false">Interface!$J$144</definedName>
    <definedName function="false" hidden="false" name="WIF_Facility_self_unit_2031" vbProcedure="false">Interface!$K$144</definedName>
    <definedName function="false" hidden="false" name="WIF_Facility_self_unit_2032" vbProcedure="false">Interface!$L$144</definedName>
    <definedName function="false" hidden="false" name="WIF_Facility_ups_2024" vbProcedure="false">Interface!$D$136</definedName>
    <definedName function="false" hidden="false" name="WIF_Facility_ups_2025" vbProcedure="false">Interface!$E$136</definedName>
    <definedName function="false" hidden="false" name="WIF_Facility_ups_2026" vbProcedure="false">Interface!$F$136</definedName>
    <definedName function="false" hidden="false" name="WIF_Facility_ups_2027" vbProcedure="false">Interface!$G$136</definedName>
    <definedName function="false" hidden="false" name="WIF_Facility_ups_2028" vbProcedure="false">Interface!$H$136</definedName>
    <definedName function="false" hidden="false" name="WIF_Facility_ups_2029" vbProcedure="false">Interface!$I$136</definedName>
    <definedName function="false" hidden="false" name="WIF_Facility_ups_2030" vbProcedure="false">Interface!$J$136</definedName>
    <definedName function="false" hidden="false" name="WIF_Facility_ups_2031" vbProcedure="false">Interface!$K$136</definedName>
    <definedName function="false" hidden="false" name="WIF_Facility_ups_2032" vbProcedure="false">Interface!$L$136</definedName>
    <definedName function="false" hidden="false" name="WIF_Funding_amzn_2024_capex" vbProcedure="false">Interface!$D$251</definedName>
    <definedName function="false" hidden="false" name="WIF_Funding_amzn_2024_debt_pct" vbProcedure="false">Interface!$D$255</definedName>
    <definedName function="false" hidden="false" name="WIF_Funding_amzn_2024_debt_raised" vbProcedure="false">Interface!$D$266</definedName>
    <definedName function="false" hidden="false" name="WIF_Funding_amzn_2024_equity_pct" vbProcedure="false">Interface!$D$254</definedName>
    <definedName function="false" hidden="false" name="WIF_Funding_amzn_2024_equity_raised" vbProcedure="false">Interface!$D$267</definedName>
    <definedName function="false" hidden="false" name="WIF_Funding_amzn_2024_fcf" vbProcedure="false">Interface!$D$264</definedName>
    <definedName function="false" hidden="false" name="WIF_Funding_amzn_2024_gross_debt_pct" vbProcedure="false">Interface!$D$260</definedName>
    <definedName function="false" hidden="false" name="WIF_Funding_amzn_2024_gross_equity_pct" vbProcedure="false">Interface!$D$261</definedName>
    <definedName function="false" hidden="false" name="WIF_Funding_amzn_2024_gross_ext" vbProcedure="false">Interface!$D$257</definedName>
    <definedName function="false" hidden="false" name="WIF_Funding_amzn_2024_gross_ext_pct" vbProcedure="false">Interface!$D$258</definedName>
    <definedName function="false" hidden="false" name="WIF_Funding_amzn_2024_gross_lease_jv_pct" vbProcedure="false">Interface!$D$262</definedName>
    <definedName function="false" hidden="false" name="WIF_Funding_amzn_2024_gross_ocf_pct" vbProcedure="false">Interface!$D$259</definedName>
    <definedName function="false" hidden="false" name="WIF_Funding_amzn_2024_int_pct" vbProcedure="false">Interface!$D$252</definedName>
    <definedName function="false" hidden="false" name="WIF_Funding_amzn_2024_lease_pct" vbProcedure="false">Interface!$D$253</definedName>
    <definedName function="false" hidden="false" name="WIF_Funding_amzn_2024_lnc" vbProcedure="false">Interface!$D$265</definedName>
    <definedName function="false" hidden="false" name="WIF_Funding_amzn_2024_ocf" vbProcedure="false">Interface!$D$263</definedName>
    <definedName function="false" hidden="false" name="WIF_Funding_amzn_2024_other_pct" vbProcedure="false">Interface!$D$256</definedName>
    <definedName function="false" hidden="false" name="WIF_Funding_amzn_2025_capex" vbProcedure="false">Interface!$D$268</definedName>
    <definedName function="false" hidden="false" name="WIF_Funding_amzn_2025_debt_pct" vbProcedure="false">Interface!$D$272</definedName>
    <definedName function="false" hidden="false" name="WIF_Funding_amzn_2025_debt_raised" vbProcedure="false">Interface!$D$283</definedName>
    <definedName function="false" hidden="false" name="WIF_Funding_amzn_2025_equity_pct" vbProcedure="false">Interface!$D$271</definedName>
    <definedName function="false" hidden="false" name="WIF_Funding_amzn_2025_equity_raised" vbProcedure="false">Interface!$D$284</definedName>
    <definedName function="false" hidden="false" name="WIF_Funding_amzn_2025_fcf" vbProcedure="false">Interface!$D$281</definedName>
    <definedName function="false" hidden="false" name="WIF_Funding_amzn_2025_gross_debt_pct" vbProcedure="false">Interface!$D$277</definedName>
    <definedName function="false" hidden="false" name="WIF_Funding_amzn_2025_gross_equity_pct" vbProcedure="false">Interface!$D$278</definedName>
    <definedName function="false" hidden="false" name="WIF_Funding_amzn_2025_gross_ext" vbProcedure="false">Interface!$D$274</definedName>
    <definedName function="false" hidden="false" name="WIF_Funding_amzn_2025_gross_ext_pct" vbProcedure="false">Interface!$D$275</definedName>
    <definedName function="false" hidden="false" name="WIF_Funding_amzn_2025_gross_lease_jv_pct" vbProcedure="false">Interface!$D$279</definedName>
    <definedName function="false" hidden="false" name="WIF_Funding_amzn_2025_gross_ocf_pct" vbProcedure="false">Interface!$D$276</definedName>
    <definedName function="false" hidden="false" name="WIF_Funding_amzn_2025_int_pct" vbProcedure="false">Interface!$D$269</definedName>
    <definedName function="false" hidden="false" name="WIF_Funding_amzn_2025_lease_pct" vbProcedure="false">Interface!$D$270</definedName>
    <definedName function="false" hidden="false" name="WIF_Funding_amzn_2025_lnc" vbProcedure="false">Interface!$D$282</definedName>
    <definedName function="false" hidden="false" name="WIF_Funding_amzn_2025_ocf" vbProcedure="false">Interface!$D$280</definedName>
    <definedName function="false" hidden="false" name="WIF_Funding_amzn_2025_other_pct" vbProcedure="false">Interface!$D$273</definedName>
    <definedName function="false" hidden="false" name="WIF_Funding_amzn_2026_capex" vbProcedure="false">Interface!$D$285</definedName>
    <definedName function="false" hidden="false" name="WIF_Funding_amzn_2026_debt_pct" vbProcedure="false">Interface!$D$289</definedName>
    <definedName function="false" hidden="false" name="WIF_Funding_amzn_2026_debt_raised" vbProcedure="false">Interface!$D$300</definedName>
    <definedName function="false" hidden="false" name="WIF_Funding_amzn_2026_equity_pct" vbProcedure="false">Interface!$D$288</definedName>
    <definedName function="false" hidden="false" name="WIF_Funding_amzn_2026_equity_raised" vbProcedure="false">Interface!$D$301</definedName>
    <definedName function="false" hidden="false" name="WIF_Funding_amzn_2026_fcf" vbProcedure="false">Interface!$D$298</definedName>
    <definedName function="false" hidden="false" name="WIF_Funding_amzn_2026_gross_debt_pct" vbProcedure="false">Interface!$D$294</definedName>
    <definedName function="false" hidden="false" name="WIF_Funding_amzn_2026_gross_equity_pct" vbProcedure="false">Interface!$D$295</definedName>
    <definedName function="false" hidden="false" name="WIF_Funding_amzn_2026_gross_ext" vbProcedure="false">Interface!$D$291</definedName>
    <definedName function="false" hidden="false" name="WIF_Funding_amzn_2026_gross_ext_pct" vbProcedure="false">Interface!$D$292</definedName>
    <definedName function="false" hidden="false" name="WIF_Funding_amzn_2026_gross_lease_jv_pct" vbProcedure="false">Interface!$D$296</definedName>
    <definedName function="false" hidden="false" name="WIF_Funding_amzn_2026_gross_ocf_pct" vbProcedure="false">Interface!$D$293</definedName>
    <definedName function="false" hidden="false" name="WIF_Funding_amzn_2026_int_pct" vbProcedure="false">Interface!$D$286</definedName>
    <definedName function="false" hidden="false" name="WIF_Funding_amzn_2026_lease_pct" vbProcedure="false">Interface!$D$287</definedName>
    <definedName function="false" hidden="false" name="WIF_Funding_amzn_2026_lnc" vbProcedure="false">Interface!$D$299</definedName>
    <definedName function="false" hidden="false" name="WIF_Funding_amzn_2026_ocf" vbProcedure="false">Interface!$D$297</definedName>
    <definedName function="false" hidden="false" name="WIF_Funding_amzn_2026_other_pct" vbProcedure="false">Interface!$D$290</definedName>
    <definedName function="false" hidden="false" name="WIF_Funding_ant_2025_capex" vbProcedure="false">Interface!$D$557</definedName>
    <definedName function="false" hidden="false" name="WIF_Funding_ant_2025_debt_pct" vbProcedure="false">Interface!$D$561</definedName>
    <definedName function="false" hidden="false" name="WIF_Funding_ant_2025_debt_raised" vbProcedure="false">Interface!$D$572</definedName>
    <definedName function="false" hidden="false" name="WIF_Funding_ant_2025_equity_pct" vbProcedure="false">Interface!$D$560</definedName>
    <definedName function="false" hidden="false" name="WIF_Funding_ant_2025_equity_raised" vbProcedure="false">Interface!$D$573</definedName>
    <definedName function="false" hidden="false" name="WIF_Funding_ant_2025_fcf" vbProcedure="false">Interface!$D$570</definedName>
    <definedName function="false" hidden="false" name="WIF_Funding_ant_2025_gross_debt_pct" vbProcedure="false">Interface!$D$566</definedName>
    <definedName function="false" hidden="false" name="WIF_Funding_ant_2025_gross_equity_pct" vbProcedure="false">Interface!$D$567</definedName>
    <definedName function="false" hidden="false" name="WIF_Funding_ant_2025_gross_ext" vbProcedure="false">Interface!$D$563</definedName>
    <definedName function="false" hidden="false" name="WIF_Funding_ant_2025_gross_ext_pct" vbProcedure="false">Interface!$D$564</definedName>
    <definedName function="false" hidden="false" name="WIF_Funding_ant_2025_gross_lease_jv_pct" vbProcedure="false">Interface!$D$568</definedName>
    <definedName function="false" hidden="false" name="WIF_Funding_ant_2025_gross_ocf_pct" vbProcedure="false">Interface!$D$565</definedName>
    <definedName function="false" hidden="false" name="WIF_Funding_ant_2025_int_pct" vbProcedure="false">Interface!$D$558</definedName>
    <definedName function="false" hidden="false" name="WIF_Funding_ant_2025_lease_pct" vbProcedure="false">Interface!$D$559</definedName>
    <definedName function="false" hidden="false" name="WIF_Funding_ant_2025_lnc" vbProcedure="false">Interface!$D$571</definedName>
    <definedName function="false" hidden="false" name="WIF_Funding_ant_2025_ocf" vbProcedure="false">Interface!$D$569</definedName>
    <definedName function="false" hidden="false" name="WIF_Funding_ant_2025_other_pct" vbProcedure="false">Interface!$D$562</definedName>
    <definedName function="false" hidden="false" name="WIF_Funding_ant_2026_capex" vbProcedure="false">Interface!$D$574</definedName>
    <definedName function="false" hidden="false" name="WIF_Funding_ant_2026_debt_pct" vbProcedure="false">Interface!$D$578</definedName>
    <definedName function="false" hidden="false" name="WIF_Funding_ant_2026_debt_raised" vbProcedure="false">Interface!$D$589</definedName>
    <definedName function="false" hidden="false" name="WIF_Funding_ant_2026_equity_pct" vbProcedure="false">Interface!$D$577</definedName>
    <definedName function="false" hidden="false" name="WIF_Funding_ant_2026_equity_raised" vbProcedure="false">Interface!$D$590</definedName>
    <definedName function="false" hidden="false" name="WIF_Funding_ant_2026_fcf" vbProcedure="false">Interface!$D$587</definedName>
    <definedName function="false" hidden="false" name="WIF_Funding_ant_2026_gross_debt_pct" vbProcedure="false">Interface!$D$583</definedName>
    <definedName function="false" hidden="false" name="WIF_Funding_ant_2026_gross_equity_pct" vbProcedure="false">Interface!$D$584</definedName>
    <definedName function="false" hidden="false" name="WIF_Funding_ant_2026_gross_ext" vbProcedure="false">Interface!$D$580</definedName>
    <definedName function="false" hidden="false" name="WIF_Funding_ant_2026_gross_ext_pct" vbProcedure="false">Interface!$D$581</definedName>
    <definedName function="false" hidden="false" name="WIF_Funding_ant_2026_gross_lease_jv_pct" vbProcedure="false">Interface!$D$585</definedName>
    <definedName function="false" hidden="false" name="WIF_Funding_ant_2026_gross_ocf_pct" vbProcedure="false">Interface!$D$582</definedName>
    <definedName function="false" hidden="false" name="WIF_Funding_ant_2026_int_pct" vbProcedure="false">Interface!$D$575</definedName>
    <definedName function="false" hidden="false" name="WIF_Funding_ant_2026_lease_pct" vbProcedure="false">Interface!$D$576</definedName>
    <definedName function="false" hidden="false" name="WIF_Funding_ant_2026_lnc" vbProcedure="false">Interface!$D$588</definedName>
    <definedName function="false" hidden="false" name="WIF_Funding_ant_2026_ocf" vbProcedure="false">Interface!$D$586</definedName>
    <definedName function="false" hidden="false" name="WIF_Funding_ant_2026_other_pct" vbProcedure="false">Interface!$D$579</definedName>
    <definedName function="false" hidden="false" name="WIF_Funding_crwv_2024_capex" vbProcedure="false">Interface!$D$404</definedName>
    <definedName function="false" hidden="false" name="WIF_Funding_crwv_2024_debt_pct" vbProcedure="false">Interface!$D$408</definedName>
    <definedName function="false" hidden="false" name="WIF_Funding_crwv_2024_debt_raised" vbProcedure="false">Interface!$D$419</definedName>
    <definedName function="false" hidden="false" name="WIF_Funding_crwv_2024_equity_pct" vbProcedure="false">Interface!$D$407</definedName>
    <definedName function="false" hidden="false" name="WIF_Funding_crwv_2024_equity_raised" vbProcedure="false">Interface!$D$420</definedName>
    <definedName function="false" hidden="false" name="WIF_Funding_crwv_2024_fcf" vbProcedure="false">Interface!$D$417</definedName>
    <definedName function="false" hidden="false" name="WIF_Funding_crwv_2024_gross_debt_pct" vbProcedure="false">Interface!$D$413</definedName>
    <definedName function="false" hidden="false" name="WIF_Funding_crwv_2024_gross_equity_pct" vbProcedure="false">Interface!$D$414</definedName>
    <definedName function="false" hidden="false" name="WIF_Funding_crwv_2024_gross_ext" vbProcedure="false">Interface!$D$410</definedName>
    <definedName function="false" hidden="false" name="WIF_Funding_crwv_2024_gross_ext_pct" vbProcedure="false">Interface!$D$411</definedName>
    <definedName function="false" hidden="false" name="WIF_Funding_crwv_2024_gross_lease_jv_pct" vbProcedure="false">Interface!$D$415</definedName>
    <definedName function="false" hidden="false" name="WIF_Funding_crwv_2024_gross_ocf_pct" vbProcedure="false">Interface!$D$412</definedName>
    <definedName function="false" hidden="false" name="WIF_Funding_crwv_2024_int_pct" vbProcedure="false">Interface!$D$405</definedName>
    <definedName function="false" hidden="false" name="WIF_Funding_crwv_2024_lease_pct" vbProcedure="false">Interface!$D$406</definedName>
    <definedName function="false" hidden="false" name="WIF_Funding_crwv_2024_lnc" vbProcedure="false">Interface!$D$418</definedName>
    <definedName function="false" hidden="false" name="WIF_Funding_crwv_2024_ocf" vbProcedure="false">Interface!$D$416</definedName>
    <definedName function="false" hidden="false" name="WIF_Funding_crwv_2024_other_pct" vbProcedure="false">Interface!$D$409</definedName>
    <definedName function="false" hidden="false" name="WIF_Funding_crwv_2025_capex" vbProcedure="false">Interface!$D$421</definedName>
    <definedName function="false" hidden="false" name="WIF_Funding_crwv_2025_debt_pct" vbProcedure="false">Interface!$D$425</definedName>
    <definedName function="false" hidden="false" name="WIF_Funding_crwv_2025_debt_raised" vbProcedure="false">Interface!$D$436</definedName>
    <definedName function="false" hidden="false" name="WIF_Funding_crwv_2025_equity_pct" vbProcedure="false">Interface!$D$424</definedName>
    <definedName function="false" hidden="false" name="WIF_Funding_crwv_2025_equity_raised" vbProcedure="false">Interface!$D$437</definedName>
    <definedName function="false" hidden="false" name="WIF_Funding_crwv_2025_fcf" vbProcedure="false">Interface!$D$434</definedName>
    <definedName function="false" hidden="false" name="WIF_Funding_crwv_2025_gross_debt_pct" vbProcedure="false">Interface!$D$430</definedName>
    <definedName function="false" hidden="false" name="WIF_Funding_crwv_2025_gross_equity_pct" vbProcedure="false">Interface!$D$431</definedName>
    <definedName function="false" hidden="false" name="WIF_Funding_crwv_2025_gross_ext" vbProcedure="false">Interface!$D$427</definedName>
    <definedName function="false" hidden="false" name="WIF_Funding_crwv_2025_gross_ext_pct" vbProcedure="false">Interface!$D$428</definedName>
    <definedName function="false" hidden="false" name="WIF_Funding_crwv_2025_gross_lease_jv_pct" vbProcedure="false">Interface!$D$432</definedName>
    <definedName function="false" hidden="false" name="WIF_Funding_crwv_2025_gross_ocf_pct" vbProcedure="false">Interface!$D$429</definedName>
    <definedName function="false" hidden="false" name="WIF_Funding_crwv_2025_int_pct" vbProcedure="false">Interface!$D$422</definedName>
    <definedName function="false" hidden="false" name="WIF_Funding_crwv_2025_lease_pct" vbProcedure="false">Interface!$D$423</definedName>
    <definedName function="false" hidden="false" name="WIF_Funding_crwv_2025_lnc" vbProcedure="false">Interface!$D$435</definedName>
    <definedName function="false" hidden="false" name="WIF_Funding_crwv_2025_ocf" vbProcedure="false">Interface!$D$433</definedName>
    <definedName function="false" hidden="false" name="WIF_Funding_crwv_2025_other_pct" vbProcedure="false">Interface!$D$426</definedName>
    <definedName function="false" hidden="false" name="WIF_Funding_crwv_2026_capex" vbProcedure="false">Interface!$D$438</definedName>
    <definedName function="false" hidden="false" name="WIF_Funding_crwv_2026_debt_pct" vbProcedure="false">Interface!$D$442</definedName>
    <definedName function="false" hidden="false" name="WIF_Funding_crwv_2026_debt_raised" vbProcedure="false">Interface!$D$453</definedName>
    <definedName function="false" hidden="false" name="WIF_Funding_crwv_2026_equity_pct" vbProcedure="false">Interface!$D$441</definedName>
    <definedName function="false" hidden="false" name="WIF_Funding_crwv_2026_equity_raised" vbProcedure="false">Interface!$D$454</definedName>
    <definedName function="false" hidden="false" name="WIF_Funding_crwv_2026_fcf" vbProcedure="false">Interface!$D$451</definedName>
    <definedName function="false" hidden="false" name="WIF_Funding_crwv_2026_gross_debt_pct" vbProcedure="false">Interface!$D$447</definedName>
    <definedName function="false" hidden="false" name="WIF_Funding_crwv_2026_gross_equity_pct" vbProcedure="false">Interface!$D$448</definedName>
    <definedName function="false" hidden="false" name="WIF_Funding_crwv_2026_gross_ext" vbProcedure="false">Interface!$D$444</definedName>
    <definedName function="false" hidden="false" name="WIF_Funding_crwv_2026_gross_ext_pct" vbProcedure="false">Interface!$D$445</definedName>
    <definedName function="false" hidden="false" name="WIF_Funding_crwv_2026_gross_lease_jv_pct" vbProcedure="false">Interface!$D$449</definedName>
    <definedName function="false" hidden="false" name="WIF_Funding_crwv_2026_gross_ocf_pct" vbProcedure="false">Interface!$D$446</definedName>
    <definedName function="false" hidden="false" name="WIF_Funding_crwv_2026_int_pct" vbProcedure="false">Interface!$D$439</definedName>
    <definedName function="false" hidden="false" name="WIF_Funding_crwv_2026_lease_pct" vbProcedure="false">Interface!$D$440</definedName>
    <definedName function="false" hidden="false" name="WIF_Funding_crwv_2026_lnc" vbProcedure="false">Interface!$D$452</definedName>
    <definedName function="false" hidden="false" name="WIF_Funding_crwv_2026_ocf" vbProcedure="false">Interface!$D$450</definedName>
    <definedName function="false" hidden="false" name="WIF_Funding_crwv_2026_other_pct" vbProcedure="false">Interface!$D$443</definedName>
    <definedName function="false" hidden="false" name="WIF_Funding_googl_2024_capex" vbProcedure="false">Interface!$D$200</definedName>
    <definedName function="false" hidden="false" name="WIF_Funding_googl_2024_debt_pct" vbProcedure="false">Interface!$D$204</definedName>
    <definedName function="false" hidden="false" name="WIF_Funding_googl_2024_debt_raised" vbProcedure="false">Interface!$D$215</definedName>
    <definedName function="false" hidden="false" name="WIF_Funding_googl_2024_equity_pct" vbProcedure="false">Interface!$D$203</definedName>
    <definedName function="false" hidden="false" name="WIF_Funding_googl_2024_equity_raised" vbProcedure="false">Interface!$D$216</definedName>
    <definedName function="false" hidden="false" name="WIF_Funding_googl_2024_fcf" vbProcedure="false">Interface!$D$213</definedName>
    <definedName function="false" hidden="false" name="WIF_Funding_googl_2024_gross_debt_pct" vbProcedure="false">Interface!$D$209</definedName>
    <definedName function="false" hidden="false" name="WIF_Funding_googl_2024_gross_equity_pct" vbProcedure="false">Interface!$D$210</definedName>
    <definedName function="false" hidden="false" name="WIF_Funding_googl_2024_gross_ext" vbProcedure="false">Interface!$D$206</definedName>
    <definedName function="false" hidden="false" name="WIF_Funding_googl_2024_gross_ext_pct" vbProcedure="false">Interface!$D$207</definedName>
    <definedName function="false" hidden="false" name="WIF_Funding_googl_2024_gross_lease_jv_pct" vbProcedure="false">Interface!$D$211</definedName>
    <definedName function="false" hidden="false" name="WIF_Funding_googl_2024_gross_ocf_pct" vbProcedure="false">Interface!$D$208</definedName>
    <definedName function="false" hidden="false" name="WIF_Funding_googl_2024_int_pct" vbProcedure="false">Interface!$D$201</definedName>
    <definedName function="false" hidden="false" name="WIF_Funding_googl_2024_lease_pct" vbProcedure="false">Interface!$D$202</definedName>
    <definedName function="false" hidden="false" name="WIF_Funding_googl_2024_lnc" vbProcedure="false">Interface!$D$214</definedName>
    <definedName function="false" hidden="false" name="WIF_Funding_googl_2024_ocf" vbProcedure="false">Interface!$D$212</definedName>
    <definedName function="false" hidden="false" name="WIF_Funding_googl_2024_other_pct" vbProcedure="false">Interface!$D$205</definedName>
    <definedName function="false" hidden="false" name="WIF_Funding_googl_2025_capex" vbProcedure="false">Interface!$D$217</definedName>
    <definedName function="false" hidden="false" name="WIF_Funding_googl_2025_debt_pct" vbProcedure="false">Interface!$D$221</definedName>
    <definedName function="false" hidden="false" name="WIF_Funding_googl_2025_debt_raised" vbProcedure="false">Interface!$D$232</definedName>
    <definedName function="false" hidden="false" name="WIF_Funding_googl_2025_equity_pct" vbProcedure="false">Interface!$D$220</definedName>
    <definedName function="false" hidden="false" name="WIF_Funding_googl_2025_equity_raised" vbProcedure="false">Interface!$D$233</definedName>
    <definedName function="false" hidden="false" name="WIF_Funding_googl_2025_fcf" vbProcedure="false">Interface!$D$230</definedName>
    <definedName function="false" hidden="false" name="WIF_Funding_googl_2025_gross_debt_pct" vbProcedure="false">Interface!$D$226</definedName>
    <definedName function="false" hidden="false" name="WIF_Funding_googl_2025_gross_equity_pct" vbProcedure="false">Interface!$D$227</definedName>
    <definedName function="false" hidden="false" name="WIF_Funding_googl_2025_gross_ext" vbProcedure="false">Interface!$D$223</definedName>
    <definedName function="false" hidden="false" name="WIF_Funding_googl_2025_gross_ext_pct" vbProcedure="false">Interface!$D$224</definedName>
    <definedName function="false" hidden="false" name="WIF_Funding_googl_2025_gross_lease_jv_pct" vbProcedure="false">Interface!$D$228</definedName>
    <definedName function="false" hidden="false" name="WIF_Funding_googl_2025_gross_ocf_pct" vbProcedure="false">Interface!$D$225</definedName>
    <definedName function="false" hidden="false" name="WIF_Funding_googl_2025_int_pct" vbProcedure="false">Interface!$D$218</definedName>
    <definedName function="false" hidden="false" name="WIF_Funding_googl_2025_lease_pct" vbProcedure="false">Interface!$D$219</definedName>
    <definedName function="false" hidden="false" name="WIF_Funding_googl_2025_lnc" vbProcedure="false">Interface!$D$231</definedName>
    <definedName function="false" hidden="false" name="WIF_Funding_googl_2025_ocf" vbProcedure="false">Interface!$D$229</definedName>
    <definedName function="false" hidden="false" name="WIF_Funding_googl_2025_other_pct" vbProcedure="false">Interface!$D$222</definedName>
    <definedName function="false" hidden="false" name="WIF_Funding_googl_2026_capex" vbProcedure="false">Interface!$D$234</definedName>
    <definedName function="false" hidden="false" name="WIF_Funding_googl_2026_debt_pct" vbProcedure="false">Interface!$D$238</definedName>
    <definedName function="false" hidden="false" name="WIF_Funding_googl_2026_debt_raised" vbProcedure="false">Interface!$D$249</definedName>
    <definedName function="false" hidden="false" name="WIF_Funding_googl_2026_equity_pct" vbProcedure="false">Interface!$D$237</definedName>
    <definedName function="false" hidden="false" name="WIF_Funding_googl_2026_equity_raised" vbProcedure="false">Interface!$D$250</definedName>
    <definedName function="false" hidden="false" name="WIF_Funding_googl_2026_fcf" vbProcedure="false">Interface!$D$247</definedName>
    <definedName function="false" hidden="false" name="WIF_Funding_googl_2026_gross_debt_pct" vbProcedure="false">Interface!$D$243</definedName>
    <definedName function="false" hidden="false" name="WIF_Funding_googl_2026_gross_equity_pct" vbProcedure="false">Interface!$D$244</definedName>
    <definedName function="false" hidden="false" name="WIF_Funding_googl_2026_gross_ext" vbProcedure="false">Interface!$D$240</definedName>
    <definedName function="false" hidden="false" name="WIF_Funding_googl_2026_gross_ext_pct" vbProcedure="false">Interface!$D$241</definedName>
    <definedName function="false" hidden="false" name="WIF_Funding_googl_2026_gross_lease_jv_pct" vbProcedure="false">Interface!$D$245</definedName>
    <definedName function="false" hidden="false" name="WIF_Funding_googl_2026_gross_ocf_pct" vbProcedure="false">Interface!$D$242</definedName>
    <definedName function="false" hidden="false" name="WIF_Funding_googl_2026_int_pct" vbProcedure="false">Interface!$D$235</definedName>
    <definedName function="false" hidden="false" name="WIF_Funding_googl_2026_lease_pct" vbProcedure="false">Interface!$D$236</definedName>
    <definedName function="false" hidden="false" name="WIF_Funding_googl_2026_lnc" vbProcedure="false">Interface!$D$248</definedName>
    <definedName function="false" hidden="false" name="WIF_Funding_googl_2026_ocf" vbProcedure="false">Interface!$D$246</definedName>
    <definedName function="false" hidden="false" name="WIF_Funding_googl_2026_other_pct" vbProcedure="false">Interface!$D$239</definedName>
    <definedName function="false" hidden="false" name="WIF_Funding_meta_2024_capex" vbProcedure="false">Interface!$D$302</definedName>
    <definedName function="false" hidden="false" name="WIF_Funding_meta_2024_debt_pct" vbProcedure="false">Interface!$D$306</definedName>
    <definedName function="false" hidden="false" name="WIF_Funding_meta_2024_debt_raised" vbProcedure="false">Interface!$D$317</definedName>
    <definedName function="false" hidden="false" name="WIF_Funding_meta_2024_equity_pct" vbProcedure="false">Interface!$D$305</definedName>
    <definedName function="false" hidden="false" name="WIF_Funding_meta_2024_equity_raised" vbProcedure="false">Interface!$D$318</definedName>
    <definedName function="false" hidden="false" name="WIF_Funding_meta_2024_fcf" vbProcedure="false">Interface!$D$315</definedName>
    <definedName function="false" hidden="false" name="WIF_Funding_meta_2024_gross_debt_pct" vbProcedure="false">Interface!$D$311</definedName>
    <definedName function="false" hidden="false" name="WIF_Funding_meta_2024_gross_equity_pct" vbProcedure="false">Interface!$D$312</definedName>
    <definedName function="false" hidden="false" name="WIF_Funding_meta_2024_gross_ext" vbProcedure="false">Interface!$D$308</definedName>
    <definedName function="false" hidden="false" name="WIF_Funding_meta_2024_gross_ext_pct" vbProcedure="false">Interface!$D$309</definedName>
    <definedName function="false" hidden="false" name="WIF_Funding_meta_2024_gross_lease_jv_pct" vbProcedure="false">Interface!$D$313</definedName>
    <definedName function="false" hidden="false" name="WIF_Funding_meta_2024_gross_ocf_pct" vbProcedure="false">Interface!$D$310</definedName>
    <definedName function="false" hidden="false" name="WIF_Funding_meta_2024_int_pct" vbProcedure="false">Interface!$D$303</definedName>
    <definedName function="false" hidden="false" name="WIF_Funding_meta_2024_lease_pct" vbProcedure="false">Interface!$D$304</definedName>
    <definedName function="false" hidden="false" name="WIF_Funding_meta_2024_lnc" vbProcedure="false">Interface!$D$316</definedName>
    <definedName function="false" hidden="false" name="WIF_Funding_meta_2024_ocf" vbProcedure="false">Interface!$D$314</definedName>
    <definedName function="false" hidden="false" name="WIF_Funding_meta_2024_other_pct" vbProcedure="false">Interface!$D$307</definedName>
    <definedName function="false" hidden="false" name="WIF_Funding_meta_2025_capex" vbProcedure="false">Interface!$D$319</definedName>
    <definedName function="false" hidden="false" name="WIF_Funding_meta_2025_debt_pct" vbProcedure="false">Interface!$D$323</definedName>
    <definedName function="false" hidden="false" name="WIF_Funding_meta_2025_debt_raised" vbProcedure="false">Interface!$D$334</definedName>
    <definedName function="false" hidden="false" name="WIF_Funding_meta_2025_equity_pct" vbProcedure="false">Interface!$D$322</definedName>
    <definedName function="false" hidden="false" name="WIF_Funding_meta_2025_equity_raised" vbProcedure="false">Interface!$D$335</definedName>
    <definedName function="false" hidden="false" name="WIF_Funding_meta_2025_fcf" vbProcedure="false">Interface!$D$332</definedName>
    <definedName function="false" hidden="false" name="WIF_Funding_meta_2025_gross_debt_pct" vbProcedure="false">Interface!$D$328</definedName>
    <definedName function="false" hidden="false" name="WIF_Funding_meta_2025_gross_equity_pct" vbProcedure="false">Interface!$D$329</definedName>
    <definedName function="false" hidden="false" name="WIF_Funding_meta_2025_gross_ext" vbProcedure="false">Interface!$D$325</definedName>
    <definedName function="false" hidden="false" name="WIF_Funding_meta_2025_gross_ext_pct" vbProcedure="false">Interface!$D$326</definedName>
    <definedName function="false" hidden="false" name="WIF_Funding_meta_2025_gross_lease_jv_pct" vbProcedure="false">Interface!$D$330</definedName>
    <definedName function="false" hidden="false" name="WIF_Funding_meta_2025_gross_ocf_pct" vbProcedure="false">Interface!$D$327</definedName>
    <definedName function="false" hidden="false" name="WIF_Funding_meta_2025_int_pct" vbProcedure="false">Interface!$D$320</definedName>
    <definedName function="false" hidden="false" name="WIF_Funding_meta_2025_lease_pct" vbProcedure="false">Interface!$D$321</definedName>
    <definedName function="false" hidden="false" name="WIF_Funding_meta_2025_lnc" vbProcedure="false">Interface!$D$333</definedName>
    <definedName function="false" hidden="false" name="WIF_Funding_meta_2025_ocf" vbProcedure="false">Interface!$D$331</definedName>
    <definedName function="false" hidden="false" name="WIF_Funding_meta_2025_other_pct" vbProcedure="false">Interface!$D$324</definedName>
    <definedName function="false" hidden="false" name="WIF_Funding_meta_2026_capex" vbProcedure="false">Interface!$D$336</definedName>
    <definedName function="false" hidden="false" name="WIF_Funding_meta_2026_debt_pct" vbProcedure="false">Interface!$D$340</definedName>
    <definedName function="false" hidden="false" name="WIF_Funding_meta_2026_debt_raised" vbProcedure="false">Interface!$D$351</definedName>
    <definedName function="false" hidden="false" name="WIF_Funding_meta_2026_equity_pct" vbProcedure="false">Interface!$D$339</definedName>
    <definedName function="false" hidden="false" name="WIF_Funding_meta_2026_equity_raised" vbProcedure="false">Interface!$D$352</definedName>
    <definedName function="false" hidden="false" name="WIF_Funding_meta_2026_fcf" vbProcedure="false">Interface!$D$349</definedName>
    <definedName function="false" hidden="false" name="WIF_Funding_meta_2026_gross_debt_pct" vbProcedure="false">Interface!$D$345</definedName>
    <definedName function="false" hidden="false" name="WIF_Funding_meta_2026_gross_equity_pct" vbProcedure="false">Interface!$D$346</definedName>
    <definedName function="false" hidden="false" name="WIF_Funding_meta_2026_gross_ext" vbProcedure="false">Interface!$D$342</definedName>
    <definedName function="false" hidden="false" name="WIF_Funding_meta_2026_gross_ext_pct" vbProcedure="false">Interface!$D$343</definedName>
    <definedName function="false" hidden="false" name="WIF_Funding_meta_2026_gross_lease_jv_pct" vbProcedure="false">Interface!$D$347</definedName>
    <definedName function="false" hidden="false" name="WIF_Funding_meta_2026_gross_ocf_pct" vbProcedure="false">Interface!$D$344</definedName>
    <definedName function="false" hidden="false" name="WIF_Funding_meta_2026_int_pct" vbProcedure="false">Interface!$D$337</definedName>
    <definedName function="false" hidden="false" name="WIF_Funding_meta_2026_lease_pct" vbProcedure="false">Interface!$D$338</definedName>
    <definedName function="false" hidden="false" name="WIF_Funding_meta_2026_lnc" vbProcedure="false">Interface!$D$350</definedName>
    <definedName function="false" hidden="false" name="WIF_Funding_meta_2026_ocf" vbProcedure="false">Interface!$D$348</definedName>
    <definedName function="false" hidden="false" name="WIF_Funding_meta_2026_other_pct" vbProcedure="false">Interface!$D$341</definedName>
    <definedName function="false" hidden="false" name="WIF_Funding_msft_2024_capex" vbProcedure="false">Interface!$D$149</definedName>
    <definedName function="false" hidden="false" name="WIF_Funding_msft_2024_debt_pct" vbProcedure="false">Interface!$D$153</definedName>
    <definedName function="false" hidden="false" name="WIF_Funding_msft_2024_debt_raised" vbProcedure="false">Interface!$D$164</definedName>
    <definedName function="false" hidden="false" name="WIF_Funding_msft_2024_equity_pct" vbProcedure="false">Interface!$D$152</definedName>
    <definedName function="false" hidden="false" name="WIF_Funding_msft_2024_equity_raised" vbProcedure="false">Interface!$D$165</definedName>
    <definedName function="false" hidden="false" name="WIF_Funding_msft_2024_fcf" vbProcedure="false">Interface!$D$162</definedName>
    <definedName function="false" hidden="false" name="WIF_Funding_msft_2024_gross_debt_pct" vbProcedure="false">Interface!$D$158</definedName>
    <definedName function="false" hidden="false" name="WIF_Funding_msft_2024_gross_equity_pct" vbProcedure="false">Interface!$D$159</definedName>
    <definedName function="false" hidden="false" name="WIF_Funding_msft_2024_gross_ext" vbProcedure="false">Interface!$D$155</definedName>
    <definedName function="false" hidden="false" name="WIF_Funding_msft_2024_gross_ext_pct" vbProcedure="false">Interface!$D$156</definedName>
    <definedName function="false" hidden="false" name="WIF_Funding_msft_2024_gross_lease_jv_pct" vbProcedure="false">Interface!$D$160</definedName>
    <definedName function="false" hidden="false" name="WIF_Funding_msft_2024_gross_ocf_pct" vbProcedure="false">Interface!$D$157</definedName>
    <definedName function="false" hidden="false" name="WIF_Funding_msft_2024_int_pct" vbProcedure="false">Interface!$D$150</definedName>
    <definedName function="false" hidden="false" name="WIF_Funding_msft_2024_lease_pct" vbProcedure="false">Interface!$D$151</definedName>
    <definedName function="false" hidden="false" name="WIF_Funding_msft_2024_lnc" vbProcedure="false">Interface!$D$163</definedName>
    <definedName function="false" hidden="false" name="WIF_Funding_msft_2024_ocf" vbProcedure="false">Interface!$D$161</definedName>
    <definedName function="false" hidden="false" name="WIF_Funding_msft_2024_other_pct" vbProcedure="false">Interface!$D$154</definedName>
    <definedName function="false" hidden="false" name="WIF_Funding_msft_2025_capex" vbProcedure="false">Interface!$D$166</definedName>
    <definedName function="false" hidden="false" name="WIF_Funding_msft_2025_debt_pct" vbProcedure="false">Interface!$D$170</definedName>
    <definedName function="false" hidden="false" name="WIF_Funding_msft_2025_debt_raised" vbProcedure="false">Interface!$D$181</definedName>
    <definedName function="false" hidden="false" name="WIF_Funding_msft_2025_equity_pct" vbProcedure="false">Interface!$D$169</definedName>
    <definedName function="false" hidden="false" name="WIF_Funding_msft_2025_equity_raised" vbProcedure="false">Interface!$D$182</definedName>
    <definedName function="false" hidden="false" name="WIF_Funding_msft_2025_fcf" vbProcedure="false">Interface!$D$179</definedName>
    <definedName function="false" hidden="false" name="WIF_Funding_msft_2025_gross_debt_pct" vbProcedure="false">Interface!$D$175</definedName>
    <definedName function="false" hidden="false" name="WIF_Funding_msft_2025_gross_equity_pct" vbProcedure="false">Interface!$D$176</definedName>
    <definedName function="false" hidden="false" name="WIF_Funding_msft_2025_gross_ext" vbProcedure="false">Interface!$D$172</definedName>
    <definedName function="false" hidden="false" name="WIF_Funding_msft_2025_gross_ext_pct" vbProcedure="false">Interface!$D$173</definedName>
    <definedName function="false" hidden="false" name="WIF_Funding_msft_2025_gross_lease_jv_pct" vbProcedure="false">Interface!$D$177</definedName>
    <definedName function="false" hidden="false" name="WIF_Funding_msft_2025_gross_ocf_pct" vbProcedure="false">Interface!$D$174</definedName>
    <definedName function="false" hidden="false" name="WIF_Funding_msft_2025_int_pct" vbProcedure="false">Interface!$D$167</definedName>
    <definedName function="false" hidden="false" name="WIF_Funding_msft_2025_lease_pct" vbProcedure="false">Interface!$D$168</definedName>
    <definedName function="false" hidden="false" name="WIF_Funding_msft_2025_lnc" vbProcedure="false">Interface!$D$180</definedName>
    <definedName function="false" hidden="false" name="WIF_Funding_msft_2025_ocf" vbProcedure="false">Interface!$D$178</definedName>
    <definedName function="false" hidden="false" name="WIF_Funding_msft_2025_other_pct" vbProcedure="false">Interface!$D$171</definedName>
    <definedName function="false" hidden="false" name="WIF_Funding_msft_2026_capex" vbProcedure="false">Interface!$D$183</definedName>
    <definedName function="false" hidden="false" name="WIF_Funding_msft_2026_debt_pct" vbProcedure="false">Interface!$D$187</definedName>
    <definedName function="false" hidden="false" name="WIF_Funding_msft_2026_debt_raised" vbProcedure="false">Interface!$D$198</definedName>
    <definedName function="false" hidden="false" name="WIF_Funding_msft_2026_equity_pct" vbProcedure="false">Interface!$D$186</definedName>
    <definedName function="false" hidden="false" name="WIF_Funding_msft_2026_equity_raised" vbProcedure="false">Interface!$D$199</definedName>
    <definedName function="false" hidden="false" name="WIF_Funding_msft_2026_fcf" vbProcedure="false">Interface!$D$196</definedName>
    <definedName function="false" hidden="false" name="WIF_Funding_msft_2026_gross_debt_pct" vbProcedure="false">Interface!$D$192</definedName>
    <definedName function="false" hidden="false" name="WIF_Funding_msft_2026_gross_equity_pct" vbProcedure="false">Interface!$D$193</definedName>
    <definedName function="false" hidden="false" name="WIF_Funding_msft_2026_gross_ext" vbProcedure="false">Interface!$D$189</definedName>
    <definedName function="false" hidden="false" name="WIF_Funding_msft_2026_gross_ext_pct" vbProcedure="false">Interface!$D$190</definedName>
    <definedName function="false" hidden="false" name="WIF_Funding_msft_2026_gross_lease_jv_pct" vbProcedure="false">Interface!$D$194</definedName>
    <definedName function="false" hidden="false" name="WIF_Funding_msft_2026_gross_ocf_pct" vbProcedure="false">Interface!$D$191</definedName>
    <definedName function="false" hidden="false" name="WIF_Funding_msft_2026_int_pct" vbProcedure="false">Interface!$D$184</definedName>
    <definedName function="false" hidden="false" name="WIF_Funding_msft_2026_lease_pct" vbProcedure="false">Interface!$D$185</definedName>
    <definedName function="false" hidden="false" name="WIF_Funding_msft_2026_lnc" vbProcedure="false">Interface!$D$197</definedName>
    <definedName function="false" hidden="false" name="WIF_Funding_msft_2026_ocf" vbProcedure="false">Interface!$D$195</definedName>
    <definedName function="false" hidden="false" name="WIF_Funding_msft_2026_other_pct" vbProcedure="false">Interface!$D$188</definedName>
    <definedName function="false" hidden="false" name="WIF_Funding_nbis_2025_capex" vbProcedure="false">Interface!$D$455</definedName>
    <definedName function="false" hidden="false" name="WIF_Funding_nbis_2025_debt_pct" vbProcedure="false">Interface!$D$459</definedName>
    <definedName function="false" hidden="false" name="WIF_Funding_nbis_2025_debt_raised" vbProcedure="false">Interface!$D$470</definedName>
    <definedName function="false" hidden="false" name="WIF_Funding_nbis_2025_equity_pct" vbProcedure="false">Interface!$D$458</definedName>
    <definedName function="false" hidden="false" name="WIF_Funding_nbis_2025_equity_raised" vbProcedure="false">Interface!$D$471</definedName>
    <definedName function="false" hidden="false" name="WIF_Funding_nbis_2025_fcf" vbProcedure="false">Interface!$D$468</definedName>
    <definedName function="false" hidden="false" name="WIF_Funding_nbis_2025_gross_debt_pct" vbProcedure="false">Interface!$D$464</definedName>
    <definedName function="false" hidden="false" name="WIF_Funding_nbis_2025_gross_equity_pct" vbProcedure="false">Interface!$D$465</definedName>
    <definedName function="false" hidden="false" name="WIF_Funding_nbis_2025_gross_ext" vbProcedure="false">Interface!$D$461</definedName>
    <definedName function="false" hidden="false" name="WIF_Funding_nbis_2025_gross_ext_pct" vbProcedure="false">Interface!$D$462</definedName>
    <definedName function="false" hidden="false" name="WIF_Funding_nbis_2025_gross_lease_jv_pct" vbProcedure="false">Interface!$D$466</definedName>
    <definedName function="false" hidden="false" name="WIF_Funding_nbis_2025_gross_ocf_pct" vbProcedure="false">Interface!$D$463</definedName>
    <definedName function="false" hidden="false" name="WIF_Funding_nbis_2025_int_pct" vbProcedure="false">Interface!$D$456</definedName>
    <definedName function="false" hidden="false" name="WIF_Funding_nbis_2025_lease_pct" vbProcedure="false">Interface!$D$457</definedName>
    <definedName function="false" hidden="false" name="WIF_Funding_nbis_2025_lnc" vbProcedure="false">Interface!$D$469</definedName>
    <definedName function="false" hidden="false" name="WIF_Funding_nbis_2025_ocf" vbProcedure="false">Interface!$D$467</definedName>
    <definedName function="false" hidden="false" name="WIF_Funding_nbis_2025_other_pct" vbProcedure="false">Interface!$D$460</definedName>
    <definedName function="false" hidden="false" name="WIF_Funding_nbis_2026_capex" vbProcedure="false">Interface!$D$472</definedName>
    <definedName function="false" hidden="false" name="WIF_Funding_nbis_2026_debt_pct" vbProcedure="false">Interface!$D$476</definedName>
    <definedName function="false" hidden="false" name="WIF_Funding_nbis_2026_debt_raised" vbProcedure="false">Interface!$D$487</definedName>
    <definedName function="false" hidden="false" name="WIF_Funding_nbis_2026_equity_pct" vbProcedure="false">Interface!$D$475</definedName>
    <definedName function="false" hidden="false" name="WIF_Funding_nbis_2026_equity_raised" vbProcedure="false">Interface!$D$488</definedName>
    <definedName function="false" hidden="false" name="WIF_Funding_nbis_2026_fcf" vbProcedure="false">Interface!$D$485</definedName>
    <definedName function="false" hidden="false" name="WIF_Funding_nbis_2026_gross_debt_pct" vbProcedure="false">Interface!$D$481</definedName>
    <definedName function="false" hidden="false" name="WIF_Funding_nbis_2026_gross_equity_pct" vbProcedure="false">Interface!$D$482</definedName>
    <definedName function="false" hidden="false" name="WIF_Funding_nbis_2026_gross_ext" vbProcedure="false">Interface!$D$478</definedName>
    <definedName function="false" hidden="false" name="WIF_Funding_nbis_2026_gross_ext_pct" vbProcedure="false">Interface!$D$479</definedName>
    <definedName function="false" hidden="false" name="WIF_Funding_nbis_2026_gross_lease_jv_pct" vbProcedure="false">Interface!$D$483</definedName>
    <definedName function="false" hidden="false" name="WIF_Funding_nbis_2026_gross_ocf_pct" vbProcedure="false">Interface!$D$480</definedName>
    <definedName function="false" hidden="false" name="WIF_Funding_nbis_2026_int_pct" vbProcedure="false">Interface!$D$473</definedName>
    <definedName function="false" hidden="false" name="WIF_Funding_nbis_2026_lease_pct" vbProcedure="false">Interface!$D$474</definedName>
    <definedName function="false" hidden="false" name="WIF_Funding_nbis_2026_lnc" vbProcedure="false">Interface!$D$486</definedName>
    <definedName function="false" hidden="false" name="WIF_Funding_nbis_2026_ocf" vbProcedure="false">Interface!$D$484</definedName>
    <definedName function="false" hidden="false" name="WIF_Funding_nbis_2026_other_pct" vbProcedure="false">Interface!$D$477</definedName>
    <definedName function="false" hidden="false" name="WIF_Funding_oai_2025_capex" vbProcedure="false">Interface!$D$523</definedName>
    <definedName function="false" hidden="false" name="WIF_Funding_oai_2025_debt_pct" vbProcedure="false">Interface!$D$527</definedName>
    <definedName function="false" hidden="false" name="WIF_Funding_oai_2025_debt_raised" vbProcedure="false">Interface!$D$538</definedName>
    <definedName function="false" hidden="false" name="WIF_Funding_oai_2025_equity_pct" vbProcedure="false">Interface!$D$526</definedName>
    <definedName function="false" hidden="false" name="WIF_Funding_oai_2025_equity_raised" vbProcedure="false">Interface!$D$539</definedName>
    <definedName function="false" hidden="false" name="WIF_Funding_oai_2025_fcf" vbProcedure="false">Interface!$D$536</definedName>
    <definedName function="false" hidden="false" name="WIF_Funding_oai_2025_gross_debt_pct" vbProcedure="false">Interface!$D$532</definedName>
    <definedName function="false" hidden="false" name="WIF_Funding_oai_2025_gross_equity_pct" vbProcedure="false">Interface!$D$533</definedName>
    <definedName function="false" hidden="false" name="WIF_Funding_oai_2025_gross_ext" vbProcedure="false">Interface!$D$529</definedName>
    <definedName function="false" hidden="false" name="WIF_Funding_oai_2025_gross_ext_pct" vbProcedure="false">Interface!$D$530</definedName>
    <definedName function="false" hidden="false" name="WIF_Funding_oai_2025_gross_lease_jv_pct" vbProcedure="false">Interface!$D$534</definedName>
    <definedName function="false" hidden="false" name="WIF_Funding_oai_2025_gross_ocf_pct" vbProcedure="false">Interface!$D$531</definedName>
    <definedName function="false" hidden="false" name="WIF_Funding_oai_2025_int_pct" vbProcedure="false">Interface!$D$524</definedName>
    <definedName function="false" hidden="false" name="WIF_Funding_oai_2025_lease_pct" vbProcedure="false">Interface!$D$525</definedName>
    <definedName function="false" hidden="false" name="WIF_Funding_oai_2025_lnc" vbProcedure="false">Interface!$D$537</definedName>
    <definedName function="false" hidden="false" name="WIF_Funding_oai_2025_ocf" vbProcedure="false">Interface!$D$535</definedName>
    <definedName function="false" hidden="false" name="WIF_Funding_oai_2025_other_pct" vbProcedure="false">Interface!$D$528</definedName>
    <definedName function="false" hidden="false" name="WIF_Funding_oai_2026_capex" vbProcedure="false">Interface!$D$540</definedName>
    <definedName function="false" hidden="false" name="WIF_Funding_oai_2026_debt_pct" vbProcedure="false">Interface!$D$544</definedName>
    <definedName function="false" hidden="false" name="WIF_Funding_oai_2026_debt_raised" vbProcedure="false">Interface!$D$555</definedName>
    <definedName function="false" hidden="false" name="WIF_Funding_oai_2026_equity_pct" vbProcedure="false">Interface!$D$543</definedName>
    <definedName function="false" hidden="false" name="WIF_Funding_oai_2026_equity_raised" vbProcedure="false">Interface!$D$556</definedName>
    <definedName function="false" hidden="false" name="WIF_Funding_oai_2026_fcf" vbProcedure="false">Interface!$D$553</definedName>
    <definedName function="false" hidden="false" name="WIF_Funding_oai_2026_gross_debt_pct" vbProcedure="false">Interface!$D$549</definedName>
    <definedName function="false" hidden="false" name="WIF_Funding_oai_2026_gross_equity_pct" vbProcedure="false">Interface!$D$550</definedName>
    <definedName function="false" hidden="false" name="WIF_Funding_oai_2026_gross_ext" vbProcedure="false">Interface!$D$546</definedName>
    <definedName function="false" hidden="false" name="WIF_Funding_oai_2026_gross_ext_pct" vbProcedure="false">Interface!$D$547</definedName>
    <definedName function="false" hidden="false" name="WIF_Funding_oai_2026_gross_lease_jv_pct" vbProcedure="false">Interface!$D$551</definedName>
    <definedName function="false" hidden="false" name="WIF_Funding_oai_2026_gross_ocf_pct" vbProcedure="false">Interface!$D$548</definedName>
    <definedName function="false" hidden="false" name="WIF_Funding_oai_2026_int_pct" vbProcedure="false">Interface!$D$541</definedName>
    <definedName function="false" hidden="false" name="WIF_Funding_oai_2026_lease_pct" vbProcedure="false">Interface!$D$542</definedName>
    <definedName function="false" hidden="false" name="WIF_Funding_oai_2026_lnc" vbProcedure="false">Interface!$D$554</definedName>
    <definedName function="false" hidden="false" name="WIF_Funding_oai_2026_ocf" vbProcedure="false">Interface!$D$552</definedName>
    <definedName function="false" hidden="false" name="WIF_Funding_oai_2026_other_pct" vbProcedure="false">Interface!$D$545</definedName>
    <definedName function="false" hidden="false" name="WIF_Funding_orcl_2024_capex" vbProcedure="false">Interface!$D$353</definedName>
    <definedName function="false" hidden="false" name="WIF_Funding_orcl_2024_debt_pct" vbProcedure="false">Interface!$D$357</definedName>
    <definedName function="false" hidden="false" name="WIF_Funding_orcl_2024_debt_raised" vbProcedure="false">Interface!$D$368</definedName>
    <definedName function="false" hidden="false" name="WIF_Funding_orcl_2024_equity_pct" vbProcedure="false">Interface!$D$356</definedName>
    <definedName function="false" hidden="false" name="WIF_Funding_orcl_2024_equity_raised" vbProcedure="false">Interface!$D$369</definedName>
    <definedName function="false" hidden="false" name="WIF_Funding_orcl_2024_fcf" vbProcedure="false">Interface!$D$366</definedName>
    <definedName function="false" hidden="false" name="WIF_Funding_orcl_2024_gross_debt_pct" vbProcedure="false">Interface!$D$362</definedName>
    <definedName function="false" hidden="false" name="WIF_Funding_orcl_2024_gross_equity_pct" vbProcedure="false">Interface!$D$363</definedName>
    <definedName function="false" hidden="false" name="WIF_Funding_orcl_2024_gross_ext" vbProcedure="false">Interface!$D$359</definedName>
    <definedName function="false" hidden="false" name="WIF_Funding_orcl_2024_gross_ext_pct" vbProcedure="false">Interface!$D$360</definedName>
    <definedName function="false" hidden="false" name="WIF_Funding_orcl_2024_gross_lease_jv_pct" vbProcedure="false">Interface!$D$364</definedName>
    <definedName function="false" hidden="false" name="WIF_Funding_orcl_2024_gross_ocf_pct" vbProcedure="false">Interface!$D$361</definedName>
    <definedName function="false" hidden="false" name="WIF_Funding_orcl_2024_int_pct" vbProcedure="false">Interface!$D$354</definedName>
    <definedName function="false" hidden="false" name="WIF_Funding_orcl_2024_lease_pct" vbProcedure="false">Interface!$D$355</definedName>
    <definedName function="false" hidden="false" name="WIF_Funding_orcl_2024_lnc" vbProcedure="false">Interface!$D$367</definedName>
    <definedName function="false" hidden="false" name="WIF_Funding_orcl_2024_ocf" vbProcedure="false">Interface!$D$365</definedName>
    <definedName function="false" hidden="false" name="WIF_Funding_orcl_2024_other_pct" vbProcedure="false">Interface!$D$358</definedName>
    <definedName function="false" hidden="false" name="WIF_Funding_orcl_2025_capex" vbProcedure="false">Interface!$D$370</definedName>
    <definedName function="false" hidden="false" name="WIF_Funding_orcl_2025_debt_pct" vbProcedure="false">Interface!$D$374</definedName>
    <definedName function="false" hidden="false" name="WIF_Funding_orcl_2025_debt_raised" vbProcedure="false">Interface!$D$385</definedName>
    <definedName function="false" hidden="false" name="WIF_Funding_orcl_2025_equity_pct" vbProcedure="false">Interface!$D$373</definedName>
    <definedName function="false" hidden="false" name="WIF_Funding_orcl_2025_equity_raised" vbProcedure="false">Interface!$D$386</definedName>
    <definedName function="false" hidden="false" name="WIF_Funding_orcl_2025_fcf" vbProcedure="false">Interface!$D$383</definedName>
    <definedName function="false" hidden="false" name="WIF_Funding_orcl_2025_gross_debt_pct" vbProcedure="false">Interface!$D$379</definedName>
    <definedName function="false" hidden="false" name="WIF_Funding_orcl_2025_gross_equity_pct" vbProcedure="false">Interface!$D$380</definedName>
    <definedName function="false" hidden="false" name="WIF_Funding_orcl_2025_gross_ext" vbProcedure="false">Interface!$D$376</definedName>
    <definedName function="false" hidden="false" name="WIF_Funding_orcl_2025_gross_ext_pct" vbProcedure="false">Interface!$D$377</definedName>
    <definedName function="false" hidden="false" name="WIF_Funding_orcl_2025_gross_lease_jv_pct" vbProcedure="false">Interface!$D$381</definedName>
    <definedName function="false" hidden="false" name="WIF_Funding_orcl_2025_gross_ocf_pct" vbProcedure="false">Interface!$D$378</definedName>
    <definedName function="false" hidden="false" name="WIF_Funding_orcl_2025_int_pct" vbProcedure="false">Interface!$D$371</definedName>
    <definedName function="false" hidden="false" name="WIF_Funding_orcl_2025_lease_pct" vbProcedure="false">Interface!$D$372</definedName>
    <definedName function="false" hidden="false" name="WIF_Funding_orcl_2025_lnc" vbProcedure="false">Interface!$D$384</definedName>
    <definedName function="false" hidden="false" name="WIF_Funding_orcl_2025_ocf" vbProcedure="false">Interface!$D$382</definedName>
    <definedName function="false" hidden="false" name="WIF_Funding_orcl_2025_other_pct" vbProcedure="false">Interface!$D$375</definedName>
    <definedName function="false" hidden="false" name="WIF_Funding_orcl_2026_capex" vbProcedure="false">Interface!$D$387</definedName>
    <definedName function="false" hidden="false" name="WIF_Funding_orcl_2026_debt_pct" vbProcedure="false">Interface!$D$391</definedName>
    <definedName function="false" hidden="false" name="WIF_Funding_orcl_2026_debt_raised" vbProcedure="false">Interface!$D$402</definedName>
    <definedName function="false" hidden="false" name="WIF_Funding_orcl_2026_equity_pct" vbProcedure="false">Interface!$D$390</definedName>
    <definedName function="false" hidden="false" name="WIF_Funding_orcl_2026_equity_raised" vbProcedure="false">Interface!$D$403</definedName>
    <definedName function="false" hidden="false" name="WIF_Funding_orcl_2026_fcf" vbProcedure="false">Interface!$D$400</definedName>
    <definedName function="false" hidden="false" name="WIF_Funding_orcl_2026_gross_debt_pct" vbProcedure="false">Interface!$D$396</definedName>
    <definedName function="false" hidden="false" name="WIF_Funding_orcl_2026_gross_equity_pct" vbProcedure="false">Interface!$D$397</definedName>
    <definedName function="false" hidden="false" name="WIF_Funding_orcl_2026_gross_ext" vbProcedure="false">Interface!$D$393</definedName>
    <definedName function="false" hidden="false" name="WIF_Funding_orcl_2026_gross_ext_pct" vbProcedure="false">Interface!$D$394</definedName>
    <definedName function="false" hidden="false" name="WIF_Funding_orcl_2026_gross_lease_jv_pct" vbProcedure="false">Interface!$D$398</definedName>
    <definedName function="false" hidden="false" name="WIF_Funding_orcl_2026_gross_ocf_pct" vbProcedure="false">Interface!$D$395</definedName>
    <definedName function="false" hidden="false" name="WIF_Funding_orcl_2026_int_pct" vbProcedure="false">Interface!$D$388</definedName>
    <definedName function="false" hidden="false" name="WIF_Funding_orcl_2026_lease_pct" vbProcedure="false">Interface!$D$389</definedName>
    <definedName function="false" hidden="false" name="WIF_Funding_orcl_2026_lnc" vbProcedure="false">Interface!$D$401</definedName>
    <definedName function="false" hidden="false" name="WIF_Funding_orcl_2026_ocf" vbProcedure="false">Interface!$D$399</definedName>
    <definedName function="false" hidden="false" name="WIF_Funding_orcl_2026_other_pct" vbProcedure="false">Interface!$D$392</definedName>
    <definedName function="false" hidden="false" name="WIF_Funding_xai_2025_capex" vbProcedure="false">Interface!$D$489</definedName>
    <definedName function="false" hidden="false" name="WIF_Funding_xai_2025_debt_pct" vbProcedure="false">Interface!$D$493</definedName>
    <definedName function="false" hidden="false" name="WIF_Funding_xai_2025_debt_raised" vbProcedure="false">Interface!$D$504</definedName>
    <definedName function="false" hidden="false" name="WIF_Funding_xai_2025_equity_pct" vbProcedure="false">Interface!$D$492</definedName>
    <definedName function="false" hidden="false" name="WIF_Funding_xai_2025_equity_raised" vbProcedure="false">Interface!$D$505</definedName>
    <definedName function="false" hidden="false" name="WIF_Funding_xai_2025_fcf" vbProcedure="false">Interface!$D$502</definedName>
    <definedName function="false" hidden="false" name="WIF_Funding_xai_2025_gross_debt_pct" vbProcedure="false">Interface!$D$498</definedName>
    <definedName function="false" hidden="false" name="WIF_Funding_xai_2025_gross_equity_pct" vbProcedure="false">Interface!$D$499</definedName>
    <definedName function="false" hidden="false" name="WIF_Funding_xai_2025_gross_ext" vbProcedure="false">Interface!$D$495</definedName>
    <definedName function="false" hidden="false" name="WIF_Funding_xai_2025_gross_ext_pct" vbProcedure="false">Interface!$D$496</definedName>
    <definedName function="false" hidden="false" name="WIF_Funding_xai_2025_gross_lease_jv_pct" vbProcedure="false">Interface!$D$500</definedName>
    <definedName function="false" hidden="false" name="WIF_Funding_xai_2025_gross_ocf_pct" vbProcedure="false">Interface!$D$497</definedName>
    <definedName function="false" hidden="false" name="WIF_Funding_xai_2025_int_pct" vbProcedure="false">Interface!$D$490</definedName>
    <definedName function="false" hidden="false" name="WIF_Funding_xai_2025_lease_pct" vbProcedure="false">Interface!$D$491</definedName>
    <definedName function="false" hidden="false" name="WIF_Funding_xai_2025_lnc" vbProcedure="false">Interface!$D$503</definedName>
    <definedName function="false" hidden="false" name="WIF_Funding_xai_2025_ocf" vbProcedure="false">Interface!$D$501</definedName>
    <definedName function="false" hidden="false" name="WIF_Funding_xai_2025_other_pct" vbProcedure="false">Interface!$D$494</definedName>
    <definedName function="false" hidden="false" name="WIF_Funding_xai_2026_capex" vbProcedure="false">Interface!$D$506</definedName>
    <definedName function="false" hidden="false" name="WIF_Funding_xai_2026_debt_pct" vbProcedure="false">Interface!$D$510</definedName>
    <definedName function="false" hidden="false" name="WIF_Funding_xai_2026_debt_raised" vbProcedure="false">Interface!$D$521</definedName>
    <definedName function="false" hidden="false" name="WIF_Funding_xai_2026_equity_pct" vbProcedure="false">Interface!$D$509</definedName>
    <definedName function="false" hidden="false" name="WIF_Funding_xai_2026_equity_raised" vbProcedure="false">Interface!$D$522</definedName>
    <definedName function="false" hidden="false" name="WIF_Funding_xai_2026_fcf" vbProcedure="false">Interface!$D$519</definedName>
    <definedName function="false" hidden="false" name="WIF_Funding_xai_2026_gross_debt_pct" vbProcedure="false">Interface!$D$515</definedName>
    <definedName function="false" hidden="false" name="WIF_Funding_xai_2026_gross_equity_pct" vbProcedure="false">Interface!$D$516</definedName>
    <definedName function="false" hidden="false" name="WIF_Funding_xai_2026_gross_ext" vbProcedure="false">Interface!$D$512</definedName>
    <definedName function="false" hidden="false" name="WIF_Funding_xai_2026_gross_ext_pct" vbProcedure="false">Interface!$D$513</definedName>
    <definedName function="false" hidden="false" name="WIF_Funding_xai_2026_gross_lease_jv_pct" vbProcedure="false">Interface!$D$517</definedName>
    <definedName function="false" hidden="false" name="WIF_Funding_xai_2026_gross_ocf_pct" vbProcedure="false">Interface!$D$514</definedName>
    <definedName function="false" hidden="false" name="WIF_Funding_xai_2026_int_pct" vbProcedure="false">Interface!$D$507</definedName>
    <definedName function="false" hidden="false" name="WIF_Funding_xai_2026_lease_pct" vbProcedure="false">Interface!$D$508</definedName>
    <definedName function="false" hidden="false" name="WIF_Funding_xai_2026_lnc" vbProcedure="false">Interface!$D$520</definedName>
    <definedName function="false" hidden="false" name="WIF_Funding_xai_2026_ocf" vbProcedure="false">Interface!$D$518</definedName>
    <definedName function="false" hidden="false" name="WIF_Funding_xai_2026_other_pct" vbProcedure="false">Interface!$D$511</definedName>
    <definedName function="false" hidden="false" name="WIF_MktGW_Add_A_D0_2024" vbProcedure="false">Interface!$D$27</definedName>
    <definedName function="false" hidden="false" name="WIF_MktGW_Add_A_D0_2025" vbProcedure="false">Interface!$E$27</definedName>
    <definedName function="false" hidden="false" name="WIF_MktGW_Add_A_D0_2026" vbProcedure="false">Interface!$F$27</definedName>
    <definedName function="false" hidden="false" name="WIF_MktGW_Add_A_D0_2027" vbProcedure="false">Interface!$G$27</definedName>
    <definedName function="false" hidden="false" name="WIF_MktGW_Add_A_D0_2028" vbProcedure="false">Interface!$H$27</definedName>
    <definedName function="false" hidden="false" name="WIF_MktGW_Add_A_D0_2029" vbProcedure="false">Interface!$I$27</definedName>
    <definedName function="false" hidden="false" name="WIF_MktGW_Add_A_D0_2030" vbProcedure="false">Interface!$J$27</definedName>
    <definedName function="false" hidden="false" name="WIF_MktGW_Add_A_D0_2031" vbProcedure="false">Interface!$K$27</definedName>
    <definedName function="false" hidden="false" name="WIF_MktGW_Add_A_D0_2032" vbProcedure="false">Interface!$L$27</definedName>
    <definedName function="false" hidden="false" name="WIF_MktGW_Add_A_D0_SiteOnly_2024" vbProcedure="false">Interface!$D$62</definedName>
    <definedName function="false" hidden="false" name="WIF_MktGW_Add_A_D0_SiteOnly_2025" vbProcedure="false">Interface!$E$62</definedName>
    <definedName function="false" hidden="false" name="WIF_MktGW_Add_A_D0_SiteOnly_2026" vbProcedure="false">Interface!$F$62</definedName>
    <definedName function="false" hidden="false" name="WIF_MktGW_Add_A_D0_SiteOnly_2027" vbProcedure="false">Interface!$G$62</definedName>
    <definedName function="false" hidden="false" name="WIF_MktGW_Add_A_D0_SiteOnly_2028" vbProcedure="false">Interface!$H$62</definedName>
    <definedName function="false" hidden="false" name="WIF_MktGW_Add_A_D0_SiteOnly_2029" vbProcedure="false">Interface!$I$62</definedName>
    <definedName function="false" hidden="false" name="WIF_MktGW_Add_A_D0_SiteOnly_2030" vbProcedure="false">Interface!$J$62</definedName>
    <definedName function="false" hidden="false" name="WIF_MktGW_Add_A_D0_SiteOnly_2031" vbProcedure="false">Interface!$K$62</definedName>
    <definedName function="false" hidden="false" name="WIF_MktGW_Add_A_D0_SiteOnly_2032" vbProcedure="false">Interface!$L$62</definedName>
    <definedName function="false" hidden="false" name="WIF_MktGW_Add_A_D1_2024" vbProcedure="false">Interface!$D$28</definedName>
    <definedName function="false" hidden="false" name="WIF_MktGW_Add_A_D1_2025" vbProcedure="false">Interface!$E$28</definedName>
    <definedName function="false" hidden="false" name="WIF_MktGW_Add_A_D1_2026" vbProcedure="false">Interface!$F$28</definedName>
    <definedName function="false" hidden="false" name="WIF_MktGW_Add_A_D1_2027" vbProcedure="false">Interface!$G$28</definedName>
    <definedName function="false" hidden="false" name="WIF_MktGW_Add_A_D1_2028" vbProcedure="false">Interface!$H$28</definedName>
    <definedName function="false" hidden="false" name="WIF_MktGW_Add_A_D1_2029" vbProcedure="false">Interface!$I$28</definedName>
    <definedName function="false" hidden="false" name="WIF_MktGW_Add_A_D1_2030" vbProcedure="false">Interface!$J$28</definedName>
    <definedName function="false" hidden="false" name="WIF_MktGW_Add_A_D1_2031" vbProcedure="false">Interface!$K$28</definedName>
    <definedName function="false" hidden="false" name="WIF_MktGW_Add_A_D1_2032" vbProcedure="false">Interface!$L$28</definedName>
    <definedName function="false" hidden="false" name="WIF_MktGW_Add_A_D1_SiteOnly_2024" vbProcedure="false">Interface!$D$63</definedName>
    <definedName function="false" hidden="false" name="WIF_MktGW_Add_A_D1_SiteOnly_2025" vbProcedure="false">Interface!$E$63</definedName>
    <definedName function="false" hidden="false" name="WIF_MktGW_Add_A_D1_SiteOnly_2026" vbProcedure="false">Interface!$F$63</definedName>
    <definedName function="false" hidden="false" name="WIF_MktGW_Add_A_D1_SiteOnly_2027" vbProcedure="false">Interface!$G$63</definedName>
    <definedName function="false" hidden="false" name="WIF_MktGW_Add_A_D1_SiteOnly_2028" vbProcedure="false">Interface!$H$63</definedName>
    <definedName function="false" hidden="false" name="WIF_MktGW_Add_A_D1_SiteOnly_2029" vbProcedure="false">Interface!$I$63</definedName>
    <definedName function="false" hidden="false" name="WIF_MktGW_Add_A_D1_SiteOnly_2030" vbProcedure="false">Interface!$J$63</definedName>
    <definedName function="false" hidden="false" name="WIF_MktGW_Add_A_D1_SiteOnly_2031" vbProcedure="false">Interface!$K$63</definedName>
    <definedName function="false" hidden="false" name="WIF_MktGW_Add_A_D1_SiteOnly_2032" vbProcedure="false">Interface!$L$63</definedName>
    <definedName function="false" hidden="false" name="WIF_MktGW_Add_A_D2_2024" vbProcedure="false">Interface!$D$29</definedName>
    <definedName function="false" hidden="false" name="WIF_MktGW_Add_A_D2_2025" vbProcedure="false">Interface!$E$29</definedName>
    <definedName function="false" hidden="false" name="WIF_MktGW_Add_A_D2_2026" vbProcedure="false">Interface!$F$29</definedName>
    <definedName function="false" hidden="false" name="WIF_MktGW_Add_A_D2_2027" vbProcedure="false">Interface!$G$29</definedName>
    <definedName function="false" hidden="false" name="WIF_MktGW_Add_A_D2_2028" vbProcedure="false">Interface!$H$29</definedName>
    <definedName function="false" hidden="false" name="WIF_MktGW_Add_A_D2_2029" vbProcedure="false">Interface!$I$29</definedName>
    <definedName function="false" hidden="false" name="WIF_MktGW_Add_A_D2_2030" vbProcedure="false">Interface!$J$29</definedName>
    <definedName function="false" hidden="false" name="WIF_MktGW_Add_A_D2_2031" vbProcedure="false">Interface!$K$29</definedName>
    <definedName function="false" hidden="false" name="WIF_MktGW_Add_A_D2_2032" vbProcedure="false">Interface!$L$29</definedName>
    <definedName function="false" hidden="false" name="WIF_MktGW_Add_A_D2_SiteOnly_2024" vbProcedure="false">Interface!$D$64</definedName>
    <definedName function="false" hidden="false" name="WIF_MktGW_Add_A_D2_SiteOnly_2025" vbProcedure="false">Interface!$E$64</definedName>
    <definedName function="false" hidden="false" name="WIF_MktGW_Add_A_D2_SiteOnly_2026" vbProcedure="false">Interface!$F$64</definedName>
    <definedName function="false" hidden="false" name="WIF_MktGW_Add_A_D2_SiteOnly_2027" vbProcedure="false">Interface!$G$64</definedName>
    <definedName function="false" hidden="false" name="WIF_MktGW_Add_A_D2_SiteOnly_2028" vbProcedure="false">Interface!$H$64</definedName>
    <definedName function="false" hidden="false" name="WIF_MktGW_Add_A_D2_SiteOnly_2029" vbProcedure="false">Interface!$I$64</definedName>
    <definedName function="false" hidden="false" name="WIF_MktGW_Add_A_D2_SiteOnly_2030" vbProcedure="false">Interface!$J$64</definedName>
    <definedName function="false" hidden="false" name="WIF_MktGW_Add_A_D2_SiteOnly_2031" vbProcedure="false">Interface!$K$64</definedName>
    <definedName function="false" hidden="false" name="WIF_MktGW_Add_A_D2_SiteOnly_2032" vbProcedure="false">Interface!$L$64</definedName>
    <definedName function="false" hidden="false" name="WIF_MktGW_Add_B_D0_2024" vbProcedure="false">Interface!$D$30</definedName>
    <definedName function="false" hidden="false" name="WIF_MktGW_Add_B_D0_2025" vbProcedure="false">Interface!$E$30</definedName>
    <definedName function="false" hidden="false" name="WIF_MktGW_Add_B_D0_2026" vbProcedure="false">Interface!$F$30</definedName>
    <definedName function="false" hidden="false" name="WIF_MktGW_Add_B_D0_2027" vbProcedure="false">Interface!$G$30</definedName>
    <definedName function="false" hidden="false" name="WIF_MktGW_Add_B_D0_2028" vbProcedure="false">Interface!$H$30</definedName>
    <definedName function="false" hidden="false" name="WIF_MktGW_Add_B_D0_2029" vbProcedure="false">Interface!$I$30</definedName>
    <definedName function="false" hidden="false" name="WIF_MktGW_Add_B_D0_2030" vbProcedure="false">Interface!$J$30</definedName>
    <definedName function="false" hidden="false" name="WIF_MktGW_Add_B_D0_2031" vbProcedure="false">Interface!$K$30</definedName>
    <definedName function="false" hidden="false" name="WIF_MktGW_Add_B_D0_2032" vbProcedure="false">Interface!$L$30</definedName>
    <definedName function="false" hidden="false" name="WIF_MktGW_Add_B_D0_SiteOnly_2024" vbProcedure="false">Interface!$D$65</definedName>
    <definedName function="false" hidden="false" name="WIF_MktGW_Add_B_D0_SiteOnly_2025" vbProcedure="false">Interface!$E$65</definedName>
    <definedName function="false" hidden="false" name="WIF_MktGW_Add_B_D0_SiteOnly_2026" vbProcedure="false">Interface!$F$65</definedName>
    <definedName function="false" hidden="false" name="WIF_MktGW_Add_B_D0_SiteOnly_2027" vbProcedure="false">Interface!$G$65</definedName>
    <definedName function="false" hidden="false" name="WIF_MktGW_Add_B_D0_SiteOnly_2028" vbProcedure="false">Interface!$H$65</definedName>
    <definedName function="false" hidden="false" name="WIF_MktGW_Add_B_D0_SiteOnly_2029" vbProcedure="false">Interface!$I$65</definedName>
    <definedName function="false" hidden="false" name="WIF_MktGW_Add_B_D0_SiteOnly_2030" vbProcedure="false">Interface!$J$65</definedName>
    <definedName function="false" hidden="false" name="WIF_MktGW_Add_B_D0_SiteOnly_2031" vbProcedure="false">Interface!$K$65</definedName>
    <definedName function="false" hidden="false" name="WIF_MktGW_Add_B_D0_SiteOnly_2032" vbProcedure="false">Interface!$L$65</definedName>
    <definedName function="false" hidden="false" name="WIF_MktGW_Add_B_D1_2024" vbProcedure="false">Interface!$D$31</definedName>
    <definedName function="false" hidden="false" name="WIF_MktGW_Add_B_D1_2025" vbProcedure="false">Interface!$E$31</definedName>
    <definedName function="false" hidden="false" name="WIF_MktGW_Add_B_D1_2026" vbProcedure="false">Interface!$F$31</definedName>
    <definedName function="false" hidden="false" name="WIF_MktGW_Add_B_D1_2027" vbProcedure="false">Interface!$G$31</definedName>
    <definedName function="false" hidden="false" name="WIF_MktGW_Add_B_D1_2028" vbProcedure="false">Interface!$H$31</definedName>
    <definedName function="false" hidden="false" name="WIF_MktGW_Add_B_D1_2029" vbProcedure="false">Interface!$I$31</definedName>
    <definedName function="false" hidden="false" name="WIF_MktGW_Add_B_D1_2030" vbProcedure="false">Interface!$J$31</definedName>
    <definedName function="false" hidden="false" name="WIF_MktGW_Add_B_D1_2031" vbProcedure="false">Interface!$K$31</definedName>
    <definedName function="false" hidden="false" name="WIF_MktGW_Add_B_D1_2032" vbProcedure="false">Interface!$L$31</definedName>
    <definedName function="false" hidden="false" name="WIF_MktGW_Add_B_D1_SiteOnly_2024" vbProcedure="false">Interface!$D$66</definedName>
    <definedName function="false" hidden="false" name="WIF_MktGW_Add_B_D1_SiteOnly_2025" vbProcedure="false">Interface!$E$66</definedName>
    <definedName function="false" hidden="false" name="WIF_MktGW_Add_B_D1_SiteOnly_2026" vbProcedure="false">Interface!$F$66</definedName>
    <definedName function="false" hidden="false" name="WIF_MktGW_Add_B_D1_SiteOnly_2027" vbProcedure="false">Interface!$G$66</definedName>
    <definedName function="false" hidden="false" name="WIF_MktGW_Add_B_D1_SiteOnly_2028" vbProcedure="false">Interface!$H$66</definedName>
    <definedName function="false" hidden="false" name="WIF_MktGW_Add_B_D1_SiteOnly_2029" vbProcedure="false">Interface!$I$66</definedName>
    <definedName function="false" hidden="false" name="WIF_MktGW_Add_B_D1_SiteOnly_2030" vbProcedure="false">Interface!$J$66</definedName>
    <definedName function="false" hidden="false" name="WIF_MktGW_Add_B_D1_SiteOnly_2031" vbProcedure="false">Interface!$K$66</definedName>
    <definedName function="false" hidden="false" name="WIF_MktGW_Add_B_D1_SiteOnly_2032" vbProcedure="false">Interface!$L$66</definedName>
    <definedName function="false" hidden="false" name="WIF_MktGW_Add_B_D2_2024" vbProcedure="false">Interface!$D$32</definedName>
    <definedName function="false" hidden="false" name="WIF_MktGW_Add_B_D2_2025" vbProcedure="false">Interface!$E$32</definedName>
    <definedName function="false" hidden="false" name="WIF_MktGW_Add_B_D2_2026" vbProcedure="false">Interface!$F$32</definedName>
    <definedName function="false" hidden="false" name="WIF_MktGW_Add_B_D2_2027" vbProcedure="false">Interface!$G$32</definedName>
    <definedName function="false" hidden="false" name="WIF_MktGW_Add_B_D2_2028" vbProcedure="false">Interface!$H$32</definedName>
    <definedName function="false" hidden="false" name="WIF_MktGW_Add_B_D2_2029" vbProcedure="false">Interface!$I$32</definedName>
    <definedName function="false" hidden="false" name="WIF_MktGW_Add_B_D2_2030" vbProcedure="false">Interface!$J$32</definedName>
    <definedName function="false" hidden="false" name="WIF_MktGW_Add_B_D2_2031" vbProcedure="false">Interface!$K$32</definedName>
    <definedName function="false" hidden="false" name="WIF_MktGW_Add_B_D2_2032" vbProcedure="false">Interface!$L$32</definedName>
    <definedName function="false" hidden="false" name="WIF_MktGW_Add_B_D2_SiteOnly_2024" vbProcedure="false">Interface!$D$67</definedName>
    <definedName function="false" hidden="false" name="WIF_MktGW_Add_B_D2_SiteOnly_2025" vbProcedure="false">Interface!$E$67</definedName>
    <definedName function="false" hidden="false" name="WIF_MktGW_Add_B_D2_SiteOnly_2026" vbProcedure="false">Interface!$F$67</definedName>
    <definedName function="false" hidden="false" name="WIF_MktGW_Add_B_D2_SiteOnly_2027" vbProcedure="false">Interface!$G$67</definedName>
    <definedName function="false" hidden="false" name="WIF_MktGW_Add_B_D2_SiteOnly_2028" vbProcedure="false">Interface!$H$67</definedName>
    <definedName function="false" hidden="false" name="WIF_MktGW_Add_B_D2_SiteOnly_2029" vbProcedure="false">Interface!$I$67</definedName>
    <definedName function="false" hidden="false" name="WIF_MktGW_Add_B_D2_SiteOnly_2030" vbProcedure="false">Interface!$J$67</definedName>
    <definedName function="false" hidden="false" name="WIF_MktGW_Add_B_D2_SiteOnly_2031" vbProcedure="false">Interface!$K$67</definedName>
    <definedName function="false" hidden="false" name="WIF_MktGW_Add_B_D2_SiteOnly_2032" vbProcedure="false">Interface!$L$67</definedName>
    <definedName function="false" hidden="false" name="WIF_MktGW_Add_C_D0_2024" vbProcedure="false">Interface!$D$33</definedName>
    <definedName function="false" hidden="false" name="WIF_MktGW_Add_C_D0_2025" vbProcedure="false">Interface!$E$33</definedName>
    <definedName function="false" hidden="false" name="WIF_MktGW_Add_C_D0_2026" vbProcedure="false">Interface!$F$33</definedName>
    <definedName function="false" hidden="false" name="WIF_MktGW_Add_C_D0_2027" vbProcedure="false">Interface!$G$33</definedName>
    <definedName function="false" hidden="false" name="WIF_MktGW_Add_C_D0_2028" vbProcedure="false">Interface!$H$33</definedName>
    <definedName function="false" hidden="false" name="WIF_MktGW_Add_C_D0_2029" vbProcedure="false">Interface!$I$33</definedName>
    <definedName function="false" hidden="false" name="WIF_MktGW_Add_C_D0_2030" vbProcedure="false">Interface!$J$33</definedName>
    <definedName function="false" hidden="false" name="WIF_MktGW_Add_C_D0_2031" vbProcedure="false">Interface!$K$33</definedName>
    <definedName function="false" hidden="false" name="WIF_MktGW_Add_C_D0_2032" vbProcedure="false">Interface!$L$33</definedName>
    <definedName function="false" hidden="false" name="WIF_MktGW_Add_C_D0_SiteOnly_2024" vbProcedure="false">Interface!$D$68</definedName>
    <definedName function="false" hidden="false" name="WIF_MktGW_Add_C_D0_SiteOnly_2025" vbProcedure="false">Interface!$E$68</definedName>
    <definedName function="false" hidden="false" name="WIF_MktGW_Add_C_D0_SiteOnly_2026" vbProcedure="false">Interface!$F$68</definedName>
    <definedName function="false" hidden="false" name="WIF_MktGW_Add_C_D0_SiteOnly_2027" vbProcedure="false">Interface!$G$68</definedName>
    <definedName function="false" hidden="false" name="WIF_MktGW_Add_C_D0_SiteOnly_2028" vbProcedure="false">Interface!$H$68</definedName>
    <definedName function="false" hidden="false" name="WIF_MktGW_Add_C_D0_SiteOnly_2029" vbProcedure="false">Interface!$I$68</definedName>
    <definedName function="false" hidden="false" name="WIF_MktGW_Add_C_D0_SiteOnly_2030" vbProcedure="false">Interface!$J$68</definedName>
    <definedName function="false" hidden="false" name="WIF_MktGW_Add_C_D0_SiteOnly_2031" vbProcedure="false">Interface!$K$68</definedName>
    <definedName function="false" hidden="false" name="WIF_MktGW_Add_C_D0_SiteOnly_2032" vbProcedure="false">Interface!$L$68</definedName>
    <definedName function="false" hidden="false" name="WIF_MktGW_Add_C_D1_2024" vbProcedure="false">Interface!$D$34</definedName>
    <definedName function="false" hidden="false" name="WIF_MktGW_Add_C_D1_2025" vbProcedure="false">Interface!$E$34</definedName>
    <definedName function="false" hidden="false" name="WIF_MktGW_Add_C_D1_2026" vbProcedure="false">Interface!$F$34</definedName>
    <definedName function="false" hidden="false" name="WIF_MktGW_Add_C_D1_2027" vbProcedure="false">Interface!$G$34</definedName>
    <definedName function="false" hidden="false" name="WIF_MktGW_Add_C_D1_2028" vbProcedure="false">Interface!$H$34</definedName>
    <definedName function="false" hidden="false" name="WIF_MktGW_Add_C_D1_2029" vbProcedure="false">Interface!$I$34</definedName>
    <definedName function="false" hidden="false" name="WIF_MktGW_Add_C_D1_2030" vbProcedure="false">Interface!$J$34</definedName>
    <definedName function="false" hidden="false" name="WIF_MktGW_Add_C_D1_2031" vbProcedure="false">Interface!$K$34</definedName>
    <definedName function="false" hidden="false" name="WIF_MktGW_Add_C_D1_2032" vbProcedure="false">Interface!$L$34</definedName>
    <definedName function="false" hidden="false" name="WIF_MktGW_Add_C_D1_SiteOnly_2024" vbProcedure="false">Interface!$D$69</definedName>
    <definedName function="false" hidden="false" name="WIF_MktGW_Add_C_D1_SiteOnly_2025" vbProcedure="false">Interface!$E$69</definedName>
    <definedName function="false" hidden="false" name="WIF_MktGW_Add_C_D1_SiteOnly_2026" vbProcedure="false">Interface!$F$69</definedName>
    <definedName function="false" hidden="false" name="WIF_MktGW_Add_C_D1_SiteOnly_2027" vbProcedure="false">Interface!$G$69</definedName>
    <definedName function="false" hidden="false" name="WIF_MktGW_Add_C_D1_SiteOnly_2028" vbProcedure="false">Interface!$H$69</definedName>
    <definedName function="false" hidden="false" name="WIF_MktGW_Add_C_D1_SiteOnly_2029" vbProcedure="false">Interface!$I$69</definedName>
    <definedName function="false" hidden="false" name="WIF_MktGW_Add_C_D1_SiteOnly_2030" vbProcedure="false">Interface!$J$69</definedName>
    <definedName function="false" hidden="false" name="WIF_MktGW_Add_C_D1_SiteOnly_2031" vbProcedure="false">Interface!$K$69</definedName>
    <definedName function="false" hidden="false" name="WIF_MktGW_Add_C_D1_SiteOnly_2032" vbProcedure="false">Interface!$L$69</definedName>
    <definedName function="false" hidden="false" name="WIF_MktGW_Add_C_D2_2024" vbProcedure="false">Interface!$D$35</definedName>
    <definedName function="false" hidden="false" name="WIF_MktGW_Add_C_D2_2025" vbProcedure="false">Interface!$E$35</definedName>
    <definedName function="false" hidden="false" name="WIF_MktGW_Add_C_D2_2026" vbProcedure="false">Interface!$F$35</definedName>
    <definedName function="false" hidden="false" name="WIF_MktGW_Add_C_D2_2027" vbProcedure="false">Interface!$G$35</definedName>
    <definedName function="false" hidden="false" name="WIF_MktGW_Add_C_D2_2028" vbProcedure="false">Interface!$H$35</definedName>
    <definedName function="false" hidden="false" name="WIF_MktGW_Add_C_D2_2029" vbProcedure="false">Interface!$I$35</definedName>
    <definedName function="false" hidden="false" name="WIF_MktGW_Add_C_D2_2030" vbProcedure="false">Interface!$J$35</definedName>
    <definedName function="false" hidden="false" name="WIF_MktGW_Add_C_D2_2031" vbProcedure="false">Interface!$K$35</definedName>
    <definedName function="false" hidden="false" name="WIF_MktGW_Add_C_D2_2032" vbProcedure="false">Interface!$L$35</definedName>
    <definedName function="false" hidden="false" name="WIF_MktGW_Add_C_D2_SiteOnly_2024" vbProcedure="false">Interface!$D$70</definedName>
    <definedName function="false" hidden="false" name="WIF_MktGW_Add_C_D2_SiteOnly_2025" vbProcedure="false">Interface!$E$70</definedName>
    <definedName function="false" hidden="false" name="WIF_MktGW_Add_C_D2_SiteOnly_2026" vbProcedure="false">Interface!$F$70</definedName>
    <definedName function="false" hidden="false" name="WIF_MktGW_Add_C_D2_SiteOnly_2027" vbProcedure="false">Interface!$G$70</definedName>
    <definedName function="false" hidden="false" name="WIF_MktGW_Add_C_D2_SiteOnly_2028" vbProcedure="false">Interface!$H$70</definedName>
    <definedName function="false" hidden="false" name="WIF_MktGW_Add_C_D2_SiteOnly_2029" vbProcedure="false">Interface!$I$70</definedName>
    <definedName function="false" hidden="false" name="WIF_MktGW_Add_C_D2_SiteOnly_2030" vbProcedure="false">Interface!$J$70</definedName>
    <definedName function="false" hidden="false" name="WIF_MktGW_Add_C_D2_SiteOnly_2031" vbProcedure="false">Interface!$K$70</definedName>
    <definedName function="false" hidden="false" name="WIF_MktGW_Add_C_D2_SiteOnly_2032" vbProcedure="false">Interface!$L$70</definedName>
    <definedName function="false" hidden="false" name="WIF_MktGW_Avg_A_D0_2024" vbProcedure="false">Interface!$D$18</definedName>
    <definedName function="false" hidden="false" name="WIF_MktGW_Avg_A_D0_2025" vbProcedure="false">Interface!$E$18</definedName>
    <definedName function="false" hidden="false" name="WIF_MktGW_Avg_A_D0_2026" vbProcedure="false">Interface!$F$18</definedName>
    <definedName function="false" hidden="false" name="WIF_MktGW_Avg_A_D0_2027" vbProcedure="false">Interface!$G$18</definedName>
    <definedName function="false" hidden="false" name="WIF_MktGW_Avg_A_D0_2028" vbProcedure="false">Interface!$H$18</definedName>
    <definedName function="false" hidden="false" name="WIF_MktGW_Avg_A_D0_2029" vbProcedure="false">Interface!$I$18</definedName>
    <definedName function="false" hidden="false" name="WIF_MktGW_Avg_A_D0_2030" vbProcedure="false">Interface!$J$18</definedName>
    <definedName function="false" hidden="false" name="WIF_MktGW_Avg_A_D0_2031" vbProcedure="false">Interface!$K$18</definedName>
    <definedName function="false" hidden="false" name="WIF_MktGW_Avg_A_D0_2032" vbProcedure="false">Interface!$L$18</definedName>
    <definedName function="false" hidden="false" name="WIF_MktGW_Avg_A_D0_SiteOnly_2024" vbProcedure="false">Interface!$D$53</definedName>
    <definedName function="false" hidden="false" name="WIF_MktGW_Avg_A_D0_SiteOnly_2025" vbProcedure="false">Interface!$E$53</definedName>
    <definedName function="false" hidden="false" name="WIF_MktGW_Avg_A_D0_SiteOnly_2026" vbProcedure="false">Interface!$F$53</definedName>
    <definedName function="false" hidden="false" name="WIF_MktGW_Avg_A_D0_SiteOnly_2027" vbProcedure="false">Interface!$G$53</definedName>
    <definedName function="false" hidden="false" name="WIF_MktGW_Avg_A_D0_SiteOnly_2028" vbProcedure="false">Interface!$H$53</definedName>
    <definedName function="false" hidden="false" name="WIF_MktGW_Avg_A_D0_SiteOnly_2029" vbProcedure="false">Interface!$I$53</definedName>
    <definedName function="false" hidden="false" name="WIF_MktGW_Avg_A_D0_SiteOnly_2030" vbProcedure="false">Interface!$J$53</definedName>
    <definedName function="false" hidden="false" name="WIF_MktGW_Avg_A_D0_SiteOnly_2031" vbProcedure="false">Interface!$K$53</definedName>
    <definedName function="false" hidden="false" name="WIF_MktGW_Avg_A_D0_SiteOnly_2032" vbProcedure="false">Interface!$L$53</definedName>
    <definedName function="false" hidden="false" name="WIF_MktGW_Avg_A_D1_2024" vbProcedure="false">Interface!$D$19</definedName>
    <definedName function="false" hidden="false" name="WIF_MktGW_Avg_A_D1_2025" vbProcedure="false">Interface!$E$19</definedName>
    <definedName function="false" hidden="false" name="WIF_MktGW_Avg_A_D1_2026" vbProcedure="false">Interface!$F$19</definedName>
    <definedName function="false" hidden="false" name="WIF_MktGW_Avg_A_D1_2027" vbProcedure="false">Interface!$G$19</definedName>
    <definedName function="false" hidden="false" name="WIF_MktGW_Avg_A_D1_2028" vbProcedure="false">Interface!$H$19</definedName>
    <definedName function="false" hidden="false" name="WIF_MktGW_Avg_A_D1_2029" vbProcedure="false">Interface!$I$19</definedName>
    <definedName function="false" hidden="false" name="WIF_MktGW_Avg_A_D1_2030" vbProcedure="false">Interface!$J$19</definedName>
    <definedName function="false" hidden="false" name="WIF_MktGW_Avg_A_D1_2031" vbProcedure="false">Interface!$K$19</definedName>
    <definedName function="false" hidden="false" name="WIF_MktGW_Avg_A_D1_2032" vbProcedure="false">Interface!$L$19</definedName>
    <definedName function="false" hidden="false" name="WIF_MktGW_Avg_A_D1_SiteOnly_2024" vbProcedure="false">Interface!$D$54</definedName>
    <definedName function="false" hidden="false" name="WIF_MktGW_Avg_A_D1_SiteOnly_2025" vbProcedure="false">Interface!$E$54</definedName>
    <definedName function="false" hidden="false" name="WIF_MktGW_Avg_A_D1_SiteOnly_2026" vbProcedure="false">Interface!$F$54</definedName>
    <definedName function="false" hidden="false" name="WIF_MktGW_Avg_A_D1_SiteOnly_2027" vbProcedure="false">Interface!$G$54</definedName>
    <definedName function="false" hidden="false" name="WIF_MktGW_Avg_A_D1_SiteOnly_2028" vbProcedure="false">Interface!$H$54</definedName>
    <definedName function="false" hidden="false" name="WIF_MktGW_Avg_A_D1_SiteOnly_2029" vbProcedure="false">Interface!$I$54</definedName>
    <definedName function="false" hidden="false" name="WIF_MktGW_Avg_A_D1_SiteOnly_2030" vbProcedure="false">Interface!$J$54</definedName>
    <definedName function="false" hidden="false" name="WIF_MktGW_Avg_A_D1_SiteOnly_2031" vbProcedure="false">Interface!$K$54</definedName>
    <definedName function="false" hidden="false" name="WIF_MktGW_Avg_A_D1_SiteOnly_2032" vbProcedure="false">Interface!$L$54</definedName>
    <definedName function="false" hidden="false" name="WIF_MktGW_Avg_A_D2_2024" vbProcedure="false">Interface!$D$20</definedName>
    <definedName function="false" hidden="false" name="WIF_MktGW_Avg_A_D2_2025" vbProcedure="false">Interface!$E$20</definedName>
    <definedName function="false" hidden="false" name="WIF_MktGW_Avg_A_D2_2026" vbProcedure="false">Interface!$F$20</definedName>
    <definedName function="false" hidden="false" name="WIF_MktGW_Avg_A_D2_2027" vbProcedure="false">Interface!$G$20</definedName>
    <definedName function="false" hidden="false" name="WIF_MktGW_Avg_A_D2_2028" vbProcedure="false">Interface!$H$20</definedName>
    <definedName function="false" hidden="false" name="WIF_MktGW_Avg_A_D2_2029" vbProcedure="false">Interface!$I$20</definedName>
    <definedName function="false" hidden="false" name="WIF_MktGW_Avg_A_D2_2030" vbProcedure="false">Interface!$J$20</definedName>
    <definedName function="false" hidden="false" name="WIF_MktGW_Avg_A_D2_2031" vbProcedure="false">Interface!$K$20</definedName>
    <definedName function="false" hidden="false" name="WIF_MktGW_Avg_A_D2_2032" vbProcedure="false">Interface!$L$20</definedName>
    <definedName function="false" hidden="false" name="WIF_MktGW_Avg_A_D2_SiteOnly_2024" vbProcedure="false">Interface!$D$55</definedName>
    <definedName function="false" hidden="false" name="WIF_MktGW_Avg_A_D2_SiteOnly_2025" vbProcedure="false">Interface!$E$55</definedName>
    <definedName function="false" hidden="false" name="WIF_MktGW_Avg_A_D2_SiteOnly_2026" vbProcedure="false">Interface!$F$55</definedName>
    <definedName function="false" hidden="false" name="WIF_MktGW_Avg_A_D2_SiteOnly_2027" vbProcedure="false">Interface!$G$55</definedName>
    <definedName function="false" hidden="false" name="WIF_MktGW_Avg_A_D2_SiteOnly_2028" vbProcedure="false">Interface!$H$55</definedName>
    <definedName function="false" hidden="false" name="WIF_MktGW_Avg_A_D2_SiteOnly_2029" vbProcedure="false">Interface!$I$55</definedName>
    <definedName function="false" hidden="false" name="WIF_MktGW_Avg_A_D2_SiteOnly_2030" vbProcedure="false">Interface!$J$55</definedName>
    <definedName function="false" hidden="false" name="WIF_MktGW_Avg_A_D2_SiteOnly_2031" vbProcedure="false">Interface!$K$55</definedName>
    <definedName function="false" hidden="false" name="WIF_MktGW_Avg_A_D2_SiteOnly_2032" vbProcedure="false">Interface!$L$55</definedName>
    <definedName function="false" hidden="false" name="WIF_MktGW_Avg_B_D0_2024" vbProcedure="false">Interface!$D$21</definedName>
    <definedName function="false" hidden="false" name="WIF_MktGW_Avg_B_D0_2025" vbProcedure="false">Interface!$E$21</definedName>
    <definedName function="false" hidden="false" name="WIF_MktGW_Avg_B_D0_2026" vbProcedure="false">Interface!$F$21</definedName>
    <definedName function="false" hidden="false" name="WIF_MktGW_Avg_B_D0_2027" vbProcedure="false">Interface!$G$21</definedName>
    <definedName function="false" hidden="false" name="WIF_MktGW_Avg_B_D0_2028" vbProcedure="false">Interface!$H$21</definedName>
    <definedName function="false" hidden="false" name="WIF_MktGW_Avg_B_D0_2029" vbProcedure="false">Interface!$I$21</definedName>
    <definedName function="false" hidden="false" name="WIF_MktGW_Avg_B_D0_2030" vbProcedure="false">Interface!$J$21</definedName>
    <definedName function="false" hidden="false" name="WIF_MktGW_Avg_B_D0_2031" vbProcedure="false">Interface!$K$21</definedName>
    <definedName function="false" hidden="false" name="WIF_MktGW_Avg_B_D0_2032" vbProcedure="false">Interface!$L$21</definedName>
    <definedName function="false" hidden="false" name="WIF_MktGW_Avg_B_D0_SiteOnly_2024" vbProcedure="false">Interface!$D$56</definedName>
    <definedName function="false" hidden="false" name="WIF_MktGW_Avg_B_D0_SiteOnly_2025" vbProcedure="false">Interface!$E$56</definedName>
    <definedName function="false" hidden="false" name="WIF_MktGW_Avg_B_D0_SiteOnly_2026" vbProcedure="false">Interface!$F$56</definedName>
    <definedName function="false" hidden="false" name="WIF_MktGW_Avg_B_D0_SiteOnly_2027" vbProcedure="false">Interface!$G$56</definedName>
    <definedName function="false" hidden="false" name="WIF_MktGW_Avg_B_D0_SiteOnly_2028" vbProcedure="false">Interface!$H$56</definedName>
    <definedName function="false" hidden="false" name="WIF_MktGW_Avg_B_D0_SiteOnly_2029" vbProcedure="false">Interface!$I$56</definedName>
    <definedName function="false" hidden="false" name="WIF_MktGW_Avg_B_D0_SiteOnly_2030" vbProcedure="false">Interface!$J$56</definedName>
    <definedName function="false" hidden="false" name="WIF_MktGW_Avg_B_D0_SiteOnly_2031" vbProcedure="false">Interface!$K$56</definedName>
    <definedName function="false" hidden="false" name="WIF_MktGW_Avg_B_D0_SiteOnly_2032" vbProcedure="false">Interface!$L$56</definedName>
    <definedName function="false" hidden="false" name="WIF_MktGW_Avg_B_D1_2024" vbProcedure="false">Interface!$D$22</definedName>
    <definedName function="false" hidden="false" name="WIF_MktGW_Avg_B_D1_2025" vbProcedure="false">Interface!$E$22</definedName>
    <definedName function="false" hidden="false" name="WIF_MktGW_Avg_B_D1_2026" vbProcedure="false">Interface!$F$22</definedName>
    <definedName function="false" hidden="false" name="WIF_MktGW_Avg_B_D1_2027" vbProcedure="false">Interface!$G$22</definedName>
    <definedName function="false" hidden="false" name="WIF_MktGW_Avg_B_D1_2028" vbProcedure="false">Interface!$H$22</definedName>
    <definedName function="false" hidden="false" name="WIF_MktGW_Avg_B_D1_2029" vbProcedure="false">Interface!$I$22</definedName>
    <definedName function="false" hidden="false" name="WIF_MktGW_Avg_B_D1_2030" vbProcedure="false">Interface!$J$22</definedName>
    <definedName function="false" hidden="false" name="WIF_MktGW_Avg_B_D1_2031" vbProcedure="false">Interface!$K$22</definedName>
    <definedName function="false" hidden="false" name="WIF_MktGW_Avg_B_D1_2032" vbProcedure="false">Interface!$L$22</definedName>
    <definedName function="false" hidden="false" name="WIF_MktGW_Avg_B_D1_SiteOnly_2024" vbProcedure="false">Interface!$D$57</definedName>
    <definedName function="false" hidden="false" name="WIF_MktGW_Avg_B_D1_SiteOnly_2025" vbProcedure="false">Interface!$E$57</definedName>
    <definedName function="false" hidden="false" name="WIF_MktGW_Avg_B_D1_SiteOnly_2026" vbProcedure="false">Interface!$F$57</definedName>
    <definedName function="false" hidden="false" name="WIF_MktGW_Avg_B_D1_SiteOnly_2027" vbProcedure="false">Interface!$G$57</definedName>
    <definedName function="false" hidden="false" name="WIF_MktGW_Avg_B_D1_SiteOnly_2028" vbProcedure="false">Interface!$H$57</definedName>
    <definedName function="false" hidden="false" name="WIF_MktGW_Avg_B_D1_SiteOnly_2029" vbProcedure="false">Interface!$I$57</definedName>
    <definedName function="false" hidden="false" name="WIF_MktGW_Avg_B_D1_SiteOnly_2030" vbProcedure="false">Interface!$J$57</definedName>
    <definedName function="false" hidden="false" name="WIF_MktGW_Avg_B_D1_SiteOnly_2031" vbProcedure="false">Interface!$K$57</definedName>
    <definedName function="false" hidden="false" name="WIF_MktGW_Avg_B_D1_SiteOnly_2032" vbProcedure="false">Interface!$L$57</definedName>
    <definedName function="false" hidden="false" name="WIF_MktGW_Avg_B_D2_2024" vbProcedure="false">Interface!$D$23</definedName>
    <definedName function="false" hidden="false" name="WIF_MktGW_Avg_B_D2_2025" vbProcedure="false">Interface!$E$23</definedName>
    <definedName function="false" hidden="false" name="WIF_MktGW_Avg_B_D2_2026" vbProcedure="false">Interface!$F$23</definedName>
    <definedName function="false" hidden="false" name="WIF_MktGW_Avg_B_D2_2027" vbProcedure="false">Interface!$G$23</definedName>
    <definedName function="false" hidden="false" name="WIF_MktGW_Avg_B_D2_2028" vbProcedure="false">Interface!$H$23</definedName>
    <definedName function="false" hidden="false" name="WIF_MktGW_Avg_B_D2_2029" vbProcedure="false">Interface!$I$23</definedName>
    <definedName function="false" hidden="false" name="WIF_MktGW_Avg_B_D2_2030" vbProcedure="false">Interface!$J$23</definedName>
    <definedName function="false" hidden="false" name="WIF_MktGW_Avg_B_D2_2031" vbProcedure="false">Interface!$K$23</definedName>
    <definedName function="false" hidden="false" name="WIF_MktGW_Avg_B_D2_2032" vbProcedure="false">Interface!$L$23</definedName>
    <definedName function="false" hidden="false" name="WIF_MktGW_Avg_B_D2_SiteOnly_2024" vbProcedure="false">Interface!$D$58</definedName>
    <definedName function="false" hidden="false" name="WIF_MktGW_Avg_B_D2_SiteOnly_2025" vbProcedure="false">Interface!$E$58</definedName>
    <definedName function="false" hidden="false" name="WIF_MktGW_Avg_B_D2_SiteOnly_2026" vbProcedure="false">Interface!$F$58</definedName>
    <definedName function="false" hidden="false" name="WIF_MktGW_Avg_B_D2_SiteOnly_2027" vbProcedure="false">Interface!$G$58</definedName>
    <definedName function="false" hidden="false" name="WIF_MktGW_Avg_B_D2_SiteOnly_2028" vbProcedure="false">Interface!$H$58</definedName>
    <definedName function="false" hidden="false" name="WIF_MktGW_Avg_B_D2_SiteOnly_2029" vbProcedure="false">Interface!$I$58</definedName>
    <definedName function="false" hidden="false" name="WIF_MktGW_Avg_B_D2_SiteOnly_2030" vbProcedure="false">Interface!$J$58</definedName>
    <definedName function="false" hidden="false" name="WIF_MktGW_Avg_B_D2_SiteOnly_2031" vbProcedure="false">Interface!$K$58</definedName>
    <definedName function="false" hidden="false" name="WIF_MktGW_Avg_B_D2_SiteOnly_2032" vbProcedure="false">Interface!$L$58</definedName>
    <definedName function="false" hidden="false" name="WIF_MktGW_Avg_C_D0_2024" vbProcedure="false">Interface!$D$24</definedName>
    <definedName function="false" hidden="false" name="WIF_MktGW_Avg_C_D0_2025" vbProcedure="false">Interface!$E$24</definedName>
    <definedName function="false" hidden="false" name="WIF_MktGW_Avg_C_D0_2026" vbProcedure="false">Interface!$F$24</definedName>
    <definedName function="false" hidden="false" name="WIF_MktGW_Avg_C_D0_2027" vbProcedure="false">Interface!$G$24</definedName>
    <definedName function="false" hidden="false" name="WIF_MktGW_Avg_C_D0_2028" vbProcedure="false">Interface!$H$24</definedName>
    <definedName function="false" hidden="false" name="WIF_MktGW_Avg_C_D0_2029" vbProcedure="false">Interface!$I$24</definedName>
    <definedName function="false" hidden="false" name="WIF_MktGW_Avg_C_D0_2030" vbProcedure="false">Interface!$J$24</definedName>
    <definedName function="false" hidden="false" name="WIF_MktGW_Avg_C_D0_2031" vbProcedure="false">Interface!$K$24</definedName>
    <definedName function="false" hidden="false" name="WIF_MktGW_Avg_C_D0_2032" vbProcedure="false">Interface!$L$24</definedName>
    <definedName function="false" hidden="false" name="WIF_MktGW_Avg_C_D0_SiteOnly_2024" vbProcedure="false">Interface!$D$59</definedName>
    <definedName function="false" hidden="false" name="WIF_MktGW_Avg_C_D0_SiteOnly_2025" vbProcedure="false">Interface!$E$59</definedName>
    <definedName function="false" hidden="false" name="WIF_MktGW_Avg_C_D0_SiteOnly_2026" vbProcedure="false">Interface!$F$59</definedName>
    <definedName function="false" hidden="false" name="WIF_MktGW_Avg_C_D0_SiteOnly_2027" vbProcedure="false">Interface!$G$59</definedName>
    <definedName function="false" hidden="false" name="WIF_MktGW_Avg_C_D0_SiteOnly_2028" vbProcedure="false">Interface!$H$59</definedName>
    <definedName function="false" hidden="false" name="WIF_MktGW_Avg_C_D0_SiteOnly_2029" vbProcedure="false">Interface!$I$59</definedName>
    <definedName function="false" hidden="false" name="WIF_MktGW_Avg_C_D0_SiteOnly_2030" vbProcedure="false">Interface!$J$59</definedName>
    <definedName function="false" hidden="false" name="WIF_MktGW_Avg_C_D0_SiteOnly_2031" vbProcedure="false">Interface!$K$59</definedName>
    <definedName function="false" hidden="false" name="WIF_MktGW_Avg_C_D0_SiteOnly_2032" vbProcedure="false">Interface!$L$59</definedName>
    <definedName function="false" hidden="false" name="WIF_MktGW_Avg_C_D1_2024" vbProcedure="false">Interface!$D$25</definedName>
    <definedName function="false" hidden="false" name="WIF_MktGW_Avg_C_D1_2025" vbProcedure="false">Interface!$E$25</definedName>
    <definedName function="false" hidden="false" name="WIF_MktGW_Avg_C_D1_2026" vbProcedure="false">Interface!$F$25</definedName>
    <definedName function="false" hidden="false" name="WIF_MktGW_Avg_C_D1_2027" vbProcedure="false">Interface!$G$25</definedName>
    <definedName function="false" hidden="false" name="WIF_MktGW_Avg_C_D1_2028" vbProcedure="false">Interface!$H$25</definedName>
    <definedName function="false" hidden="false" name="WIF_MktGW_Avg_C_D1_2029" vbProcedure="false">Interface!$I$25</definedName>
    <definedName function="false" hidden="false" name="WIF_MktGW_Avg_C_D1_2030" vbProcedure="false">Interface!$J$25</definedName>
    <definedName function="false" hidden="false" name="WIF_MktGW_Avg_C_D1_2031" vbProcedure="false">Interface!$K$25</definedName>
    <definedName function="false" hidden="false" name="WIF_MktGW_Avg_C_D1_2032" vbProcedure="false">Interface!$L$25</definedName>
    <definedName function="false" hidden="false" name="WIF_MktGW_Avg_C_D1_SiteOnly_2024" vbProcedure="false">Interface!$D$60</definedName>
    <definedName function="false" hidden="false" name="WIF_MktGW_Avg_C_D1_SiteOnly_2025" vbProcedure="false">Interface!$E$60</definedName>
    <definedName function="false" hidden="false" name="WIF_MktGW_Avg_C_D1_SiteOnly_2026" vbProcedure="false">Interface!$F$60</definedName>
    <definedName function="false" hidden="false" name="WIF_MktGW_Avg_C_D1_SiteOnly_2027" vbProcedure="false">Interface!$G$60</definedName>
    <definedName function="false" hidden="false" name="WIF_MktGW_Avg_C_D1_SiteOnly_2028" vbProcedure="false">Interface!$H$60</definedName>
    <definedName function="false" hidden="false" name="WIF_MktGW_Avg_C_D1_SiteOnly_2029" vbProcedure="false">Interface!$I$60</definedName>
    <definedName function="false" hidden="false" name="WIF_MktGW_Avg_C_D1_SiteOnly_2030" vbProcedure="false">Interface!$J$60</definedName>
    <definedName function="false" hidden="false" name="WIF_MktGW_Avg_C_D1_SiteOnly_2031" vbProcedure="false">Interface!$K$60</definedName>
    <definedName function="false" hidden="false" name="WIF_MktGW_Avg_C_D1_SiteOnly_2032" vbProcedure="false">Interface!$L$60</definedName>
    <definedName function="false" hidden="false" name="WIF_MktGW_Avg_C_D2_2024" vbProcedure="false">Interface!$D$26</definedName>
    <definedName function="false" hidden="false" name="WIF_MktGW_Avg_C_D2_2025" vbProcedure="false">Interface!$E$26</definedName>
    <definedName function="false" hidden="false" name="WIF_MktGW_Avg_C_D2_2026" vbProcedure="false">Interface!$F$26</definedName>
    <definedName function="false" hidden="false" name="WIF_MktGW_Avg_C_D2_2027" vbProcedure="false">Interface!$G$26</definedName>
    <definedName function="false" hidden="false" name="WIF_MktGW_Avg_C_D2_2028" vbProcedure="false">Interface!$H$26</definedName>
    <definedName function="false" hidden="false" name="WIF_MktGW_Avg_C_D2_2029" vbProcedure="false">Interface!$I$26</definedName>
    <definedName function="false" hidden="false" name="WIF_MktGW_Avg_C_D2_2030" vbProcedure="false">Interface!$J$26</definedName>
    <definedName function="false" hidden="false" name="WIF_MktGW_Avg_C_D2_2031" vbProcedure="false">Interface!$K$26</definedName>
    <definedName function="false" hidden="false" name="WIF_MktGW_Avg_C_D2_2032" vbProcedure="false">Interface!$L$26</definedName>
    <definedName function="false" hidden="false" name="WIF_MktGW_Avg_C_D2_SiteOnly_2024" vbProcedure="false">Interface!$D$61</definedName>
    <definedName function="false" hidden="false" name="WIF_MktGW_Avg_C_D2_SiteOnly_2025" vbProcedure="false">Interface!$E$61</definedName>
    <definedName function="false" hidden="false" name="WIF_MktGW_Avg_C_D2_SiteOnly_2026" vbProcedure="false">Interface!$F$61</definedName>
    <definedName function="false" hidden="false" name="WIF_MktGW_Avg_C_D2_SiteOnly_2027" vbProcedure="false">Interface!$G$61</definedName>
    <definedName function="false" hidden="false" name="WIF_MktGW_Avg_C_D2_SiteOnly_2028" vbProcedure="false">Interface!$H$61</definedName>
    <definedName function="false" hidden="false" name="WIF_MktGW_Avg_C_D2_SiteOnly_2029" vbProcedure="false">Interface!$I$61</definedName>
    <definedName function="false" hidden="false" name="WIF_MktGW_Avg_C_D2_SiteOnly_2030" vbProcedure="false">Interface!$J$61</definedName>
    <definedName function="false" hidden="false" name="WIF_MktGW_Avg_C_D2_SiteOnly_2031" vbProcedure="false">Interface!$K$61</definedName>
    <definedName function="false" hidden="false" name="WIF_MktGW_Avg_C_D2_SiteOnly_2032" vbProcedure="false">Interface!$L$61</definedName>
    <definedName function="false" hidden="false" name="WIF_MktGW_YE_A_D0_2024" vbProcedure="false">Interface!$D$9</definedName>
    <definedName function="false" hidden="false" name="WIF_MktGW_YE_A_D0_2025" vbProcedure="false">Interface!$E$9</definedName>
    <definedName function="false" hidden="false" name="WIF_MktGW_YE_A_D0_2026" vbProcedure="false">Interface!$F$9</definedName>
    <definedName function="false" hidden="false" name="WIF_MktGW_YE_A_D0_2027" vbProcedure="false">Interface!$G$9</definedName>
    <definedName function="false" hidden="false" name="WIF_MktGW_YE_A_D0_2028" vbProcedure="false">Interface!$H$9</definedName>
    <definedName function="false" hidden="false" name="WIF_MktGW_YE_A_D0_2029" vbProcedure="false">Interface!$I$9</definedName>
    <definedName function="false" hidden="false" name="WIF_MktGW_YE_A_D0_2030" vbProcedure="false">Interface!$J$9</definedName>
    <definedName function="false" hidden="false" name="WIF_MktGW_YE_A_D0_2031" vbProcedure="false">Interface!$K$9</definedName>
    <definedName function="false" hidden="false" name="WIF_MktGW_YE_A_D0_2032" vbProcedure="false">Interface!$L$9</definedName>
    <definedName function="false" hidden="false" name="WIF_MktGW_YE_A_D0_SiteOnly_2024" vbProcedure="false">Interface!$D$44</definedName>
    <definedName function="false" hidden="false" name="WIF_MktGW_YE_A_D0_SiteOnly_2025" vbProcedure="false">Interface!$E$44</definedName>
    <definedName function="false" hidden="false" name="WIF_MktGW_YE_A_D0_SiteOnly_2026" vbProcedure="false">Interface!$F$44</definedName>
    <definedName function="false" hidden="false" name="WIF_MktGW_YE_A_D0_SiteOnly_2027" vbProcedure="false">Interface!$G$44</definedName>
    <definedName function="false" hidden="false" name="WIF_MktGW_YE_A_D0_SiteOnly_2028" vbProcedure="false">Interface!$H$44</definedName>
    <definedName function="false" hidden="false" name="WIF_MktGW_YE_A_D0_SiteOnly_2029" vbProcedure="false">Interface!$I$44</definedName>
    <definedName function="false" hidden="false" name="WIF_MktGW_YE_A_D0_SiteOnly_2030" vbProcedure="false">Interface!$J$44</definedName>
    <definedName function="false" hidden="false" name="WIF_MktGW_YE_A_D0_SiteOnly_2031" vbProcedure="false">Interface!$K$44</definedName>
    <definedName function="false" hidden="false" name="WIF_MktGW_YE_A_D0_SiteOnly_2032" vbProcedure="false">Interface!$L$44</definedName>
    <definedName function="false" hidden="false" name="WIF_MktGW_YE_A_D1_2024" vbProcedure="false">Interface!$D$10</definedName>
    <definedName function="false" hidden="false" name="WIF_MktGW_YE_A_D1_2025" vbProcedure="false">Interface!$E$10</definedName>
    <definedName function="false" hidden="false" name="WIF_MktGW_YE_A_D1_2026" vbProcedure="false">Interface!$F$10</definedName>
    <definedName function="false" hidden="false" name="WIF_MktGW_YE_A_D1_2027" vbProcedure="false">Interface!$G$10</definedName>
    <definedName function="false" hidden="false" name="WIF_MktGW_YE_A_D1_2028" vbProcedure="false">Interface!$H$10</definedName>
    <definedName function="false" hidden="false" name="WIF_MktGW_YE_A_D1_2029" vbProcedure="false">Interface!$I$10</definedName>
    <definedName function="false" hidden="false" name="WIF_MktGW_YE_A_D1_2030" vbProcedure="false">Interface!$J$10</definedName>
    <definedName function="false" hidden="false" name="WIF_MktGW_YE_A_D1_2031" vbProcedure="false">Interface!$K$10</definedName>
    <definedName function="false" hidden="false" name="WIF_MktGW_YE_A_D1_2032" vbProcedure="false">Interface!$L$10</definedName>
    <definedName function="false" hidden="false" name="WIF_MktGW_YE_A_D1_SiteOnly_2024" vbProcedure="false">Interface!$D$45</definedName>
    <definedName function="false" hidden="false" name="WIF_MktGW_YE_A_D1_SiteOnly_2025" vbProcedure="false">Interface!$E$45</definedName>
    <definedName function="false" hidden="false" name="WIF_MktGW_YE_A_D1_SiteOnly_2026" vbProcedure="false">Interface!$F$45</definedName>
    <definedName function="false" hidden="false" name="WIF_MktGW_YE_A_D1_SiteOnly_2027" vbProcedure="false">Interface!$G$45</definedName>
    <definedName function="false" hidden="false" name="WIF_MktGW_YE_A_D1_SiteOnly_2028" vbProcedure="false">Interface!$H$45</definedName>
    <definedName function="false" hidden="false" name="WIF_MktGW_YE_A_D1_SiteOnly_2029" vbProcedure="false">Interface!$I$45</definedName>
    <definedName function="false" hidden="false" name="WIF_MktGW_YE_A_D1_SiteOnly_2030" vbProcedure="false">Interface!$J$45</definedName>
    <definedName function="false" hidden="false" name="WIF_MktGW_YE_A_D1_SiteOnly_2031" vbProcedure="false">Interface!$K$45</definedName>
    <definedName function="false" hidden="false" name="WIF_MktGW_YE_A_D1_SiteOnly_2032" vbProcedure="false">Interface!$L$45</definedName>
    <definedName function="false" hidden="false" name="WIF_MktGW_YE_A_D2_2024" vbProcedure="false">Interface!$D$11</definedName>
    <definedName function="false" hidden="false" name="WIF_MktGW_YE_A_D2_2025" vbProcedure="false">Interface!$E$11</definedName>
    <definedName function="false" hidden="false" name="WIF_MktGW_YE_A_D2_2026" vbProcedure="false">Interface!$F$11</definedName>
    <definedName function="false" hidden="false" name="WIF_MktGW_YE_A_D2_2027" vbProcedure="false">Interface!$G$11</definedName>
    <definedName function="false" hidden="false" name="WIF_MktGW_YE_A_D2_2028" vbProcedure="false">Interface!$H$11</definedName>
    <definedName function="false" hidden="false" name="WIF_MktGW_YE_A_D2_2029" vbProcedure="false">Interface!$I$11</definedName>
    <definedName function="false" hidden="false" name="WIF_MktGW_YE_A_D2_2030" vbProcedure="false">Interface!$J$11</definedName>
    <definedName function="false" hidden="false" name="WIF_MktGW_YE_A_D2_2031" vbProcedure="false">Interface!$K$11</definedName>
    <definedName function="false" hidden="false" name="WIF_MktGW_YE_A_D2_2032" vbProcedure="false">Interface!$L$11</definedName>
    <definedName function="false" hidden="false" name="WIF_MktGW_YE_A_D2_SiteOnly_2024" vbProcedure="false">Interface!$D$46</definedName>
    <definedName function="false" hidden="false" name="WIF_MktGW_YE_A_D2_SiteOnly_2025" vbProcedure="false">Interface!$E$46</definedName>
    <definedName function="false" hidden="false" name="WIF_MktGW_YE_A_D2_SiteOnly_2026" vbProcedure="false">Interface!$F$46</definedName>
    <definedName function="false" hidden="false" name="WIF_MktGW_YE_A_D2_SiteOnly_2027" vbProcedure="false">Interface!$G$46</definedName>
    <definedName function="false" hidden="false" name="WIF_MktGW_YE_A_D2_SiteOnly_2028" vbProcedure="false">Interface!$H$46</definedName>
    <definedName function="false" hidden="false" name="WIF_MktGW_YE_A_D2_SiteOnly_2029" vbProcedure="false">Interface!$I$46</definedName>
    <definedName function="false" hidden="false" name="WIF_MktGW_YE_A_D2_SiteOnly_2030" vbProcedure="false">Interface!$J$46</definedName>
    <definedName function="false" hidden="false" name="WIF_MktGW_YE_A_D2_SiteOnly_2031" vbProcedure="false">Interface!$K$46</definedName>
    <definedName function="false" hidden="false" name="WIF_MktGW_YE_A_D2_SiteOnly_2032" vbProcedure="false">Interface!$L$46</definedName>
    <definedName function="false" hidden="false" name="WIF_MktGW_YE_B_D0_2024" vbProcedure="false">Interface!$D$12</definedName>
    <definedName function="false" hidden="false" name="WIF_MktGW_YE_B_D0_2025" vbProcedure="false">Interface!$E$12</definedName>
    <definedName function="false" hidden="false" name="WIF_MktGW_YE_B_D0_2026" vbProcedure="false">Interface!$F$12</definedName>
    <definedName function="false" hidden="false" name="WIF_MktGW_YE_B_D0_2027" vbProcedure="false">Interface!$G$12</definedName>
    <definedName function="false" hidden="false" name="WIF_MktGW_YE_B_D0_2028" vbProcedure="false">Interface!$H$12</definedName>
    <definedName function="false" hidden="false" name="WIF_MktGW_YE_B_D0_2029" vbProcedure="false">Interface!$I$12</definedName>
    <definedName function="false" hidden="false" name="WIF_MktGW_YE_B_D0_2030" vbProcedure="false">Interface!$J$12</definedName>
    <definedName function="false" hidden="false" name="WIF_MktGW_YE_B_D0_2031" vbProcedure="false">Interface!$K$12</definedName>
    <definedName function="false" hidden="false" name="WIF_MktGW_YE_B_D0_2032" vbProcedure="false">Interface!$L$12</definedName>
    <definedName function="false" hidden="false" name="WIF_MktGW_YE_B_D0_SiteOnly_2024" vbProcedure="false">Interface!$D$47</definedName>
    <definedName function="false" hidden="false" name="WIF_MktGW_YE_B_D0_SiteOnly_2025" vbProcedure="false">Interface!$E$47</definedName>
    <definedName function="false" hidden="false" name="WIF_MktGW_YE_B_D0_SiteOnly_2026" vbProcedure="false">Interface!$F$47</definedName>
    <definedName function="false" hidden="false" name="WIF_MktGW_YE_B_D0_SiteOnly_2027" vbProcedure="false">Interface!$G$47</definedName>
    <definedName function="false" hidden="false" name="WIF_MktGW_YE_B_D0_SiteOnly_2028" vbProcedure="false">Interface!$H$47</definedName>
    <definedName function="false" hidden="false" name="WIF_MktGW_YE_B_D0_SiteOnly_2029" vbProcedure="false">Interface!$I$47</definedName>
    <definedName function="false" hidden="false" name="WIF_MktGW_YE_B_D0_SiteOnly_2030" vbProcedure="false">Interface!$J$47</definedName>
    <definedName function="false" hidden="false" name="WIF_MktGW_YE_B_D0_SiteOnly_2031" vbProcedure="false">Interface!$K$47</definedName>
    <definedName function="false" hidden="false" name="WIF_MktGW_YE_B_D0_SiteOnly_2032" vbProcedure="false">Interface!$L$47</definedName>
    <definedName function="false" hidden="false" name="WIF_MktGW_YE_B_D1_2024" vbProcedure="false">Interface!$D$13</definedName>
    <definedName function="false" hidden="false" name="WIF_MktGW_YE_B_D1_2025" vbProcedure="false">Interface!$E$13</definedName>
    <definedName function="false" hidden="false" name="WIF_MktGW_YE_B_D1_2026" vbProcedure="false">Interface!$F$13</definedName>
    <definedName function="false" hidden="false" name="WIF_MktGW_YE_B_D1_2027" vbProcedure="false">Interface!$G$13</definedName>
    <definedName function="false" hidden="false" name="WIF_MktGW_YE_B_D1_2028" vbProcedure="false">Interface!$H$13</definedName>
    <definedName function="false" hidden="false" name="WIF_MktGW_YE_B_D1_2029" vbProcedure="false">Interface!$I$13</definedName>
    <definedName function="false" hidden="false" name="WIF_MktGW_YE_B_D1_2030" vbProcedure="false">Interface!$J$13</definedName>
    <definedName function="false" hidden="false" name="WIF_MktGW_YE_B_D1_2031" vbProcedure="false">Interface!$K$13</definedName>
    <definedName function="false" hidden="false" name="WIF_MktGW_YE_B_D1_2032" vbProcedure="false">Interface!$L$13</definedName>
    <definedName function="false" hidden="false" name="WIF_MktGW_YE_B_D1_SiteOnly_2024" vbProcedure="false">Interface!$D$48</definedName>
    <definedName function="false" hidden="false" name="WIF_MktGW_YE_B_D1_SiteOnly_2025" vbProcedure="false">Interface!$E$48</definedName>
    <definedName function="false" hidden="false" name="WIF_MktGW_YE_B_D1_SiteOnly_2026" vbProcedure="false">Interface!$F$48</definedName>
    <definedName function="false" hidden="false" name="WIF_MktGW_YE_B_D1_SiteOnly_2027" vbProcedure="false">Interface!$G$48</definedName>
    <definedName function="false" hidden="false" name="WIF_MktGW_YE_B_D1_SiteOnly_2028" vbProcedure="false">Interface!$H$48</definedName>
    <definedName function="false" hidden="false" name="WIF_MktGW_YE_B_D1_SiteOnly_2029" vbProcedure="false">Interface!$I$48</definedName>
    <definedName function="false" hidden="false" name="WIF_MktGW_YE_B_D1_SiteOnly_2030" vbProcedure="false">Interface!$J$48</definedName>
    <definedName function="false" hidden="false" name="WIF_MktGW_YE_B_D1_SiteOnly_2031" vbProcedure="false">Interface!$K$48</definedName>
    <definedName function="false" hidden="false" name="WIF_MktGW_YE_B_D1_SiteOnly_2032" vbProcedure="false">Interface!$L$48</definedName>
    <definedName function="false" hidden="false" name="WIF_MktGW_YE_B_D2_2024" vbProcedure="false">Interface!$D$14</definedName>
    <definedName function="false" hidden="false" name="WIF_MktGW_YE_B_D2_2025" vbProcedure="false">Interface!$E$14</definedName>
    <definedName function="false" hidden="false" name="WIF_MktGW_YE_B_D2_2026" vbProcedure="false">Interface!$F$14</definedName>
    <definedName function="false" hidden="false" name="WIF_MktGW_YE_B_D2_2027" vbProcedure="false">Interface!$G$14</definedName>
    <definedName function="false" hidden="false" name="WIF_MktGW_YE_B_D2_2028" vbProcedure="false">Interface!$H$14</definedName>
    <definedName function="false" hidden="false" name="WIF_MktGW_YE_B_D2_2029" vbProcedure="false">Interface!$I$14</definedName>
    <definedName function="false" hidden="false" name="WIF_MktGW_YE_B_D2_2030" vbProcedure="false">Interface!$J$14</definedName>
    <definedName function="false" hidden="false" name="WIF_MktGW_YE_B_D2_2031" vbProcedure="false">Interface!$K$14</definedName>
    <definedName function="false" hidden="false" name="WIF_MktGW_YE_B_D2_2032" vbProcedure="false">Interface!$L$14</definedName>
    <definedName function="false" hidden="false" name="WIF_MktGW_YE_B_D2_SiteOnly_2024" vbProcedure="false">Interface!$D$49</definedName>
    <definedName function="false" hidden="false" name="WIF_MktGW_YE_B_D2_SiteOnly_2025" vbProcedure="false">Interface!$E$49</definedName>
    <definedName function="false" hidden="false" name="WIF_MktGW_YE_B_D2_SiteOnly_2026" vbProcedure="false">Interface!$F$49</definedName>
    <definedName function="false" hidden="false" name="WIF_MktGW_YE_B_D2_SiteOnly_2027" vbProcedure="false">Interface!$G$49</definedName>
    <definedName function="false" hidden="false" name="WIF_MktGW_YE_B_D2_SiteOnly_2028" vbProcedure="false">Interface!$H$49</definedName>
    <definedName function="false" hidden="false" name="WIF_MktGW_YE_B_D2_SiteOnly_2029" vbProcedure="false">Interface!$I$49</definedName>
    <definedName function="false" hidden="false" name="WIF_MktGW_YE_B_D2_SiteOnly_2030" vbProcedure="false">Interface!$J$49</definedName>
    <definedName function="false" hidden="false" name="WIF_MktGW_YE_B_D2_SiteOnly_2031" vbProcedure="false">Interface!$K$49</definedName>
    <definedName function="false" hidden="false" name="WIF_MktGW_YE_B_D2_SiteOnly_2032" vbProcedure="false">Interface!$L$49</definedName>
    <definedName function="false" hidden="false" name="WIF_MktGW_YE_C_D0_2024" vbProcedure="false">Interface!$D$15</definedName>
    <definedName function="false" hidden="false" name="WIF_MktGW_YE_C_D0_2025" vbProcedure="false">Interface!$E$15</definedName>
    <definedName function="false" hidden="false" name="WIF_MktGW_YE_C_D0_2026" vbProcedure="false">Interface!$F$15</definedName>
    <definedName function="false" hidden="false" name="WIF_MktGW_YE_C_D0_2027" vbProcedure="false">Interface!$G$15</definedName>
    <definedName function="false" hidden="false" name="WIF_MktGW_YE_C_D0_2028" vbProcedure="false">Interface!$H$15</definedName>
    <definedName function="false" hidden="false" name="WIF_MktGW_YE_C_D0_2029" vbProcedure="false">Interface!$I$15</definedName>
    <definedName function="false" hidden="false" name="WIF_MktGW_YE_C_D0_2030" vbProcedure="false">Interface!$J$15</definedName>
    <definedName function="false" hidden="false" name="WIF_MktGW_YE_C_D0_2031" vbProcedure="false">Interface!$K$15</definedName>
    <definedName function="false" hidden="false" name="WIF_MktGW_YE_C_D0_2032" vbProcedure="false">Interface!$L$15</definedName>
    <definedName function="false" hidden="false" name="WIF_MktGW_YE_C_D0_SiteOnly_2024" vbProcedure="false">Interface!$D$50</definedName>
    <definedName function="false" hidden="false" name="WIF_MktGW_YE_C_D0_SiteOnly_2025" vbProcedure="false">Interface!$E$50</definedName>
    <definedName function="false" hidden="false" name="WIF_MktGW_YE_C_D0_SiteOnly_2026" vbProcedure="false">Interface!$F$50</definedName>
    <definedName function="false" hidden="false" name="WIF_MktGW_YE_C_D0_SiteOnly_2027" vbProcedure="false">Interface!$G$50</definedName>
    <definedName function="false" hidden="false" name="WIF_MktGW_YE_C_D0_SiteOnly_2028" vbProcedure="false">Interface!$H$50</definedName>
    <definedName function="false" hidden="false" name="WIF_MktGW_YE_C_D0_SiteOnly_2029" vbProcedure="false">Interface!$I$50</definedName>
    <definedName function="false" hidden="false" name="WIF_MktGW_YE_C_D0_SiteOnly_2030" vbProcedure="false">Interface!$J$50</definedName>
    <definedName function="false" hidden="false" name="WIF_MktGW_YE_C_D0_SiteOnly_2031" vbProcedure="false">Interface!$K$50</definedName>
    <definedName function="false" hidden="false" name="WIF_MktGW_YE_C_D0_SiteOnly_2032" vbProcedure="false">Interface!$L$50</definedName>
    <definedName function="false" hidden="false" name="WIF_MktGW_YE_C_D1_2024" vbProcedure="false">Interface!$D$16</definedName>
    <definedName function="false" hidden="false" name="WIF_MktGW_YE_C_D1_2025" vbProcedure="false">Interface!$E$16</definedName>
    <definedName function="false" hidden="false" name="WIF_MktGW_YE_C_D1_2026" vbProcedure="false">Interface!$F$16</definedName>
    <definedName function="false" hidden="false" name="WIF_MktGW_YE_C_D1_2027" vbProcedure="false">Interface!$G$16</definedName>
    <definedName function="false" hidden="false" name="WIF_MktGW_YE_C_D1_2028" vbProcedure="false">Interface!$H$16</definedName>
    <definedName function="false" hidden="false" name="WIF_MktGW_YE_C_D1_2029" vbProcedure="false">Interface!$I$16</definedName>
    <definedName function="false" hidden="false" name="WIF_MktGW_YE_C_D1_2030" vbProcedure="false">Interface!$J$16</definedName>
    <definedName function="false" hidden="false" name="WIF_MktGW_YE_C_D1_2031" vbProcedure="false">Interface!$K$16</definedName>
    <definedName function="false" hidden="false" name="WIF_MktGW_YE_C_D1_2032" vbProcedure="false">Interface!$L$16</definedName>
    <definedName function="false" hidden="false" name="WIF_MktGW_YE_C_D1_SiteOnly_2024" vbProcedure="false">Interface!$D$51</definedName>
    <definedName function="false" hidden="false" name="WIF_MktGW_YE_C_D1_SiteOnly_2025" vbProcedure="false">Interface!$E$51</definedName>
    <definedName function="false" hidden="false" name="WIF_MktGW_YE_C_D1_SiteOnly_2026" vbProcedure="false">Interface!$F$51</definedName>
    <definedName function="false" hidden="false" name="WIF_MktGW_YE_C_D1_SiteOnly_2027" vbProcedure="false">Interface!$G$51</definedName>
    <definedName function="false" hidden="false" name="WIF_MktGW_YE_C_D1_SiteOnly_2028" vbProcedure="false">Interface!$H$51</definedName>
    <definedName function="false" hidden="false" name="WIF_MktGW_YE_C_D1_SiteOnly_2029" vbProcedure="false">Interface!$I$51</definedName>
    <definedName function="false" hidden="false" name="WIF_MktGW_YE_C_D1_SiteOnly_2030" vbProcedure="false">Interface!$J$51</definedName>
    <definedName function="false" hidden="false" name="WIF_MktGW_YE_C_D1_SiteOnly_2031" vbProcedure="false">Interface!$K$51</definedName>
    <definedName function="false" hidden="false" name="WIF_MktGW_YE_C_D1_SiteOnly_2032" vbProcedure="false">Interface!$L$51</definedName>
    <definedName function="false" hidden="false" name="WIF_MktGW_YE_C_D2_2024" vbProcedure="false">Interface!$D$17</definedName>
    <definedName function="false" hidden="false" name="WIF_MktGW_YE_C_D2_2025" vbProcedure="false">Interface!$E$17</definedName>
    <definedName function="false" hidden="false" name="WIF_MktGW_YE_C_D2_2026" vbProcedure="false">Interface!$F$17</definedName>
    <definedName function="false" hidden="false" name="WIF_MktGW_YE_C_D2_2027" vbProcedure="false">Interface!$G$17</definedName>
    <definedName function="false" hidden="false" name="WIF_MktGW_YE_C_D2_2028" vbProcedure="false">Interface!$H$17</definedName>
    <definedName function="false" hidden="false" name="WIF_MktGW_YE_C_D2_2029" vbProcedure="false">Interface!$I$17</definedName>
    <definedName function="false" hidden="false" name="WIF_MktGW_YE_C_D2_2030" vbProcedure="false">Interface!$J$17</definedName>
    <definedName function="false" hidden="false" name="WIF_MktGW_YE_C_D2_2031" vbProcedure="false">Interface!$K$17</definedName>
    <definedName function="false" hidden="false" name="WIF_MktGW_YE_C_D2_2032" vbProcedure="false">Interface!$L$17</definedName>
    <definedName function="false" hidden="false" name="WIF_MktGW_YE_C_D2_SiteOnly_2024" vbProcedure="false">Interface!$D$52</definedName>
    <definedName function="false" hidden="false" name="WIF_MktGW_YE_C_D2_SiteOnly_2025" vbProcedure="false">Interface!$E$52</definedName>
    <definedName function="false" hidden="false" name="WIF_MktGW_YE_C_D2_SiteOnly_2026" vbProcedure="false">Interface!$F$52</definedName>
    <definedName function="false" hidden="false" name="WIF_MktGW_YE_C_D2_SiteOnly_2027" vbProcedure="false">Interface!$G$52</definedName>
    <definedName function="false" hidden="false" name="WIF_MktGW_YE_C_D2_SiteOnly_2028" vbProcedure="false">Interface!$H$52</definedName>
    <definedName function="false" hidden="false" name="WIF_MktGW_YE_C_D2_SiteOnly_2029" vbProcedure="false">Interface!$I$52</definedName>
    <definedName function="false" hidden="false" name="WIF_MktGW_YE_C_D2_SiteOnly_2030" vbProcedure="false">Interface!$J$52</definedName>
    <definedName function="false" hidden="false" name="WIF_MktGW_YE_C_D2_SiteOnly_2031" vbProcedure="false">Interface!$K$52</definedName>
    <definedName function="false" hidden="false" name="WIF_MktGW_YE_C_D2_SiteOnly_2032" vbProcedure="false">Interface!$L$52</definedName>
    <definedName function="false" hidden="false" name="WIF_PlayerGW_YE_amzn_2024" vbProcedure="false">Interface!$D$81</definedName>
    <definedName function="false" hidden="false" name="WIF_PlayerGW_YE_amzn_2025" vbProcedure="false">Interface!$E$81</definedName>
    <definedName function="false" hidden="false" name="WIF_PlayerGW_YE_amzn_2026" vbProcedure="false">Interface!$F$81</definedName>
    <definedName function="false" hidden="false" name="WIF_PlayerGW_YE_amzn_2027" vbProcedure="false">Interface!$G$81</definedName>
    <definedName function="false" hidden="false" name="WIF_PlayerGW_YE_amzn_2028" vbProcedure="false">Interface!$H$81</definedName>
    <definedName function="false" hidden="false" name="WIF_PlayerGW_YE_amzn_2029" vbProcedure="false">Interface!$I$81</definedName>
    <definedName function="false" hidden="false" name="WIF_PlayerGW_YE_amzn_2030" vbProcedure="false">Interface!$J$81</definedName>
    <definedName function="false" hidden="false" name="WIF_PlayerGW_YE_amzn_2031" vbProcedure="false">Interface!$K$81</definedName>
    <definedName function="false" hidden="false" name="WIF_PlayerGW_YE_amzn_2032" vbProcedure="false">Interface!$L$81</definedName>
    <definedName function="false" hidden="false" name="WIF_PlayerGW_YE_amzn_SiteOnly_2024" vbProcedure="false">Interface!$D$97</definedName>
    <definedName function="false" hidden="false" name="WIF_PlayerGW_YE_amzn_SiteOnly_2025" vbProcedure="false">Interface!$E$97</definedName>
    <definedName function="false" hidden="false" name="WIF_PlayerGW_YE_amzn_SiteOnly_2026" vbProcedure="false">Interface!$F$97</definedName>
    <definedName function="false" hidden="false" name="WIF_PlayerGW_YE_amzn_SiteOnly_2027" vbProcedure="false">Interface!$G$97</definedName>
    <definedName function="false" hidden="false" name="WIF_PlayerGW_YE_amzn_SiteOnly_2028" vbProcedure="false">Interface!$H$97</definedName>
    <definedName function="false" hidden="false" name="WIF_PlayerGW_YE_amzn_SiteOnly_2029" vbProcedure="false">Interface!$I$97</definedName>
    <definedName function="false" hidden="false" name="WIF_PlayerGW_YE_amzn_SiteOnly_2030" vbProcedure="false">Interface!$J$97</definedName>
    <definedName function="false" hidden="false" name="WIF_PlayerGW_YE_amzn_SiteOnly_2031" vbProcedure="false">Interface!$K$97</definedName>
    <definedName function="false" hidden="false" name="WIF_PlayerGW_YE_amzn_SiteOnly_2032" vbProcedure="false">Interface!$L$97</definedName>
    <definedName function="false" hidden="false" name="WIF_PlayerGW_YE_ant_2024" vbProcedure="false">Interface!$D$89</definedName>
    <definedName function="false" hidden="false" name="WIF_PlayerGW_YE_ant_2025" vbProcedure="false">Interface!$E$89</definedName>
    <definedName function="false" hidden="false" name="WIF_PlayerGW_YE_ant_2026" vbProcedure="false">Interface!$F$89</definedName>
    <definedName function="false" hidden="false" name="WIF_PlayerGW_YE_ant_2027" vbProcedure="false">Interface!$G$89</definedName>
    <definedName function="false" hidden="false" name="WIF_PlayerGW_YE_ant_2028" vbProcedure="false">Interface!$H$89</definedName>
    <definedName function="false" hidden="false" name="WIF_PlayerGW_YE_ant_2029" vbProcedure="false">Interface!$I$89</definedName>
    <definedName function="false" hidden="false" name="WIF_PlayerGW_YE_ant_2030" vbProcedure="false">Interface!$J$89</definedName>
    <definedName function="false" hidden="false" name="WIF_PlayerGW_YE_ant_2031" vbProcedure="false">Interface!$K$89</definedName>
    <definedName function="false" hidden="false" name="WIF_PlayerGW_YE_ant_2032" vbProcedure="false">Interface!$L$89</definedName>
    <definedName function="false" hidden="false" name="WIF_PlayerGW_YE_ant_SiteOnly_2024" vbProcedure="false">Interface!$D$105</definedName>
    <definedName function="false" hidden="false" name="WIF_PlayerGW_YE_ant_SiteOnly_2025" vbProcedure="false">Interface!$E$105</definedName>
    <definedName function="false" hidden="false" name="WIF_PlayerGW_YE_ant_SiteOnly_2026" vbProcedure="false">Interface!$F$105</definedName>
    <definedName function="false" hidden="false" name="WIF_PlayerGW_YE_ant_SiteOnly_2027" vbProcedure="false">Interface!$G$105</definedName>
    <definedName function="false" hidden="false" name="WIF_PlayerGW_YE_ant_SiteOnly_2028" vbProcedure="false">Interface!$H$105</definedName>
    <definedName function="false" hidden="false" name="WIF_PlayerGW_YE_ant_SiteOnly_2029" vbProcedure="false">Interface!$I$105</definedName>
    <definedName function="false" hidden="false" name="WIF_PlayerGW_YE_ant_SiteOnly_2030" vbProcedure="false">Interface!$J$105</definedName>
    <definedName function="false" hidden="false" name="WIF_PlayerGW_YE_ant_SiteOnly_2031" vbProcedure="false">Interface!$K$105</definedName>
    <definedName function="false" hidden="false" name="WIF_PlayerGW_YE_ant_SiteOnly_2032" vbProcedure="false">Interface!$L$105</definedName>
    <definedName function="false" hidden="false" name="WIF_PlayerGW_YE_cn_2024" vbProcedure="false">Interface!$D$92</definedName>
    <definedName function="false" hidden="false" name="WIF_PlayerGW_YE_cn_2025" vbProcedure="false">Interface!$E$92</definedName>
    <definedName function="false" hidden="false" name="WIF_PlayerGW_YE_cn_2026" vbProcedure="false">Interface!$F$92</definedName>
    <definedName function="false" hidden="false" name="WIF_PlayerGW_YE_cn_2027" vbProcedure="false">Interface!$G$92</definedName>
    <definedName function="false" hidden="false" name="WIF_PlayerGW_YE_cn_2028" vbProcedure="false">Interface!$H$92</definedName>
    <definedName function="false" hidden="false" name="WIF_PlayerGW_YE_cn_2029" vbProcedure="false">Interface!$I$92</definedName>
    <definedName function="false" hidden="false" name="WIF_PlayerGW_YE_cn_2030" vbProcedure="false">Interface!$J$92</definedName>
    <definedName function="false" hidden="false" name="WIF_PlayerGW_YE_cn_2031" vbProcedure="false">Interface!$K$92</definedName>
    <definedName function="false" hidden="false" name="WIF_PlayerGW_YE_cn_2032" vbProcedure="false">Interface!$L$92</definedName>
    <definedName function="false" hidden="false" name="WIF_PlayerGW_YE_cn_SiteOnly_2024" vbProcedure="false">Interface!$D$108</definedName>
    <definedName function="false" hidden="false" name="WIF_PlayerGW_YE_cn_SiteOnly_2025" vbProcedure="false">Interface!$E$108</definedName>
    <definedName function="false" hidden="false" name="WIF_PlayerGW_YE_cn_SiteOnly_2026" vbProcedure="false">Interface!$F$108</definedName>
    <definedName function="false" hidden="false" name="WIF_PlayerGW_YE_cn_SiteOnly_2027" vbProcedure="false">Interface!$G$108</definedName>
    <definedName function="false" hidden="false" name="WIF_PlayerGW_YE_cn_SiteOnly_2028" vbProcedure="false">Interface!$H$108</definedName>
    <definedName function="false" hidden="false" name="WIF_PlayerGW_YE_cn_SiteOnly_2029" vbProcedure="false">Interface!$I$108</definedName>
    <definedName function="false" hidden="false" name="WIF_PlayerGW_YE_cn_SiteOnly_2030" vbProcedure="false">Interface!$J$108</definedName>
    <definedName function="false" hidden="false" name="WIF_PlayerGW_YE_cn_SiteOnly_2031" vbProcedure="false">Interface!$K$108</definedName>
    <definedName function="false" hidden="false" name="WIF_PlayerGW_YE_cn_SiteOnly_2032" vbProcedure="false">Interface!$L$108</definedName>
    <definedName function="false" hidden="false" name="WIF_PlayerGW_YE_crwv_2024" vbProcedure="false">Interface!$D$84</definedName>
    <definedName function="false" hidden="false" name="WIF_PlayerGW_YE_crwv_2025" vbProcedure="false">Interface!$E$84</definedName>
    <definedName function="false" hidden="false" name="WIF_PlayerGW_YE_crwv_2026" vbProcedure="false">Interface!$F$84</definedName>
    <definedName function="false" hidden="false" name="WIF_PlayerGW_YE_crwv_2027" vbProcedure="false">Interface!$G$84</definedName>
    <definedName function="false" hidden="false" name="WIF_PlayerGW_YE_crwv_2028" vbProcedure="false">Interface!$H$84</definedName>
    <definedName function="false" hidden="false" name="WIF_PlayerGW_YE_crwv_2029" vbProcedure="false">Interface!$I$84</definedName>
    <definedName function="false" hidden="false" name="WIF_PlayerGW_YE_crwv_2030" vbProcedure="false">Interface!$J$84</definedName>
    <definedName function="false" hidden="false" name="WIF_PlayerGW_YE_crwv_2031" vbProcedure="false">Interface!$K$84</definedName>
    <definedName function="false" hidden="false" name="WIF_PlayerGW_YE_crwv_2032" vbProcedure="false">Interface!$L$84</definedName>
    <definedName function="false" hidden="false" name="WIF_PlayerGW_YE_crwv_SiteOnly_2024" vbProcedure="false">Interface!$D$100</definedName>
    <definedName function="false" hidden="false" name="WIF_PlayerGW_YE_crwv_SiteOnly_2025" vbProcedure="false">Interface!$E$100</definedName>
    <definedName function="false" hidden="false" name="WIF_PlayerGW_YE_crwv_SiteOnly_2026" vbProcedure="false">Interface!$F$100</definedName>
    <definedName function="false" hidden="false" name="WIF_PlayerGW_YE_crwv_SiteOnly_2027" vbProcedure="false">Interface!$G$100</definedName>
    <definedName function="false" hidden="false" name="WIF_PlayerGW_YE_crwv_SiteOnly_2028" vbProcedure="false">Interface!$H$100</definedName>
    <definedName function="false" hidden="false" name="WIF_PlayerGW_YE_crwv_SiteOnly_2029" vbProcedure="false">Interface!$I$100</definedName>
    <definedName function="false" hidden="false" name="WIF_PlayerGW_YE_crwv_SiteOnly_2030" vbProcedure="false">Interface!$J$100</definedName>
    <definedName function="false" hidden="false" name="WIF_PlayerGW_YE_crwv_SiteOnly_2031" vbProcedure="false">Interface!$K$100</definedName>
    <definedName function="false" hidden="false" name="WIF_PlayerGW_YE_crwv_SiteOnly_2032" vbProcedure="false">Interface!$L$100</definedName>
    <definedName function="false" hidden="false" name="WIF_PlayerGW_YE_googl_2024" vbProcedure="false">Interface!$D$80</definedName>
    <definedName function="false" hidden="false" name="WIF_PlayerGW_YE_googl_2025" vbProcedure="false">Interface!$E$80</definedName>
    <definedName function="false" hidden="false" name="WIF_PlayerGW_YE_googl_2026" vbProcedure="false">Interface!$F$80</definedName>
    <definedName function="false" hidden="false" name="WIF_PlayerGW_YE_googl_2027" vbProcedure="false">Interface!$G$80</definedName>
    <definedName function="false" hidden="false" name="WIF_PlayerGW_YE_googl_2028" vbProcedure="false">Interface!$H$80</definedName>
    <definedName function="false" hidden="false" name="WIF_PlayerGW_YE_googl_2029" vbProcedure="false">Interface!$I$80</definedName>
    <definedName function="false" hidden="false" name="WIF_PlayerGW_YE_googl_2030" vbProcedure="false">Interface!$J$80</definedName>
    <definedName function="false" hidden="false" name="WIF_PlayerGW_YE_googl_2031" vbProcedure="false">Interface!$K$80</definedName>
    <definedName function="false" hidden="false" name="WIF_PlayerGW_YE_googl_2032" vbProcedure="false">Interface!$L$80</definedName>
    <definedName function="false" hidden="false" name="WIF_PlayerGW_YE_googl_SiteOnly_2024" vbProcedure="false">Interface!$D$96</definedName>
    <definedName function="false" hidden="false" name="WIF_PlayerGW_YE_googl_SiteOnly_2025" vbProcedure="false">Interface!$E$96</definedName>
    <definedName function="false" hidden="false" name="WIF_PlayerGW_YE_googl_SiteOnly_2026" vbProcedure="false">Interface!$F$96</definedName>
    <definedName function="false" hidden="false" name="WIF_PlayerGW_YE_googl_SiteOnly_2027" vbProcedure="false">Interface!$G$96</definedName>
    <definedName function="false" hidden="false" name="WIF_PlayerGW_YE_googl_SiteOnly_2028" vbProcedure="false">Interface!$H$96</definedName>
    <definedName function="false" hidden="false" name="WIF_PlayerGW_YE_googl_SiteOnly_2029" vbProcedure="false">Interface!$I$96</definedName>
    <definedName function="false" hidden="false" name="WIF_PlayerGW_YE_googl_SiteOnly_2030" vbProcedure="false">Interface!$J$96</definedName>
    <definedName function="false" hidden="false" name="WIF_PlayerGW_YE_googl_SiteOnly_2031" vbProcedure="false">Interface!$K$96</definedName>
    <definedName function="false" hidden="false" name="WIF_PlayerGW_YE_googl_SiteOnly_2032" vbProcedure="false">Interface!$L$96</definedName>
    <definedName function="false" hidden="false" name="WIF_PlayerGW_YE_meta_2024" vbProcedure="false">Interface!$D$82</definedName>
    <definedName function="false" hidden="false" name="WIF_PlayerGW_YE_meta_2025" vbProcedure="false">Interface!$E$82</definedName>
    <definedName function="false" hidden="false" name="WIF_PlayerGW_YE_meta_2026" vbProcedure="false">Interface!$F$82</definedName>
    <definedName function="false" hidden="false" name="WIF_PlayerGW_YE_meta_2027" vbProcedure="false">Interface!$G$82</definedName>
    <definedName function="false" hidden="false" name="WIF_PlayerGW_YE_meta_2028" vbProcedure="false">Interface!$H$82</definedName>
    <definedName function="false" hidden="false" name="WIF_PlayerGW_YE_meta_2029" vbProcedure="false">Interface!$I$82</definedName>
    <definedName function="false" hidden="false" name="WIF_PlayerGW_YE_meta_2030" vbProcedure="false">Interface!$J$82</definedName>
    <definedName function="false" hidden="false" name="WIF_PlayerGW_YE_meta_2031" vbProcedure="false">Interface!$K$82</definedName>
    <definedName function="false" hidden="false" name="WIF_PlayerGW_YE_meta_2032" vbProcedure="false">Interface!$L$82</definedName>
    <definedName function="false" hidden="false" name="WIF_PlayerGW_YE_meta_SiteOnly_2024" vbProcedure="false">Interface!$D$98</definedName>
    <definedName function="false" hidden="false" name="WIF_PlayerGW_YE_meta_SiteOnly_2025" vbProcedure="false">Interface!$E$98</definedName>
    <definedName function="false" hidden="false" name="WIF_PlayerGW_YE_meta_SiteOnly_2026" vbProcedure="false">Interface!$F$98</definedName>
    <definedName function="false" hidden="false" name="WIF_PlayerGW_YE_meta_SiteOnly_2027" vbProcedure="false">Interface!$G$98</definedName>
    <definedName function="false" hidden="false" name="WIF_PlayerGW_YE_meta_SiteOnly_2028" vbProcedure="false">Interface!$H$98</definedName>
    <definedName function="false" hidden="false" name="WIF_PlayerGW_YE_meta_SiteOnly_2029" vbProcedure="false">Interface!$I$98</definedName>
    <definedName function="false" hidden="false" name="WIF_PlayerGW_YE_meta_SiteOnly_2030" vbProcedure="false">Interface!$J$98</definedName>
    <definedName function="false" hidden="false" name="WIF_PlayerGW_YE_meta_SiteOnly_2031" vbProcedure="false">Interface!$K$98</definedName>
    <definedName function="false" hidden="false" name="WIF_PlayerGW_YE_meta_SiteOnly_2032" vbProcedure="false">Interface!$L$98</definedName>
    <definedName function="false" hidden="false" name="WIF_PlayerGW_YE_msft_2024" vbProcedure="false">Interface!$D$79</definedName>
    <definedName function="false" hidden="false" name="WIF_PlayerGW_YE_msft_2025" vbProcedure="false">Interface!$E$79</definedName>
    <definedName function="false" hidden="false" name="WIF_PlayerGW_YE_msft_2026" vbProcedure="false">Interface!$F$79</definedName>
    <definedName function="false" hidden="false" name="WIF_PlayerGW_YE_msft_2027" vbProcedure="false">Interface!$G$79</definedName>
    <definedName function="false" hidden="false" name="WIF_PlayerGW_YE_msft_2028" vbProcedure="false">Interface!$H$79</definedName>
    <definedName function="false" hidden="false" name="WIF_PlayerGW_YE_msft_2029" vbProcedure="false">Interface!$I$79</definedName>
    <definedName function="false" hidden="false" name="WIF_PlayerGW_YE_msft_2030" vbProcedure="false">Interface!$J$79</definedName>
    <definedName function="false" hidden="false" name="WIF_PlayerGW_YE_msft_2031" vbProcedure="false">Interface!$K$79</definedName>
    <definedName function="false" hidden="false" name="WIF_PlayerGW_YE_msft_2032" vbProcedure="false">Interface!$L$79</definedName>
    <definedName function="false" hidden="false" name="WIF_PlayerGW_YE_msft_SiteOnly_2024" vbProcedure="false">Interface!$D$95</definedName>
    <definedName function="false" hidden="false" name="WIF_PlayerGW_YE_msft_SiteOnly_2025" vbProcedure="false">Interface!$E$95</definedName>
    <definedName function="false" hidden="false" name="WIF_PlayerGW_YE_msft_SiteOnly_2026" vbProcedure="false">Interface!$F$95</definedName>
    <definedName function="false" hidden="false" name="WIF_PlayerGW_YE_msft_SiteOnly_2027" vbProcedure="false">Interface!$G$95</definedName>
    <definedName function="false" hidden="false" name="WIF_PlayerGW_YE_msft_SiteOnly_2028" vbProcedure="false">Interface!$H$95</definedName>
    <definedName function="false" hidden="false" name="WIF_PlayerGW_YE_msft_SiteOnly_2029" vbProcedure="false">Interface!$I$95</definedName>
    <definedName function="false" hidden="false" name="WIF_PlayerGW_YE_msft_SiteOnly_2030" vbProcedure="false">Interface!$J$95</definedName>
    <definedName function="false" hidden="false" name="WIF_PlayerGW_YE_msft_SiteOnly_2031" vbProcedure="false">Interface!$K$95</definedName>
    <definedName function="false" hidden="false" name="WIF_PlayerGW_YE_msft_SiteOnly_2032" vbProcedure="false">Interface!$L$95</definedName>
    <definedName function="false" hidden="false" name="WIF_PlayerGW_YE_nbis_2024" vbProcedure="false">Interface!$D$85</definedName>
    <definedName function="false" hidden="false" name="WIF_PlayerGW_YE_nbis_2025" vbProcedure="false">Interface!$E$85</definedName>
    <definedName function="false" hidden="false" name="WIF_PlayerGW_YE_nbis_2026" vbProcedure="false">Interface!$F$85</definedName>
    <definedName function="false" hidden="false" name="WIF_PlayerGW_YE_nbis_2027" vbProcedure="false">Interface!$G$85</definedName>
    <definedName function="false" hidden="false" name="WIF_PlayerGW_YE_nbis_2028" vbProcedure="false">Interface!$H$85</definedName>
    <definedName function="false" hidden="false" name="WIF_PlayerGW_YE_nbis_2029" vbProcedure="false">Interface!$I$85</definedName>
    <definedName function="false" hidden="false" name="WIF_PlayerGW_YE_nbis_2030" vbProcedure="false">Interface!$J$85</definedName>
    <definedName function="false" hidden="false" name="WIF_PlayerGW_YE_nbis_2031" vbProcedure="false">Interface!$K$85</definedName>
    <definedName function="false" hidden="false" name="WIF_PlayerGW_YE_nbis_2032" vbProcedure="false">Interface!$L$85</definedName>
    <definedName function="false" hidden="false" name="WIF_PlayerGW_YE_nbis_SiteOnly_2024" vbProcedure="false">Interface!$D$101</definedName>
    <definedName function="false" hidden="false" name="WIF_PlayerGW_YE_nbis_SiteOnly_2025" vbProcedure="false">Interface!$E$101</definedName>
    <definedName function="false" hidden="false" name="WIF_PlayerGW_YE_nbis_SiteOnly_2026" vbProcedure="false">Interface!$F$101</definedName>
    <definedName function="false" hidden="false" name="WIF_PlayerGW_YE_nbis_SiteOnly_2027" vbProcedure="false">Interface!$G$101</definedName>
    <definedName function="false" hidden="false" name="WIF_PlayerGW_YE_nbis_SiteOnly_2028" vbProcedure="false">Interface!$H$101</definedName>
    <definedName function="false" hidden="false" name="WIF_PlayerGW_YE_nbis_SiteOnly_2029" vbProcedure="false">Interface!$I$101</definedName>
    <definedName function="false" hidden="false" name="WIF_PlayerGW_YE_nbis_SiteOnly_2030" vbProcedure="false">Interface!$J$101</definedName>
    <definedName function="false" hidden="false" name="WIF_PlayerGW_YE_nbis_SiteOnly_2031" vbProcedure="false">Interface!$K$101</definedName>
    <definedName function="false" hidden="false" name="WIF_PlayerGW_YE_nbis_SiteOnly_2032" vbProcedure="false">Interface!$L$101</definedName>
    <definedName function="false" hidden="false" name="WIF_PlayerGW_YE_neo_2024" vbProcedure="false">Interface!$D$90</definedName>
    <definedName function="false" hidden="false" name="WIF_PlayerGW_YE_neo_2025" vbProcedure="false">Interface!$E$90</definedName>
    <definedName function="false" hidden="false" name="WIF_PlayerGW_YE_neo_2026" vbProcedure="false">Interface!$F$90</definedName>
    <definedName function="false" hidden="false" name="WIF_PlayerGW_YE_neo_2027" vbProcedure="false">Interface!$G$90</definedName>
    <definedName function="false" hidden="false" name="WIF_PlayerGW_YE_neo_2028" vbProcedure="false">Interface!$H$90</definedName>
    <definedName function="false" hidden="false" name="WIF_PlayerGW_YE_neo_2029" vbProcedure="false">Interface!$I$90</definedName>
    <definedName function="false" hidden="false" name="WIF_PlayerGW_YE_neo_2030" vbProcedure="false">Interface!$J$90</definedName>
    <definedName function="false" hidden="false" name="WIF_PlayerGW_YE_neo_2031" vbProcedure="false">Interface!$K$90</definedName>
    <definedName function="false" hidden="false" name="WIF_PlayerGW_YE_neo_2032" vbProcedure="false">Interface!$L$90</definedName>
    <definedName function="false" hidden="false" name="WIF_PlayerGW_YE_neo_SiteOnly_2024" vbProcedure="false">Interface!$D$106</definedName>
    <definedName function="false" hidden="false" name="WIF_PlayerGW_YE_neo_SiteOnly_2025" vbProcedure="false">Interface!$E$106</definedName>
    <definedName function="false" hidden="false" name="WIF_PlayerGW_YE_neo_SiteOnly_2026" vbProcedure="false">Interface!$F$106</definedName>
    <definedName function="false" hidden="false" name="WIF_PlayerGW_YE_neo_SiteOnly_2027" vbProcedure="false">Interface!$G$106</definedName>
    <definedName function="false" hidden="false" name="WIF_PlayerGW_YE_neo_SiteOnly_2028" vbProcedure="false">Interface!$H$106</definedName>
    <definedName function="false" hidden="false" name="WIF_PlayerGW_YE_neo_SiteOnly_2029" vbProcedure="false">Interface!$I$106</definedName>
    <definedName function="false" hidden="false" name="WIF_PlayerGW_YE_neo_SiteOnly_2030" vbProcedure="false">Interface!$J$106</definedName>
    <definedName function="false" hidden="false" name="WIF_PlayerGW_YE_neo_SiteOnly_2031" vbProcedure="false">Interface!$K$106</definedName>
    <definedName function="false" hidden="false" name="WIF_PlayerGW_YE_neo_SiteOnly_2032" vbProcedure="false">Interface!$L$106</definedName>
    <definedName function="false" hidden="false" name="WIF_PlayerGW_YE_oai_2024" vbProcedure="false">Interface!$D$88</definedName>
    <definedName function="false" hidden="false" name="WIF_PlayerGW_YE_oai_2025" vbProcedure="false">Interface!$E$88</definedName>
    <definedName function="false" hidden="false" name="WIF_PlayerGW_YE_oai_2026" vbProcedure="false">Interface!$F$88</definedName>
    <definedName function="false" hidden="false" name="WIF_PlayerGW_YE_oai_2027" vbProcedure="false">Interface!$G$88</definedName>
    <definedName function="false" hidden="false" name="WIF_PlayerGW_YE_oai_2028" vbProcedure="false">Interface!$H$88</definedName>
    <definedName function="false" hidden="false" name="WIF_PlayerGW_YE_oai_2029" vbProcedure="false">Interface!$I$88</definedName>
    <definedName function="false" hidden="false" name="WIF_PlayerGW_YE_oai_2030" vbProcedure="false">Interface!$J$88</definedName>
    <definedName function="false" hidden="false" name="WIF_PlayerGW_YE_oai_2031" vbProcedure="false">Interface!$K$88</definedName>
    <definedName function="false" hidden="false" name="WIF_PlayerGW_YE_oai_2032" vbProcedure="false">Interface!$L$88</definedName>
    <definedName function="false" hidden="false" name="WIF_PlayerGW_YE_oai_SiteOnly_2024" vbProcedure="false">Interface!$D$104</definedName>
    <definedName function="false" hidden="false" name="WIF_PlayerGW_YE_oai_SiteOnly_2025" vbProcedure="false">Interface!$E$104</definedName>
    <definedName function="false" hidden="false" name="WIF_PlayerGW_YE_oai_SiteOnly_2026" vbProcedure="false">Interface!$F$104</definedName>
    <definedName function="false" hidden="false" name="WIF_PlayerGW_YE_oai_SiteOnly_2027" vbProcedure="false">Interface!$G$104</definedName>
    <definedName function="false" hidden="false" name="WIF_PlayerGW_YE_oai_SiteOnly_2028" vbProcedure="false">Interface!$H$104</definedName>
    <definedName function="false" hidden="false" name="WIF_PlayerGW_YE_oai_SiteOnly_2029" vbProcedure="false">Interface!$I$104</definedName>
    <definedName function="false" hidden="false" name="WIF_PlayerGW_YE_oai_SiteOnly_2030" vbProcedure="false">Interface!$J$104</definedName>
    <definedName function="false" hidden="false" name="WIF_PlayerGW_YE_oai_SiteOnly_2031" vbProcedure="false">Interface!$K$104</definedName>
    <definedName function="false" hidden="false" name="WIF_PlayerGW_YE_oai_SiteOnly_2032" vbProcedure="false">Interface!$L$104</definedName>
    <definedName function="false" hidden="false" name="WIF_PlayerGW_YE_orcl_2024" vbProcedure="false">Interface!$D$83</definedName>
    <definedName function="false" hidden="false" name="WIF_PlayerGW_YE_orcl_2025" vbProcedure="false">Interface!$E$83</definedName>
    <definedName function="false" hidden="false" name="WIF_PlayerGW_YE_orcl_2026" vbProcedure="false">Interface!$F$83</definedName>
    <definedName function="false" hidden="false" name="WIF_PlayerGW_YE_orcl_2027" vbProcedure="false">Interface!$G$83</definedName>
    <definedName function="false" hidden="false" name="WIF_PlayerGW_YE_orcl_2028" vbProcedure="false">Interface!$H$83</definedName>
    <definedName function="false" hidden="false" name="WIF_PlayerGW_YE_orcl_2029" vbProcedure="false">Interface!$I$83</definedName>
    <definedName function="false" hidden="false" name="WIF_PlayerGW_YE_orcl_2030" vbProcedure="false">Interface!$J$83</definedName>
    <definedName function="false" hidden="false" name="WIF_PlayerGW_YE_orcl_2031" vbProcedure="false">Interface!$K$83</definedName>
    <definedName function="false" hidden="false" name="WIF_PlayerGW_YE_orcl_2032" vbProcedure="false">Interface!$L$83</definedName>
    <definedName function="false" hidden="false" name="WIF_PlayerGW_YE_orcl_SiteOnly_2024" vbProcedure="false">Interface!$D$99</definedName>
    <definedName function="false" hidden="false" name="WIF_PlayerGW_YE_orcl_SiteOnly_2025" vbProcedure="false">Interface!$E$99</definedName>
    <definedName function="false" hidden="false" name="WIF_PlayerGW_YE_orcl_SiteOnly_2026" vbProcedure="false">Interface!$F$99</definedName>
    <definedName function="false" hidden="false" name="WIF_PlayerGW_YE_orcl_SiteOnly_2027" vbProcedure="false">Interface!$G$99</definedName>
    <definedName function="false" hidden="false" name="WIF_PlayerGW_YE_orcl_SiteOnly_2028" vbProcedure="false">Interface!$H$99</definedName>
    <definedName function="false" hidden="false" name="WIF_PlayerGW_YE_orcl_SiteOnly_2029" vbProcedure="false">Interface!$I$99</definedName>
    <definedName function="false" hidden="false" name="WIF_PlayerGW_YE_orcl_SiteOnly_2030" vbProcedure="false">Interface!$J$99</definedName>
    <definedName function="false" hidden="false" name="WIF_PlayerGW_YE_orcl_SiteOnly_2031" vbProcedure="false">Interface!$K$99</definedName>
    <definedName function="false" hidden="false" name="WIF_PlayerGW_YE_orcl_SiteOnly_2032" vbProcedure="false">Interface!$L$99</definedName>
    <definedName function="false" hidden="false" name="WIF_PlayerGW_YE_oth_2024" vbProcedure="false">Interface!$D$93</definedName>
    <definedName function="false" hidden="false" name="WIF_PlayerGW_YE_oth_2025" vbProcedure="false">Interface!$E$93</definedName>
    <definedName function="false" hidden="false" name="WIF_PlayerGW_YE_oth_2026" vbProcedure="false">Interface!$F$93</definedName>
    <definedName function="false" hidden="false" name="WIF_PlayerGW_YE_oth_2027" vbProcedure="false">Interface!$G$93</definedName>
    <definedName function="false" hidden="false" name="WIF_PlayerGW_YE_oth_2028" vbProcedure="false">Interface!$H$93</definedName>
    <definedName function="false" hidden="false" name="WIF_PlayerGW_YE_oth_2029" vbProcedure="false">Interface!$I$93</definedName>
    <definedName function="false" hidden="false" name="WIF_PlayerGW_YE_oth_2030" vbProcedure="false">Interface!$J$93</definedName>
    <definedName function="false" hidden="false" name="WIF_PlayerGW_YE_oth_2031" vbProcedure="false">Interface!$K$93</definedName>
    <definedName function="false" hidden="false" name="WIF_PlayerGW_YE_oth_2032" vbProcedure="false">Interface!$L$93</definedName>
    <definedName function="false" hidden="false" name="WIF_PlayerGW_YE_oth_SiteOnly_2024" vbProcedure="false">Interface!$D$109</definedName>
    <definedName function="false" hidden="false" name="WIF_PlayerGW_YE_oth_SiteOnly_2025" vbProcedure="false">Interface!$E$109</definedName>
    <definedName function="false" hidden="false" name="WIF_PlayerGW_YE_oth_SiteOnly_2026" vbProcedure="false">Interface!$F$109</definedName>
    <definedName function="false" hidden="false" name="WIF_PlayerGW_YE_oth_SiteOnly_2027" vbProcedure="false">Interface!$G$109</definedName>
    <definedName function="false" hidden="false" name="WIF_PlayerGW_YE_oth_SiteOnly_2028" vbProcedure="false">Interface!$H$109</definedName>
    <definedName function="false" hidden="false" name="WIF_PlayerGW_YE_oth_SiteOnly_2029" vbProcedure="false">Interface!$I$109</definedName>
    <definedName function="false" hidden="false" name="WIF_PlayerGW_YE_oth_SiteOnly_2030" vbProcedure="false">Interface!$J$109</definedName>
    <definedName function="false" hidden="false" name="WIF_PlayerGW_YE_oth_SiteOnly_2031" vbProcedure="false">Interface!$K$109</definedName>
    <definedName function="false" hidden="false" name="WIF_PlayerGW_YE_oth_SiteOnly_2032" vbProcedure="false">Interface!$L$109</definedName>
    <definedName function="false" hidden="false" name="WIF_PlayerGW_YE_sov_2024" vbProcedure="false">Interface!$D$91</definedName>
    <definedName function="false" hidden="false" name="WIF_PlayerGW_YE_sov_2025" vbProcedure="false">Interface!$E$91</definedName>
    <definedName function="false" hidden="false" name="WIF_PlayerGW_YE_sov_2026" vbProcedure="false">Interface!$F$91</definedName>
    <definedName function="false" hidden="false" name="WIF_PlayerGW_YE_sov_2027" vbProcedure="false">Interface!$G$91</definedName>
    <definedName function="false" hidden="false" name="WIF_PlayerGW_YE_sov_2028" vbProcedure="false">Interface!$H$91</definedName>
    <definedName function="false" hidden="false" name="WIF_PlayerGW_YE_sov_2029" vbProcedure="false">Interface!$I$91</definedName>
    <definedName function="false" hidden="false" name="WIF_PlayerGW_YE_sov_2030" vbProcedure="false">Interface!$J$91</definedName>
    <definedName function="false" hidden="false" name="WIF_PlayerGW_YE_sov_2031" vbProcedure="false">Interface!$K$91</definedName>
    <definedName function="false" hidden="false" name="WIF_PlayerGW_YE_sov_2032" vbProcedure="false">Interface!$L$91</definedName>
    <definedName function="false" hidden="false" name="WIF_PlayerGW_YE_sov_SiteOnly_2024" vbProcedure="false">Interface!$D$107</definedName>
    <definedName function="false" hidden="false" name="WIF_PlayerGW_YE_sov_SiteOnly_2025" vbProcedure="false">Interface!$E$107</definedName>
    <definedName function="false" hidden="false" name="WIF_PlayerGW_YE_sov_SiteOnly_2026" vbProcedure="false">Interface!$F$107</definedName>
    <definedName function="false" hidden="false" name="WIF_PlayerGW_YE_sov_SiteOnly_2027" vbProcedure="false">Interface!$G$107</definedName>
    <definedName function="false" hidden="false" name="WIF_PlayerGW_YE_sov_SiteOnly_2028" vbProcedure="false">Interface!$H$107</definedName>
    <definedName function="false" hidden="false" name="WIF_PlayerGW_YE_sov_SiteOnly_2029" vbProcedure="false">Interface!$I$107</definedName>
    <definedName function="false" hidden="false" name="WIF_PlayerGW_YE_sov_SiteOnly_2030" vbProcedure="false">Interface!$J$107</definedName>
    <definedName function="false" hidden="false" name="WIF_PlayerGW_YE_sov_SiteOnly_2031" vbProcedure="false">Interface!$K$107</definedName>
    <definedName function="false" hidden="false" name="WIF_PlayerGW_YE_sov_SiteOnly_2032" vbProcedure="false">Interface!$L$107</definedName>
    <definedName function="false" hidden="false" name="WIF_PlayerGW_YE_wyfi_2024" vbProcedure="false">Interface!$D$86</definedName>
    <definedName function="false" hidden="false" name="WIF_PlayerGW_YE_wyfi_2025" vbProcedure="false">Interface!$E$86</definedName>
    <definedName function="false" hidden="false" name="WIF_PlayerGW_YE_wyfi_2026" vbProcedure="false">Interface!$F$86</definedName>
    <definedName function="false" hidden="false" name="WIF_PlayerGW_YE_wyfi_2027" vbProcedure="false">Interface!$G$86</definedName>
    <definedName function="false" hidden="false" name="WIF_PlayerGW_YE_wyfi_2028" vbProcedure="false">Interface!$H$86</definedName>
    <definedName function="false" hidden="false" name="WIF_PlayerGW_YE_wyfi_2029" vbProcedure="false">Interface!$I$86</definedName>
    <definedName function="false" hidden="false" name="WIF_PlayerGW_YE_wyfi_2030" vbProcedure="false">Interface!$J$86</definedName>
    <definedName function="false" hidden="false" name="WIF_PlayerGW_YE_wyfi_2031" vbProcedure="false">Interface!$K$86</definedName>
    <definedName function="false" hidden="false" name="WIF_PlayerGW_YE_wyfi_2032" vbProcedure="false">Interface!$L$86</definedName>
    <definedName function="false" hidden="false" name="WIF_PlayerGW_YE_wyfi_SiteOnly_2024" vbProcedure="false">Interface!$D$102</definedName>
    <definedName function="false" hidden="false" name="WIF_PlayerGW_YE_wyfi_SiteOnly_2025" vbProcedure="false">Interface!$E$102</definedName>
    <definedName function="false" hidden="false" name="WIF_PlayerGW_YE_wyfi_SiteOnly_2026" vbProcedure="false">Interface!$F$102</definedName>
    <definedName function="false" hidden="false" name="WIF_PlayerGW_YE_wyfi_SiteOnly_2027" vbProcedure="false">Interface!$G$102</definedName>
    <definedName function="false" hidden="false" name="WIF_PlayerGW_YE_wyfi_SiteOnly_2028" vbProcedure="false">Interface!$H$102</definedName>
    <definedName function="false" hidden="false" name="WIF_PlayerGW_YE_wyfi_SiteOnly_2029" vbProcedure="false">Interface!$I$102</definedName>
    <definedName function="false" hidden="false" name="WIF_PlayerGW_YE_wyfi_SiteOnly_2030" vbProcedure="false">Interface!$J$102</definedName>
    <definedName function="false" hidden="false" name="WIF_PlayerGW_YE_wyfi_SiteOnly_2031" vbProcedure="false">Interface!$K$102</definedName>
    <definedName function="false" hidden="false" name="WIF_PlayerGW_YE_wyfi_SiteOnly_2032" vbProcedure="false">Interface!$L$102</definedName>
    <definedName function="false" hidden="false" name="WIF_PlayerGW_YE_xai_2024" vbProcedure="false">Interface!$D$87</definedName>
    <definedName function="false" hidden="false" name="WIF_PlayerGW_YE_xai_2025" vbProcedure="false">Interface!$E$87</definedName>
    <definedName function="false" hidden="false" name="WIF_PlayerGW_YE_xai_2026" vbProcedure="false">Interface!$F$87</definedName>
    <definedName function="false" hidden="false" name="WIF_PlayerGW_YE_xai_2027" vbProcedure="false">Interface!$G$87</definedName>
    <definedName function="false" hidden="false" name="WIF_PlayerGW_YE_xai_2028" vbProcedure="false">Interface!$H$87</definedName>
    <definedName function="false" hidden="false" name="WIF_PlayerGW_YE_xai_2029" vbProcedure="false">Interface!$I$87</definedName>
    <definedName function="false" hidden="false" name="WIF_PlayerGW_YE_xai_2030" vbProcedure="false">Interface!$J$87</definedName>
    <definedName function="false" hidden="false" name="WIF_PlayerGW_YE_xai_2031" vbProcedure="false">Interface!$K$87</definedName>
    <definedName function="false" hidden="false" name="WIF_PlayerGW_YE_xai_2032" vbProcedure="false">Interface!$L$87</definedName>
    <definedName function="false" hidden="false" name="WIF_PlayerGW_YE_xai_SiteOnly_2024" vbProcedure="false">Interface!$D$103</definedName>
    <definedName function="false" hidden="false" name="WIF_PlayerGW_YE_xai_SiteOnly_2025" vbProcedure="false">Interface!$E$103</definedName>
    <definedName function="false" hidden="false" name="WIF_PlayerGW_YE_xai_SiteOnly_2026" vbProcedure="false">Interface!$F$103</definedName>
    <definedName function="false" hidden="false" name="WIF_PlayerGW_YE_xai_SiteOnly_2027" vbProcedure="false">Interface!$G$103</definedName>
    <definedName function="false" hidden="false" name="WIF_PlayerGW_YE_xai_SiteOnly_2028" vbProcedure="false">Interface!$H$103</definedName>
    <definedName function="false" hidden="false" name="WIF_PlayerGW_YE_xai_SiteOnly_2029" vbProcedure="false">Interface!$I$103</definedName>
    <definedName function="false" hidden="false" name="WIF_PlayerGW_YE_xai_SiteOnly_2030" vbProcedure="false">Interface!$J$103</definedName>
    <definedName function="false" hidden="false" name="WIF_PlayerGW_YE_xai_SiteOnly_2031" vbProcedure="false">Interface!$K$103</definedName>
    <definedName function="false" hidden="false" name="WIF_PlayerGW_YE_xai_SiteOnly_2032" vbProcedure="false">Interface!$L$103</definedName>
    <definedName function="false" hidden="false" name="WIF_ShippedNotOnline_A_D1_2024" vbProcedure="false">Interface!$D$37</definedName>
    <definedName function="false" hidden="false" name="WIF_ShippedNotOnline_A_D1_2025" vbProcedure="false">Interface!$E$37</definedName>
    <definedName function="false" hidden="false" name="WIF_ShippedNotOnline_A_D1_2026" vbProcedure="false">Interface!$F$37</definedName>
    <definedName function="false" hidden="false" name="WIF_ShippedNotOnline_A_D1_2027" vbProcedure="false">Interface!$G$37</definedName>
    <definedName function="false" hidden="false" name="WIF_ShippedNotOnline_A_D1_2028" vbProcedure="false">Interface!$H$37</definedName>
    <definedName function="false" hidden="false" name="WIF_ShippedNotOnline_A_D1_2029" vbProcedure="false">Interface!$I$37</definedName>
    <definedName function="false" hidden="false" name="WIF_ShippedNotOnline_A_D1_2030" vbProcedure="false">Interface!$J$37</definedName>
    <definedName function="false" hidden="false" name="WIF_ShippedNotOnline_A_D1_2031" vbProcedure="false">Interface!$K$37</definedName>
    <definedName function="false" hidden="false" name="WIF_ShippedNotOnline_A_D1_2032" vbProcedure="false">Interface!$L$37</definedName>
    <definedName function="false" hidden="false" name="WIF_ShippedNotOnline_A_D1_SiteOnly_2024" vbProcedure="false">Interface!$D$72</definedName>
    <definedName function="false" hidden="false" name="WIF_ShippedNotOnline_A_D1_SiteOnly_2025" vbProcedure="false">Interface!$E$72</definedName>
    <definedName function="false" hidden="false" name="WIF_ShippedNotOnline_A_D1_SiteOnly_2026" vbProcedure="false">Interface!$F$72</definedName>
    <definedName function="false" hidden="false" name="WIF_ShippedNotOnline_A_D1_SiteOnly_2027" vbProcedure="false">Interface!$G$72</definedName>
    <definedName function="false" hidden="false" name="WIF_ShippedNotOnline_A_D1_SiteOnly_2028" vbProcedure="false">Interface!$H$72</definedName>
    <definedName function="false" hidden="false" name="WIF_ShippedNotOnline_A_D1_SiteOnly_2029" vbProcedure="false">Interface!$I$72</definedName>
    <definedName function="false" hidden="false" name="WIF_ShippedNotOnline_A_D1_SiteOnly_2030" vbProcedure="false">Interface!$J$72</definedName>
    <definedName function="false" hidden="false" name="WIF_ShippedNotOnline_A_D1_SiteOnly_2031" vbProcedure="false">Interface!$K$72</definedName>
    <definedName function="false" hidden="false" name="WIF_ShippedNotOnline_A_D1_SiteOnly_2032" vbProcedure="false">Interface!$L$72</definedName>
    <definedName function="false" hidden="false" name="WIF_ShippedNotOnline_A_D2_2024" vbProcedure="false">Interface!$D$38</definedName>
    <definedName function="false" hidden="false" name="WIF_ShippedNotOnline_A_D2_2025" vbProcedure="false">Interface!$E$38</definedName>
    <definedName function="false" hidden="false" name="WIF_ShippedNotOnline_A_D2_2026" vbProcedure="false">Interface!$F$38</definedName>
    <definedName function="false" hidden="false" name="WIF_ShippedNotOnline_A_D2_2027" vbProcedure="false">Interface!$G$38</definedName>
    <definedName function="false" hidden="false" name="WIF_ShippedNotOnline_A_D2_2028" vbProcedure="false">Interface!$H$38</definedName>
    <definedName function="false" hidden="false" name="WIF_ShippedNotOnline_A_D2_2029" vbProcedure="false">Interface!$I$38</definedName>
    <definedName function="false" hidden="false" name="WIF_ShippedNotOnline_A_D2_2030" vbProcedure="false">Interface!$J$38</definedName>
    <definedName function="false" hidden="false" name="WIF_ShippedNotOnline_A_D2_2031" vbProcedure="false">Interface!$K$38</definedName>
    <definedName function="false" hidden="false" name="WIF_ShippedNotOnline_A_D2_2032" vbProcedure="false">Interface!$L$38</definedName>
    <definedName function="false" hidden="false" name="WIF_ShippedNotOnline_A_D2_SiteOnly_2024" vbProcedure="false">Interface!$D$73</definedName>
    <definedName function="false" hidden="false" name="WIF_ShippedNotOnline_A_D2_SiteOnly_2025" vbProcedure="false">Interface!$E$73</definedName>
    <definedName function="false" hidden="false" name="WIF_ShippedNotOnline_A_D2_SiteOnly_2026" vbProcedure="false">Interface!$F$73</definedName>
    <definedName function="false" hidden="false" name="WIF_ShippedNotOnline_A_D2_SiteOnly_2027" vbProcedure="false">Interface!$G$73</definedName>
    <definedName function="false" hidden="false" name="WIF_ShippedNotOnline_A_D2_SiteOnly_2028" vbProcedure="false">Interface!$H$73</definedName>
    <definedName function="false" hidden="false" name="WIF_ShippedNotOnline_A_D2_SiteOnly_2029" vbProcedure="false">Interface!$I$73</definedName>
    <definedName function="false" hidden="false" name="WIF_ShippedNotOnline_A_D2_SiteOnly_2030" vbProcedure="false">Interface!$J$73</definedName>
    <definedName function="false" hidden="false" name="WIF_ShippedNotOnline_A_D2_SiteOnly_2031" vbProcedure="false">Interface!$K$73</definedName>
    <definedName function="false" hidden="false" name="WIF_ShippedNotOnline_A_D2_SiteOnly_2032" vbProcedure="false">Interface!$L$73</definedName>
    <definedName function="false" hidden="false" name="WIF_ShippedNotOnline_B_D1_2024" vbProcedure="false">Interface!$D$39</definedName>
    <definedName function="false" hidden="false" name="WIF_ShippedNotOnline_B_D1_2025" vbProcedure="false">Interface!$E$39</definedName>
    <definedName function="false" hidden="false" name="WIF_ShippedNotOnline_B_D1_2026" vbProcedure="false">Interface!$F$39</definedName>
    <definedName function="false" hidden="false" name="WIF_ShippedNotOnline_B_D1_2027" vbProcedure="false">Interface!$G$39</definedName>
    <definedName function="false" hidden="false" name="WIF_ShippedNotOnline_B_D1_2028" vbProcedure="false">Interface!$H$39</definedName>
    <definedName function="false" hidden="false" name="WIF_ShippedNotOnline_B_D1_2029" vbProcedure="false">Interface!$I$39</definedName>
    <definedName function="false" hidden="false" name="WIF_ShippedNotOnline_B_D1_2030" vbProcedure="false">Interface!$J$39</definedName>
    <definedName function="false" hidden="false" name="WIF_ShippedNotOnline_B_D1_2031" vbProcedure="false">Interface!$K$39</definedName>
    <definedName function="false" hidden="false" name="WIF_ShippedNotOnline_B_D1_2032" vbProcedure="false">Interface!$L$39</definedName>
    <definedName function="false" hidden="false" name="WIF_ShippedNotOnline_B_D1_SiteOnly_2024" vbProcedure="false">Interface!$D$74</definedName>
    <definedName function="false" hidden="false" name="WIF_ShippedNotOnline_B_D1_SiteOnly_2025" vbProcedure="false">Interface!$E$74</definedName>
    <definedName function="false" hidden="false" name="WIF_ShippedNotOnline_B_D1_SiteOnly_2026" vbProcedure="false">Interface!$F$74</definedName>
    <definedName function="false" hidden="false" name="WIF_ShippedNotOnline_B_D1_SiteOnly_2027" vbProcedure="false">Interface!$G$74</definedName>
    <definedName function="false" hidden="false" name="WIF_ShippedNotOnline_B_D1_SiteOnly_2028" vbProcedure="false">Interface!$H$74</definedName>
    <definedName function="false" hidden="false" name="WIF_ShippedNotOnline_B_D1_SiteOnly_2029" vbProcedure="false">Interface!$I$74</definedName>
    <definedName function="false" hidden="false" name="WIF_ShippedNotOnline_B_D1_SiteOnly_2030" vbProcedure="false">Interface!$J$74</definedName>
    <definedName function="false" hidden="false" name="WIF_ShippedNotOnline_B_D1_SiteOnly_2031" vbProcedure="false">Interface!$K$74</definedName>
    <definedName function="false" hidden="false" name="WIF_ShippedNotOnline_B_D1_SiteOnly_2032" vbProcedure="false">Interface!$L$74</definedName>
    <definedName function="false" hidden="false" name="WIF_ShippedNotOnline_B_D2_2024" vbProcedure="false">Interface!$D$40</definedName>
    <definedName function="false" hidden="false" name="WIF_ShippedNotOnline_B_D2_2025" vbProcedure="false">Interface!$E$40</definedName>
    <definedName function="false" hidden="false" name="WIF_ShippedNotOnline_B_D2_2026" vbProcedure="false">Interface!$F$40</definedName>
    <definedName function="false" hidden="false" name="WIF_ShippedNotOnline_B_D2_2027" vbProcedure="false">Interface!$G$40</definedName>
    <definedName function="false" hidden="false" name="WIF_ShippedNotOnline_B_D2_2028" vbProcedure="false">Interface!$H$40</definedName>
    <definedName function="false" hidden="false" name="WIF_ShippedNotOnline_B_D2_2029" vbProcedure="false">Interface!$I$40</definedName>
    <definedName function="false" hidden="false" name="WIF_ShippedNotOnline_B_D2_2030" vbProcedure="false">Interface!$J$40</definedName>
    <definedName function="false" hidden="false" name="WIF_ShippedNotOnline_B_D2_2031" vbProcedure="false">Interface!$K$40</definedName>
    <definedName function="false" hidden="false" name="WIF_ShippedNotOnline_B_D2_2032" vbProcedure="false">Interface!$L$40</definedName>
    <definedName function="false" hidden="false" name="WIF_ShippedNotOnline_B_D2_SiteOnly_2024" vbProcedure="false">Interface!$D$75</definedName>
    <definedName function="false" hidden="false" name="WIF_ShippedNotOnline_B_D2_SiteOnly_2025" vbProcedure="false">Interface!$E$75</definedName>
    <definedName function="false" hidden="false" name="WIF_ShippedNotOnline_B_D2_SiteOnly_2026" vbProcedure="false">Interface!$F$75</definedName>
    <definedName function="false" hidden="false" name="WIF_ShippedNotOnline_B_D2_SiteOnly_2027" vbProcedure="false">Interface!$G$75</definedName>
    <definedName function="false" hidden="false" name="WIF_ShippedNotOnline_B_D2_SiteOnly_2028" vbProcedure="false">Interface!$H$75</definedName>
    <definedName function="false" hidden="false" name="WIF_ShippedNotOnline_B_D2_SiteOnly_2029" vbProcedure="false">Interface!$I$75</definedName>
    <definedName function="false" hidden="false" name="WIF_ShippedNotOnline_B_D2_SiteOnly_2030" vbProcedure="false">Interface!$J$75</definedName>
    <definedName function="false" hidden="false" name="WIF_ShippedNotOnline_B_D2_SiteOnly_2031" vbProcedure="false">Interface!$K$75</definedName>
    <definedName function="false" hidden="false" name="WIF_ShippedNotOnline_B_D2_SiteOnly_2032" vbProcedure="false">Interface!$L$75</definedName>
    <definedName function="false" hidden="false" name="WIF_ShippedNotOnline_C_D1_2024" vbProcedure="false">Interface!$D$41</definedName>
    <definedName function="false" hidden="false" name="WIF_ShippedNotOnline_C_D1_2025" vbProcedure="false">Interface!$E$41</definedName>
    <definedName function="false" hidden="false" name="WIF_ShippedNotOnline_C_D1_2026" vbProcedure="false">Interface!$F$41</definedName>
    <definedName function="false" hidden="false" name="WIF_ShippedNotOnline_C_D1_2027" vbProcedure="false">Interface!$G$41</definedName>
    <definedName function="false" hidden="false" name="WIF_ShippedNotOnline_C_D1_2028" vbProcedure="false">Interface!$H$41</definedName>
    <definedName function="false" hidden="false" name="WIF_ShippedNotOnline_C_D1_2029" vbProcedure="false">Interface!$I$41</definedName>
    <definedName function="false" hidden="false" name="WIF_ShippedNotOnline_C_D1_2030" vbProcedure="false">Interface!$J$41</definedName>
    <definedName function="false" hidden="false" name="WIF_ShippedNotOnline_C_D1_2031" vbProcedure="false">Interface!$K$41</definedName>
    <definedName function="false" hidden="false" name="WIF_ShippedNotOnline_C_D1_2032" vbProcedure="false">Interface!$L$41</definedName>
    <definedName function="false" hidden="false" name="WIF_ShippedNotOnline_C_D1_SiteOnly_2024" vbProcedure="false">Interface!$D$76</definedName>
    <definedName function="false" hidden="false" name="WIF_ShippedNotOnline_C_D1_SiteOnly_2025" vbProcedure="false">Interface!$E$76</definedName>
    <definedName function="false" hidden="false" name="WIF_ShippedNotOnline_C_D1_SiteOnly_2026" vbProcedure="false">Interface!$F$76</definedName>
    <definedName function="false" hidden="false" name="WIF_ShippedNotOnline_C_D1_SiteOnly_2027" vbProcedure="false">Interface!$G$76</definedName>
    <definedName function="false" hidden="false" name="WIF_ShippedNotOnline_C_D1_SiteOnly_2028" vbProcedure="false">Interface!$H$76</definedName>
    <definedName function="false" hidden="false" name="WIF_ShippedNotOnline_C_D1_SiteOnly_2029" vbProcedure="false">Interface!$I$76</definedName>
    <definedName function="false" hidden="false" name="WIF_ShippedNotOnline_C_D1_SiteOnly_2030" vbProcedure="false">Interface!$J$76</definedName>
    <definedName function="false" hidden="false" name="WIF_ShippedNotOnline_C_D1_SiteOnly_2031" vbProcedure="false">Interface!$K$76</definedName>
    <definedName function="false" hidden="false" name="WIF_ShippedNotOnline_C_D1_SiteOnly_2032" vbProcedure="false">Interface!$L$76</definedName>
    <definedName function="false" hidden="false" name="WIF_ShippedNotOnline_C_D2_2024" vbProcedure="false">Interface!$D$42</definedName>
    <definedName function="false" hidden="false" name="WIF_ShippedNotOnline_C_D2_2025" vbProcedure="false">Interface!$E$42</definedName>
    <definedName function="false" hidden="false" name="WIF_ShippedNotOnline_C_D2_2026" vbProcedure="false">Interface!$F$42</definedName>
    <definedName function="false" hidden="false" name="WIF_ShippedNotOnline_C_D2_2027" vbProcedure="false">Interface!$G$42</definedName>
    <definedName function="false" hidden="false" name="WIF_ShippedNotOnline_C_D2_2028" vbProcedure="false">Interface!$H$42</definedName>
    <definedName function="false" hidden="false" name="WIF_ShippedNotOnline_C_D2_2029" vbProcedure="false">Interface!$I$42</definedName>
    <definedName function="false" hidden="false" name="WIF_ShippedNotOnline_C_D2_2030" vbProcedure="false">Interface!$J$42</definedName>
    <definedName function="false" hidden="false" name="WIF_ShippedNotOnline_C_D2_2031" vbProcedure="false">Interface!$K$42</definedName>
    <definedName function="false" hidden="false" name="WIF_ShippedNotOnline_C_D2_2032" vbProcedure="false">Interface!$L$42</definedName>
    <definedName function="false" hidden="false" name="WIF_ShippedNotOnline_C_D2_SiteOnly_2024" vbProcedure="false">Interface!$D$77</definedName>
    <definedName function="false" hidden="false" name="WIF_ShippedNotOnline_C_D2_SiteOnly_2025" vbProcedure="false">Interface!$E$77</definedName>
    <definedName function="false" hidden="false" name="WIF_ShippedNotOnline_C_D2_SiteOnly_2026" vbProcedure="false">Interface!$F$77</definedName>
    <definedName function="false" hidden="false" name="WIF_ShippedNotOnline_C_D2_SiteOnly_2027" vbProcedure="false">Interface!$G$77</definedName>
    <definedName function="false" hidden="false" name="WIF_ShippedNotOnline_C_D2_SiteOnly_2028" vbProcedure="false">Interface!$H$77</definedName>
    <definedName function="false" hidden="false" name="WIF_ShippedNotOnline_C_D2_SiteOnly_2029" vbProcedure="false">Interface!$I$77</definedName>
    <definedName function="false" hidden="false" name="WIF_ShippedNotOnline_C_D2_SiteOnly_2030" vbProcedure="false">Interface!$J$77</definedName>
    <definedName function="false" hidden="false" name="WIF_ShippedNotOnline_C_D2_SiteOnly_2031" vbProcedure="false">Interface!$K$77</definedName>
    <definedName function="false" hidden="false" name="WIF_ShippedNotOnline_C_D2_SiteOnly_2032" vbProcedure="false">Interface!$L$77</definedName>
    <definedName function="false" hidden="false" name="WIF_Spend_fac_bldg_2024" vbProcedure="false">Interface!$D$124</definedName>
    <definedName function="false" hidden="false" name="WIF_Spend_fac_bldg_2025" vbProcedure="false">Interface!$E$124</definedName>
    <definedName function="false" hidden="false" name="WIF_Spend_fac_bldg_2026" vbProcedure="false">Interface!$F$124</definedName>
    <definedName function="false" hidden="false" name="WIF_Spend_fac_bldg_2027" vbProcedure="false">Interface!$G$124</definedName>
    <definedName function="false" hidden="false" name="WIF_Spend_fac_bldg_2028" vbProcedure="false">Interface!$H$124</definedName>
    <definedName function="false" hidden="false" name="WIF_Spend_fac_bldg_2029" vbProcedure="false">Interface!$I$124</definedName>
    <definedName function="false" hidden="false" name="WIF_Spend_fac_bldg_2030" vbProcedure="false">Interface!$J$124</definedName>
    <definedName function="false" hidden="false" name="WIF_Spend_fac_bldg_2031" vbProcedure="false">Interface!$K$124</definedName>
    <definedName function="false" hidden="false" name="WIF_Spend_fac_bldg_2032" vbProcedure="false">Interface!$L$124</definedName>
    <definedName function="false" hidden="false" name="WIF_Spend_fac_cool_2024" vbProcedure="false">Interface!$D$123</definedName>
    <definedName function="false" hidden="false" name="WIF_Spend_fac_cool_2025" vbProcedure="false">Interface!$E$123</definedName>
    <definedName function="false" hidden="false" name="WIF_Spend_fac_cool_2026" vbProcedure="false">Interface!$F$123</definedName>
    <definedName function="false" hidden="false" name="WIF_Spend_fac_cool_2027" vbProcedure="false">Interface!$G$123</definedName>
    <definedName function="false" hidden="false" name="WIF_Spend_fac_cool_2028" vbProcedure="false">Interface!$H$123</definedName>
    <definedName function="false" hidden="false" name="WIF_Spend_fac_cool_2029" vbProcedure="false">Interface!$I$123</definedName>
    <definedName function="false" hidden="false" name="WIF_Spend_fac_cool_2030" vbProcedure="false">Interface!$J$123</definedName>
    <definedName function="false" hidden="false" name="WIF_Spend_fac_cool_2031" vbProcedure="false">Interface!$K$123</definedName>
    <definedName function="false" hidden="false" name="WIF_Spend_fac_cool_2032" vbProcedure="false">Interface!$L$123</definedName>
    <definedName function="false" hidden="false" name="WIF_Spend_fac_dist_2024" vbProcedure="false">Interface!$D$120</definedName>
    <definedName function="false" hidden="false" name="WIF_Spend_fac_dist_2025" vbProcedure="false">Interface!$E$120</definedName>
    <definedName function="false" hidden="false" name="WIF_Spend_fac_dist_2026" vbProcedure="false">Interface!$F$120</definedName>
    <definedName function="false" hidden="false" name="WIF_Spend_fac_dist_2027" vbProcedure="false">Interface!$G$120</definedName>
    <definedName function="false" hidden="false" name="WIF_Spend_fac_dist_2028" vbProcedure="false">Interface!$H$120</definedName>
    <definedName function="false" hidden="false" name="WIF_Spend_fac_dist_2029" vbProcedure="false">Interface!$I$120</definedName>
    <definedName function="false" hidden="false" name="WIF_Spend_fac_dist_2030" vbProcedure="false">Interface!$J$120</definedName>
    <definedName function="false" hidden="false" name="WIF_Spend_fac_dist_2031" vbProcedure="false">Interface!$K$120</definedName>
    <definedName function="false" hidden="false" name="WIF_Spend_fac_dist_2032" vbProcedure="false">Interface!$L$120</definedName>
    <definedName function="false" hidden="false" name="WIF_Spend_fac_gen_2024" vbProcedure="false">Interface!$D$121</definedName>
    <definedName function="false" hidden="false" name="WIF_Spend_fac_gen_2025" vbProcedure="false">Interface!$E$121</definedName>
    <definedName function="false" hidden="false" name="WIF_Spend_fac_gen_2026" vbProcedure="false">Interface!$F$121</definedName>
    <definedName function="false" hidden="false" name="WIF_Spend_fac_gen_2027" vbProcedure="false">Interface!$G$121</definedName>
    <definedName function="false" hidden="false" name="WIF_Spend_fac_gen_2028" vbProcedure="false">Interface!$H$121</definedName>
    <definedName function="false" hidden="false" name="WIF_Spend_fac_gen_2029" vbProcedure="false">Interface!$I$121</definedName>
    <definedName function="false" hidden="false" name="WIF_Spend_fac_gen_2030" vbProcedure="false">Interface!$J$121</definedName>
    <definedName function="false" hidden="false" name="WIF_Spend_fac_gen_2031" vbProcedure="false">Interface!$K$121</definedName>
    <definedName function="false" hidden="false" name="WIF_Spend_fac_gen_2032" vbProcedure="false">Interface!$L$121</definedName>
    <definedName function="false" hidden="false" name="WIF_Spend_fac_labor_2024" vbProcedure="false">Interface!$D$125</definedName>
    <definedName function="false" hidden="false" name="WIF_Spend_fac_labor_2025" vbProcedure="false">Interface!$E$125</definedName>
    <definedName function="false" hidden="false" name="WIF_Spend_fac_labor_2026" vbProcedure="false">Interface!$F$125</definedName>
    <definedName function="false" hidden="false" name="WIF_Spend_fac_labor_2027" vbProcedure="false">Interface!$G$125</definedName>
    <definedName function="false" hidden="false" name="WIF_Spend_fac_labor_2028" vbProcedure="false">Interface!$H$125</definedName>
    <definedName function="false" hidden="false" name="WIF_Spend_fac_labor_2029" vbProcedure="false">Interface!$I$125</definedName>
    <definedName function="false" hidden="false" name="WIF_Spend_fac_labor_2030" vbProcedure="false">Interface!$J$125</definedName>
    <definedName function="false" hidden="false" name="WIF_Spend_fac_labor_2031" vbProcedure="false">Interface!$K$125</definedName>
    <definedName function="false" hidden="false" name="WIF_Spend_fac_labor_2032" vbProcedure="false">Interface!$L$125</definedName>
    <definedName function="false" hidden="false" name="WIF_Spend_fac_land_2024" vbProcedure="false">Interface!$D$128</definedName>
    <definedName function="false" hidden="false" name="WIF_Spend_fac_land_2025" vbProcedure="false">Interface!$E$128</definedName>
    <definedName function="false" hidden="false" name="WIF_Spend_fac_land_2026" vbProcedure="false">Interface!$F$128</definedName>
    <definedName function="false" hidden="false" name="WIF_Spend_fac_land_2027" vbProcedure="false">Interface!$G$128</definedName>
    <definedName function="false" hidden="false" name="WIF_Spend_fac_land_2028" vbProcedure="false">Interface!$H$128</definedName>
    <definedName function="false" hidden="false" name="WIF_Spend_fac_land_2029" vbProcedure="false">Interface!$I$128</definedName>
    <definedName function="false" hidden="false" name="WIF_Spend_fac_land_2030" vbProcedure="false">Interface!$J$128</definedName>
    <definedName function="false" hidden="false" name="WIF_Spend_fac_land_2031" vbProcedure="false">Interface!$K$128</definedName>
    <definedName function="false" hidden="false" name="WIF_Spend_fac_land_2032" vbProcedure="false">Interface!$L$128</definedName>
    <definedName function="false" hidden="false" name="WIF_Spend_fac_net_2024" vbProcedure="false">Interface!$D$127</definedName>
    <definedName function="false" hidden="false" name="WIF_Spend_fac_net_2025" vbProcedure="false">Interface!$E$127</definedName>
    <definedName function="false" hidden="false" name="WIF_Spend_fac_net_2026" vbProcedure="false">Interface!$F$127</definedName>
    <definedName function="false" hidden="false" name="WIF_Spend_fac_net_2027" vbProcedure="false">Interface!$G$127</definedName>
    <definedName function="false" hidden="false" name="WIF_Spend_fac_net_2028" vbProcedure="false">Interface!$H$127</definedName>
    <definedName function="false" hidden="false" name="WIF_Spend_fac_net_2029" vbProcedure="false">Interface!$I$127</definedName>
    <definedName function="false" hidden="false" name="WIF_Spend_fac_net_2030" vbProcedure="false">Interface!$J$127</definedName>
    <definedName function="false" hidden="false" name="WIF_Spend_fac_net_2031" vbProcedure="false">Interface!$K$127</definedName>
    <definedName function="false" hidden="false" name="WIF_Spend_fac_net_2032" vbProcedure="false">Interface!$L$127</definedName>
    <definedName function="false" hidden="false" name="WIF_Spend_fac_prof_2024" vbProcedure="false">Interface!$D$126</definedName>
    <definedName function="false" hidden="false" name="WIF_Spend_fac_prof_2025" vbProcedure="false">Interface!$E$126</definedName>
    <definedName function="false" hidden="false" name="WIF_Spend_fac_prof_2026" vbProcedure="false">Interface!$F$126</definedName>
    <definedName function="false" hidden="false" name="WIF_Spend_fac_prof_2027" vbProcedure="false">Interface!$G$126</definedName>
    <definedName function="false" hidden="false" name="WIF_Spend_fac_prof_2028" vbProcedure="false">Interface!$H$126</definedName>
    <definedName function="false" hidden="false" name="WIF_Spend_fac_prof_2029" vbProcedure="false">Interface!$I$126</definedName>
    <definedName function="false" hidden="false" name="WIF_Spend_fac_prof_2030" vbProcedure="false">Interface!$J$126</definedName>
    <definedName function="false" hidden="false" name="WIF_Spend_fac_prof_2031" vbProcedure="false">Interface!$K$126</definedName>
    <definedName function="false" hidden="false" name="WIF_Spend_fac_prof_2032" vbProcedure="false">Interface!$L$126</definedName>
    <definedName function="false" hidden="false" name="WIF_Spend_fac_resid_2024" vbProcedure="false">Interface!$D$129</definedName>
    <definedName function="false" hidden="false" name="WIF_Spend_fac_resid_2025" vbProcedure="false">Interface!$E$129</definedName>
    <definedName function="false" hidden="false" name="WIF_Spend_fac_resid_2026" vbProcedure="false">Interface!$F$129</definedName>
    <definedName function="false" hidden="false" name="WIF_Spend_fac_resid_2027" vbProcedure="false">Interface!$G$129</definedName>
    <definedName function="false" hidden="false" name="WIF_Spend_fac_resid_2028" vbProcedure="false">Interface!$H$129</definedName>
    <definedName function="false" hidden="false" name="WIF_Spend_fac_resid_2029" vbProcedure="false">Interface!$I$129</definedName>
    <definedName function="false" hidden="false" name="WIF_Spend_fac_resid_2030" vbProcedure="false">Interface!$J$129</definedName>
    <definedName function="false" hidden="false" name="WIF_Spend_fac_resid_2031" vbProcedure="false">Interface!$K$129</definedName>
    <definedName function="false" hidden="false" name="WIF_Spend_fac_resid_2032" vbProcedure="false">Interface!$L$129</definedName>
    <definedName function="false" hidden="false" name="WIF_Spend_fac_sum_2024" vbProcedure="false">Interface!$D$130</definedName>
    <definedName function="false" hidden="false" name="WIF_Spend_fac_sum_2025" vbProcedure="false">Interface!$E$130</definedName>
    <definedName function="false" hidden="false" name="WIF_Spend_fac_sum_2026" vbProcedure="false">Interface!$F$130</definedName>
    <definedName function="false" hidden="false" name="WIF_Spend_fac_sum_2027" vbProcedure="false">Interface!$G$130</definedName>
    <definedName function="false" hidden="false" name="WIF_Spend_fac_sum_2028" vbProcedure="false">Interface!$H$130</definedName>
    <definedName function="false" hidden="false" name="WIF_Spend_fac_sum_2029" vbProcedure="false">Interface!$I$130</definedName>
    <definedName function="false" hidden="false" name="WIF_Spend_fac_sum_2030" vbProcedure="false">Interface!$J$130</definedName>
    <definedName function="false" hidden="false" name="WIF_Spend_fac_sum_2031" vbProcedure="false">Interface!$K$130</definedName>
    <definedName function="false" hidden="false" name="WIF_Spend_fac_sum_2032" vbProcedure="false">Interface!$L$130</definedName>
    <definedName function="false" hidden="false" name="WIF_Spend_fac_ups_2024" vbProcedure="false">Interface!$D$122</definedName>
    <definedName function="false" hidden="false" name="WIF_Spend_fac_ups_2025" vbProcedure="false">Interface!$E$122</definedName>
    <definedName function="false" hidden="false" name="WIF_Spend_fac_ups_2026" vbProcedure="false">Interface!$F$122</definedName>
    <definedName function="false" hidden="false" name="WIF_Spend_fac_ups_2027" vbProcedure="false">Interface!$G$122</definedName>
    <definedName function="false" hidden="false" name="WIF_Spend_fac_ups_2028" vbProcedure="false">Interface!$H$122</definedName>
    <definedName function="false" hidden="false" name="WIF_Spend_fac_ups_2029" vbProcedure="false">Interface!$I$122</definedName>
    <definedName function="false" hidden="false" name="WIF_Spend_fac_ups_2030" vbProcedure="false">Interface!$J$122</definedName>
    <definedName function="false" hidden="false" name="WIF_Spend_fac_ups_2031" vbProcedure="false">Interface!$K$122</definedName>
    <definedName function="false" hidden="false" name="WIF_Spend_fac_ups_2032" vbProcedure="false">Interface!$L$122</definedName>
    <definedName function="false" hidden="false" name="WIF_Spend_it_compute_2024" vbProcedure="false">Interface!$D$111</definedName>
    <definedName function="false" hidden="false" name="WIF_Spend_it_compute_2025" vbProcedure="false">Interface!$E$111</definedName>
    <definedName function="false" hidden="false" name="WIF_Spend_it_compute_2026" vbProcedure="false">Interface!$F$111</definedName>
    <definedName function="false" hidden="false" name="WIF_Spend_it_compute_2027" vbProcedure="false">Interface!$G$111</definedName>
    <definedName function="false" hidden="false" name="WIF_Spend_it_compute_2028" vbProcedure="false">Interface!$H$111</definedName>
    <definedName function="false" hidden="false" name="WIF_Spend_it_compute_2029" vbProcedure="false">Interface!$I$111</definedName>
    <definedName function="false" hidden="false" name="WIF_Spend_it_compute_2030" vbProcedure="false">Interface!$J$111</definedName>
    <definedName function="false" hidden="false" name="WIF_Spend_it_compute_2031" vbProcedure="false">Interface!$K$111</definedName>
    <definedName function="false" hidden="false" name="WIF_Spend_it_compute_2032" vbProcedure="false">Interface!$L$111</definedName>
    <definedName function="false" hidden="false" name="WIF_Spend_it_foundry_2024" vbProcedure="false">Interface!$D$114</definedName>
    <definedName function="false" hidden="false" name="WIF_Spend_it_foundry_2025" vbProcedure="false">Interface!$E$114</definedName>
    <definedName function="false" hidden="false" name="WIF_Spend_it_foundry_2026" vbProcedure="false">Interface!$F$114</definedName>
    <definedName function="false" hidden="false" name="WIF_Spend_it_foundry_2027" vbProcedure="false">Interface!$G$114</definedName>
    <definedName function="false" hidden="false" name="WIF_Spend_it_foundry_2028" vbProcedure="false">Interface!$H$114</definedName>
    <definedName function="false" hidden="false" name="WIF_Spend_it_foundry_2029" vbProcedure="false">Interface!$I$114</definedName>
    <definedName function="false" hidden="false" name="WIF_Spend_it_foundry_2030" vbProcedure="false">Interface!$J$114</definedName>
    <definedName function="false" hidden="false" name="WIF_Spend_it_foundry_2031" vbProcedure="false">Interface!$K$114</definedName>
    <definedName function="false" hidden="false" name="WIF_Spend_it_foundry_2032" vbProcedure="false">Interface!$L$114</definedName>
    <definedName function="false" hidden="false" name="WIF_Spend_it_memory_2024" vbProcedure="false">Interface!$D$112</definedName>
    <definedName function="false" hidden="false" name="WIF_Spend_it_memory_2025" vbProcedure="false">Interface!$E$112</definedName>
    <definedName function="false" hidden="false" name="WIF_Spend_it_memory_2026" vbProcedure="false">Interface!$F$112</definedName>
    <definedName function="false" hidden="false" name="WIF_Spend_it_memory_2027" vbProcedure="false">Interface!$G$112</definedName>
    <definedName function="false" hidden="false" name="WIF_Spend_it_memory_2028" vbProcedure="false">Interface!$H$112</definedName>
    <definedName function="false" hidden="false" name="WIF_Spend_it_memory_2029" vbProcedure="false">Interface!$I$112</definedName>
    <definedName function="false" hidden="false" name="WIF_Spend_it_memory_2030" vbProcedure="false">Interface!$J$112</definedName>
    <definedName function="false" hidden="false" name="WIF_Spend_it_memory_2031" vbProcedure="false">Interface!$K$112</definedName>
    <definedName function="false" hidden="false" name="WIF_Spend_it_memory_2032" vbProcedure="false">Interface!$L$112</definedName>
    <definedName function="false" hidden="false" name="WIF_Spend_it_network_2024" vbProcedure="false">Interface!$D$113</definedName>
    <definedName function="false" hidden="false" name="WIF_Spend_it_network_2025" vbProcedure="false">Interface!$E$113</definedName>
    <definedName function="false" hidden="false" name="WIF_Spend_it_network_2026" vbProcedure="false">Interface!$F$113</definedName>
    <definedName function="false" hidden="false" name="WIF_Spend_it_network_2027" vbProcedure="false">Interface!$G$113</definedName>
    <definedName function="false" hidden="false" name="WIF_Spend_it_network_2028" vbProcedure="false">Interface!$H$113</definedName>
    <definedName function="false" hidden="false" name="WIF_Spend_it_network_2029" vbProcedure="false">Interface!$I$113</definedName>
    <definedName function="false" hidden="false" name="WIF_Spend_it_network_2030" vbProcedure="false">Interface!$J$113</definedName>
    <definedName function="false" hidden="false" name="WIF_Spend_it_network_2031" vbProcedure="false">Interface!$K$113</definedName>
    <definedName function="false" hidden="false" name="WIF_Spend_it_network_2032" vbProcedure="false">Interface!$L$113</definedName>
    <definedName function="false" hidden="false" name="WIF_Spend_it_power_thermal_2024" vbProcedure="false">Interface!$D$116</definedName>
    <definedName function="false" hidden="false" name="WIF_Spend_it_power_thermal_2025" vbProcedure="false">Interface!$E$116</definedName>
    <definedName function="false" hidden="false" name="WIF_Spend_it_power_thermal_2026" vbProcedure="false">Interface!$F$116</definedName>
    <definedName function="false" hidden="false" name="WIF_Spend_it_power_thermal_2027" vbProcedure="false">Interface!$G$116</definedName>
    <definedName function="false" hidden="false" name="WIF_Spend_it_power_thermal_2028" vbProcedure="false">Interface!$H$116</definedName>
    <definedName function="false" hidden="false" name="WIF_Spend_it_power_thermal_2029" vbProcedure="false">Interface!$I$116</definedName>
    <definedName function="false" hidden="false" name="WIF_Spend_it_power_thermal_2030" vbProcedure="false">Interface!$J$116</definedName>
    <definedName function="false" hidden="false" name="WIF_Spend_it_power_thermal_2031" vbProcedure="false">Interface!$K$116</definedName>
    <definedName function="false" hidden="false" name="WIF_Spend_it_power_thermal_2032" vbProcedure="false">Interface!$L$116</definedName>
    <definedName function="false" hidden="false" name="WIF_Spend_it_server_2024" vbProcedure="false">Interface!$D$117</definedName>
    <definedName function="false" hidden="false" name="WIF_Spend_it_server_2025" vbProcedure="false">Interface!$E$117</definedName>
    <definedName function="false" hidden="false" name="WIF_Spend_it_server_2026" vbProcedure="false">Interface!$F$117</definedName>
    <definedName function="false" hidden="false" name="WIF_Spend_it_server_2027" vbProcedure="false">Interface!$G$117</definedName>
    <definedName function="false" hidden="false" name="WIF_Spend_it_server_2028" vbProcedure="false">Interface!$H$117</definedName>
    <definedName function="false" hidden="false" name="WIF_Spend_it_server_2029" vbProcedure="false">Interface!$I$117</definedName>
    <definedName function="false" hidden="false" name="WIF_Spend_it_server_2030" vbProcedure="false">Interface!$J$117</definedName>
    <definedName function="false" hidden="false" name="WIF_Spend_it_server_2031" vbProcedure="false">Interface!$K$117</definedName>
    <definedName function="false" hidden="false" name="WIF_Spend_it_server_2032" vbProcedure="false">Interface!$L$117</definedName>
    <definedName function="false" hidden="false" name="WIF_Spend_it_storage_2024" vbProcedure="false">Interface!$D$118</definedName>
    <definedName function="false" hidden="false" name="WIF_Spend_it_storage_2025" vbProcedure="false">Interface!$E$118</definedName>
    <definedName function="false" hidden="false" name="WIF_Spend_it_storage_2026" vbProcedure="false">Interface!$F$118</definedName>
    <definedName function="false" hidden="false" name="WIF_Spend_it_storage_2027" vbProcedure="false">Interface!$G$118</definedName>
    <definedName function="false" hidden="false" name="WIF_Spend_it_storage_2028" vbProcedure="false">Interface!$H$118</definedName>
    <definedName function="false" hidden="false" name="WIF_Spend_it_storage_2029" vbProcedure="false">Interface!$I$118</definedName>
    <definedName function="false" hidden="false" name="WIF_Spend_it_storage_2030" vbProcedure="false">Interface!$J$118</definedName>
    <definedName function="false" hidden="false" name="WIF_Spend_it_storage_2031" vbProcedure="false">Interface!$K$118</definedName>
    <definedName function="false" hidden="false" name="WIF_Spend_it_storage_2032" vbProcedure="false">Interface!$L$118</definedName>
    <definedName function="false" hidden="false" name="WIF_Spend_it_substrate_2024" vbProcedure="false">Interface!$D$115</definedName>
    <definedName function="false" hidden="false" name="WIF_Spend_it_substrate_2025" vbProcedure="false">Interface!$E$115</definedName>
    <definedName function="false" hidden="false" name="WIF_Spend_it_substrate_2026" vbProcedure="false">Interface!$F$115</definedName>
    <definedName function="false" hidden="false" name="WIF_Spend_it_substrate_2027" vbProcedure="false">Interface!$G$115</definedName>
    <definedName function="false" hidden="false" name="WIF_Spend_it_substrate_2028" vbProcedure="false">Interface!$H$115</definedName>
    <definedName function="false" hidden="false" name="WIF_Spend_it_substrate_2029" vbProcedure="false">Interface!$I$115</definedName>
    <definedName function="false" hidden="false" name="WIF_Spend_it_substrate_2030" vbProcedure="false">Interface!$J$115</definedName>
    <definedName function="false" hidden="false" name="WIF_Spend_it_substrate_2031" vbProcedure="false">Interface!$K$115</definedName>
    <definedName function="false" hidden="false" name="WIF_Spend_it_substrate_2032" vbProcedure="false">Interface!$L$115</definedName>
    <definedName function="false" hidden="false" name="WIF_Spend_it_sum_2024" vbProcedure="false">Interface!$D$119</definedName>
    <definedName function="false" hidden="false" name="WIF_Spend_it_sum_2025" vbProcedure="false">Interface!$E$119</definedName>
    <definedName function="false" hidden="false" name="WIF_Spend_it_sum_2026" vbProcedure="false">Interface!$F$119</definedName>
    <definedName function="false" hidden="false" name="WIF_Spend_it_sum_2027" vbProcedure="false">Interface!$G$119</definedName>
    <definedName function="false" hidden="false" name="WIF_Spend_it_sum_2028" vbProcedure="false">Interface!$H$119</definedName>
    <definedName function="false" hidden="false" name="WIF_Spend_it_sum_2029" vbProcedure="false">Interface!$I$119</definedName>
    <definedName function="false" hidden="false" name="WIF_Spend_it_sum_2030" vbProcedure="false">Interface!$J$119</definedName>
    <definedName function="false" hidden="false" name="WIF_Spend_it_sum_2031" vbProcedure="false">Interface!$K$119</definedName>
    <definedName function="false" hidden="false" name="WIF_Spend_it_sum_2032" vbProcedure="false">Interface!$L$119</definedName>
    <definedName function="false" hidden="false" name="WIF_Spend_self_gen_2024" vbProcedure="false">Interface!$D$131</definedName>
    <definedName function="false" hidden="false" name="WIF_Spend_self_gen_2025" vbProcedure="false">Interface!$E$131</definedName>
    <definedName function="false" hidden="false" name="WIF_Spend_self_gen_2026" vbProcedure="false">Interface!$F$131</definedName>
    <definedName function="false" hidden="false" name="WIF_Spend_self_gen_2027" vbProcedure="false">Interface!$G$131</definedName>
    <definedName function="false" hidden="false" name="WIF_Spend_self_gen_2028" vbProcedure="false">Interface!$H$131</definedName>
    <definedName function="false" hidden="false" name="WIF_Spend_self_gen_2029" vbProcedure="false">Interface!$I$131</definedName>
    <definedName function="false" hidden="false" name="WIF_Spend_self_gen_2030" vbProcedure="false">Interface!$J$131</definedName>
    <definedName function="false" hidden="false" name="WIF_Spend_self_gen_2031" vbProcedure="false">Interface!$K$131</definedName>
    <definedName function="false" hidden="false" name="WIF_Spend_self_gen_2032" vbProcedure="false">Interface!$L$131</definedName>
    <definedName function="false" hidden="false" name="WIF_Spend_total_2024" vbProcedure="false">Interface!$D$132</definedName>
    <definedName function="false" hidden="false" name="WIF_Spend_total_2025" vbProcedure="false">Interface!$E$132</definedName>
    <definedName function="false" hidden="false" name="WIF_Spend_total_2026" vbProcedure="false">Interface!$F$132</definedName>
    <definedName function="false" hidden="false" name="WIF_Spend_total_2027" vbProcedure="false">Interface!$G$132</definedName>
    <definedName function="false" hidden="false" name="WIF_Spend_total_2028" vbProcedure="false">Interface!$H$132</definedName>
    <definedName function="false" hidden="false" name="WIF_Spend_total_2029" vbProcedure="false">Interface!$I$132</definedName>
    <definedName function="false" hidden="false" name="WIF_Spend_total_2030" vbProcedure="false">Interface!$J$132</definedName>
    <definedName function="false" hidden="false" name="WIF_Spend_total_2031" vbProcedure="false">Interface!$K$132</definedName>
    <definedName function="false" hidden="false" name="WIF_Spend_total_2032" vbProcedure="false">Interface!$L$132</definedName>
    <definedName function="false" hidden="false" name="xfmr_gva" vbProcedure="false">In!$I$80</definedName>
    <definedName function="false" hidden="false" name="xfmr_gva_hi" vbProcedure="false">In!$J$80</definedName>
    <definedName function="false" hidden="false" name="xfmr_gva_lo" vbProcedure="false">In!$H$80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<sst xmlns="http://schemas.openxmlformats.org/spreadsheetml/2006/main" count="18072" uniqueCount="7431">
  <si>
    <r>
      <rPr>
        <b val="true"/>
        <sz val="13"/>
        <rFont val="Noto Sans CJK SC"/>
        <family val="2"/>
      </rPr>
      <t xml:space="preserve">瓦帳 </t>
    </r>
    <r>
      <rPr>
        <b val="true"/>
        <sz val="13"/>
        <rFont val="Cambria"/>
        <family val="0"/>
        <charset val="1"/>
      </rPr>
      <t xml:space="preserve">v0.1.2 — </t>
    </r>
    <r>
      <rPr>
        <b val="true"/>
        <sz val="13"/>
        <rFont val="Noto Sans CJK SC"/>
        <family val="2"/>
      </rPr>
      <t xml:space="preserve">全市場 </t>
    </r>
    <r>
      <rPr>
        <b val="true"/>
        <sz val="13"/>
        <rFont val="Cambria"/>
        <family val="0"/>
        <charset val="1"/>
      </rPr>
      <t xml:space="preserve">AI </t>
    </r>
    <r>
      <rPr>
        <b val="true"/>
        <sz val="13"/>
        <rFont val="Noto Sans CJK SC"/>
        <family val="2"/>
      </rPr>
      <t xml:space="preserve">資料中心 </t>
    </r>
    <r>
      <rPr>
        <b val="true"/>
        <sz val="13"/>
        <rFont val="Cambria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唯一基準事實（</t>
    </r>
    <r>
      <rPr>
        <b val="true"/>
        <sz val="13"/>
        <rFont val="Cambria"/>
        <family val="0"/>
        <charset val="1"/>
      </rPr>
      <t xml:space="preserve">20261028</t>
    </r>
    <r>
      <rPr>
        <b val="true"/>
        <sz val="13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</si>
  <si>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命題：市場總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要與主要玩家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對得上，再與資本支出、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顆數、記憶體、電廠與發電機組、電源散熱、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投資地圖個股逐環對得上；並加入與需求情景正交的基建延遲情景。</t>
    </r>
  </si>
  <si>
    <r>
      <rPr>
        <sz val="11"/>
        <color theme="1"/>
        <rFont val="Noto Sans CJK SC"/>
        <family val="2"/>
      </rPr>
      <t xml:space="preserve">驅動 → 推導：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晶片功耗、玩家年底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、觀測、園區管線、延遲 </t>
    </r>
    <r>
      <rPr>
        <sz val="11"/>
        <color theme="1"/>
        <rFont val="Calibri"/>
        <family val="2"/>
        <charset val="1"/>
      </rPr>
      <t xml:space="preserve">D0–D2</t>
    </r>
    <r>
      <rPr>
        <sz val="11"/>
        <color theme="1"/>
        <rFont val="Noto Sans CJK SC"/>
        <family val="2"/>
      </rPr>
      <t xml:space="preserve">、世代組合、使用者分配）＋ 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係數、</t>
    </r>
    <r>
      <rPr>
        <sz val="11"/>
        <color theme="1"/>
        <rFont val="Calibri"/>
        <family val="2"/>
        <charset val="1"/>
      </rPr>
      <t xml:space="preserve">IF_FacilityGW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SIL_In</t>
    </r>
    <r>
      <rPr>
        <sz val="11"/>
        <color theme="1"/>
        <rFont val="Noto Sans CJK SC"/>
        <family val="2"/>
      </rPr>
      <t xml:space="preserve">（顆數、情景係數）→ 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（玩家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Matrix</t>
    </r>
    <r>
      <rPr>
        <sz val="11"/>
        <color theme="1"/>
        <rFont val="Noto Sans CJK SC"/>
        <family val="2"/>
      </rPr>
      <t xml:space="preserve">（營運者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使用者）→ </t>
    </r>
    <r>
      <rPr>
        <sz val="11"/>
        <color theme="1"/>
        <rFont val="Calibri"/>
        <family val="2"/>
        <charset val="1"/>
      </rPr>
      <t xml:space="preserve">Pipeline</t>
    </r>
    <r>
      <rPr>
        <sz val="11"/>
        <color theme="1"/>
        <rFont val="Noto Sans CJK SC"/>
        <family val="2"/>
      </rPr>
      <t xml:space="preserve">（上線事件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延遲）→ </t>
    </r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（需求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 </t>
    </r>
    <r>
      <rPr>
        <sz val="11"/>
        <color theme="1"/>
        <rFont val="Calibri"/>
        <family val="2"/>
        <charset val="1"/>
      </rPr>
      <t xml:space="preserve">3×3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C0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Compare</t>
    </r>
    <r>
      <rPr>
        <sz val="11"/>
        <color theme="1"/>
        <rFont val="Noto Sans CJK SC"/>
        <family val="2"/>
      </rPr>
      <t xml:space="preserve">（對帳）→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WIF_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WGOV_Errors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</si>
  <si>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單位（規劃書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）：主口徑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關鍵電力）；設施電力＝</t>
    </r>
    <r>
      <rPr>
        <sz val="11"/>
        <color theme="1"/>
        <rFont val="Calibri"/>
        <family val="2"/>
        <charset val="1"/>
      </rPr>
      <t xml:space="preserve">IT × TK IF_FacilityGW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）。公司標設施者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；口徑未說明者基準取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讀法，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另列設施讀法；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× k_chip2it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</si>
  <si>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頁面：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輸入｜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SIL_In </t>
    </r>
    <r>
      <rPr>
        <sz val="11"/>
        <color theme="1"/>
        <rFont val="Noto Sans CJK SC"/>
        <family val="2"/>
      </rPr>
      <t xml:space="preserve">鏡像（綠字）｜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Matrix </t>
    </r>
    <r>
      <rPr>
        <sz val="11"/>
        <color theme="1"/>
        <rFont val="Noto Sans CJK SC"/>
        <family val="2"/>
      </rPr>
      <t xml:space="preserve">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使用者｜</t>
    </r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園區管線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延遲｜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市場總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延遲｜</t>
    </r>
    <r>
      <rPr>
        <sz val="11"/>
        <color theme="1"/>
        <rFont val="Calibri"/>
        <family val="2"/>
        <charset val="1"/>
      </rPr>
      <t xml:space="preserve">C0 </t>
    </r>
    <r>
      <rPr>
        <sz val="11"/>
        <color theme="1"/>
        <rFont val="Noto Sans CJK SC"/>
        <family val="2"/>
      </rPr>
      <t xml:space="preserve">由下而上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第三方｜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資本支出對帳｜</t>
    </r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成本等值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Interface WIF_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DB_Evidence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Requests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</si>
  <si>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C0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、延遲管線（</t>
    </r>
    <r>
      <rPr>
        <sz val="11"/>
        <color theme="1"/>
        <rFont val="Calibri"/>
        <family val="2"/>
        <charset val="1"/>
      </rPr>
      <t xml:space="preserve">D0–D2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WIF_ </t>
    </r>
    <r>
      <rPr>
        <sz val="11"/>
        <color theme="1"/>
        <rFont val="Noto Sans CJK SC"/>
        <family val="2"/>
      </rPr>
      <t xml:space="preserve">輸出；</t>
    </r>
    <r>
      <rPr>
        <sz val="11"/>
        <color theme="1"/>
        <rFont val="Calibri"/>
        <family val="2"/>
        <charset val="1"/>
      </rPr>
      <t xml:space="preserve">C2–C7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起。第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階段：填入 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證據（只用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段判屬實或已更正的列；</t>
    </r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頁列全部證據與判定），延遲參數依 </t>
    </r>
    <r>
      <rPr>
        <sz val="11"/>
        <color theme="1"/>
        <rFont val="Calibri"/>
        <family val="2"/>
        <charset val="1"/>
      </rPr>
      <t xml:space="preserve">B_delay </t>
    </r>
    <r>
      <rPr>
        <sz val="11"/>
        <color theme="1"/>
        <rFont val="Noto Sans CJK SC"/>
        <family val="2"/>
      </rPr>
      <t xml:space="preserve">校準。</t>
    </r>
  </si>
  <si>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Cambria"/>
        <family val="0"/>
        <charset val="1"/>
      </rPr>
      <t xml:space="preserve">3 </t>
    </r>
    <r>
      <rPr>
        <b val="true"/>
        <sz val="13"/>
        <rFont val="Noto Sans CJK SC"/>
        <family val="2"/>
      </rPr>
      <t xml:space="preserve">階段：新增 </t>
    </r>
    <r>
      <rPr>
        <b val="true"/>
        <sz val="13"/>
        <rFont val="Cambria"/>
        <family val="0"/>
        <charset val="1"/>
      </rPr>
      <t xml:space="preserve">CapexGW </t>
    </r>
    <r>
      <rPr>
        <b val="true"/>
        <sz val="13"/>
        <rFont val="Noto Sans CJK SC"/>
        <family val="2"/>
      </rPr>
      <t xml:space="preserve">頁（甲</t>
    </r>
    <r>
      <rPr>
        <b val="true"/>
        <sz val="13"/>
        <rFont val="Cambria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：資本支出推得 </t>
    </r>
    <r>
      <rPr>
        <b val="true"/>
        <sz val="13"/>
        <rFont val="Cambria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MSFT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GOOGL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AMZN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META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ORCL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CRWV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NBIS 2027 </t>
    </r>
    <r>
      <rPr>
        <b val="true"/>
        <sz val="13"/>
        <rFont val="Noto Sans CJK SC"/>
        <family val="2"/>
      </rPr>
      <t xml:space="preserve">起進主路徑）；</t>
    </r>
    <r>
      <rPr>
        <b val="true"/>
        <sz val="13"/>
        <rFont val="Cambria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另出 </t>
    </r>
    <r>
      <rPr>
        <b val="true"/>
        <sz val="13"/>
        <rFont val="Cambria"/>
        <family val="0"/>
        <charset val="1"/>
      </rPr>
      <t xml:space="preserve">_SiteOnly</t>
    </r>
    <r>
      <rPr>
        <b val="true"/>
        <sz val="13"/>
        <rFont val="Noto Sans CJK SC"/>
        <family val="2"/>
      </rPr>
      <t xml:space="preserve">（只有 甲）；</t>
    </r>
    <r>
      <rPr>
        <b val="true"/>
        <sz val="13"/>
        <rFont val="Cambria"/>
        <family val="0"/>
        <charset val="1"/>
      </rPr>
      <t xml:space="preserve">WIF_Coverage_&lt;yyyy&gt;</t>
    </r>
    <r>
      <rPr>
        <b val="true"/>
        <sz val="13"/>
        <rFont val="Noto Sans CJK SC"/>
        <family val="2"/>
      </rPr>
      <t xml:space="preserve">。下游取用 </t>
    </r>
    <r>
      <rPr>
        <b val="true"/>
        <sz val="13"/>
        <rFont val="Cambria"/>
        <family val="0"/>
        <charset val="1"/>
      </rPr>
      <t xml:space="preserve">2027 </t>
    </r>
    <r>
      <rPr>
        <b val="true"/>
        <sz val="13"/>
        <rFont val="Noto Sans CJK SC"/>
        <family val="2"/>
      </rPr>
      <t xml:space="preserve">年後數值前看覆蓋率。</t>
    </r>
  </si>
  <si>
    <r>
      <rPr>
        <b val="true"/>
        <sz val="13"/>
        <rFont val="Cambria"/>
        <family val="0"/>
        <charset val="1"/>
      </rPr>
      <t xml:space="preserve">v0.1.1</t>
    </r>
    <r>
      <rPr>
        <b val="true"/>
        <sz val="13"/>
        <rFont val="Noto Sans CJK SC"/>
        <family val="2"/>
      </rPr>
      <t xml:space="preserve">（改名 </t>
    </r>
    <r>
      <rPr>
        <b val="true"/>
        <sz val="13"/>
        <rFont val="Cambria"/>
        <family val="0"/>
        <charset val="1"/>
      </rPr>
      <t xml:space="preserve">Wattonomics</t>
    </r>
    <r>
      <rPr>
        <b val="true"/>
        <sz val="13"/>
        <rFont val="Noto Sans CJK SC"/>
        <family val="2"/>
      </rPr>
      <t xml:space="preserve">／瓦帳）：新增 </t>
    </r>
    <r>
      <rPr>
        <b val="true"/>
        <sz val="13"/>
        <rFont val="Cambria"/>
        <family val="0"/>
        <charset val="1"/>
      </rPr>
      <t xml:space="preserve">Funding</t>
    </r>
    <r>
      <rPr>
        <b val="true"/>
        <sz val="13"/>
        <rFont val="Noto Sans CJK SC"/>
        <family val="2"/>
      </rPr>
      <t xml:space="preserve">（玩家 </t>
    </r>
    <r>
      <rPr>
        <b val="true"/>
        <sz val="13"/>
        <rFont val="Cambria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年資金來源、循環融資 </t>
    </r>
    <r>
      <rPr>
        <b val="true"/>
        <sz val="13"/>
        <rFont val="Cambria"/>
        <family val="0"/>
        <charset val="1"/>
      </rPr>
      <t xml:space="preserve">17 </t>
    </r>
    <r>
      <rPr>
        <b val="true"/>
        <sz val="13"/>
        <rFont val="Noto Sans CJK SC"/>
        <family val="2"/>
      </rPr>
      <t xml:space="preserve">條）、</t>
    </r>
    <r>
      <rPr>
        <b val="true"/>
        <sz val="13"/>
        <rFont val="Cambria"/>
        <family val="0"/>
        <charset val="1"/>
      </rPr>
      <t xml:space="preserve">FundRaw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Cambria"/>
        <family val="0"/>
        <charset val="1"/>
      </rPr>
      <t xml:space="preserve">F </t>
    </r>
    <r>
      <rPr>
        <b val="true"/>
        <sz val="13"/>
        <rFont val="Noto Sans CJK SC"/>
        <family val="2"/>
      </rPr>
      <t xml:space="preserve">段證據＋</t>
    </r>
    <r>
      <rPr>
        <b val="true"/>
        <sz val="13"/>
        <rFont val="Cambria"/>
        <family val="0"/>
        <charset val="1"/>
      </rPr>
      <t xml:space="preserve">G </t>
    </r>
    <r>
      <rPr>
        <b val="true"/>
        <sz val="13"/>
        <rFont val="Noto Sans CJK SC"/>
        <family val="2"/>
      </rPr>
      <t xml:space="preserve">段判定）、</t>
    </r>
    <r>
      <rPr>
        <b val="true"/>
        <sz val="13"/>
        <rFont val="Cambria"/>
        <family val="0"/>
        <charset val="1"/>
      </rPr>
      <t xml:space="preserve">Facility</t>
    </r>
    <r>
      <rPr>
        <b val="true"/>
        <sz val="13"/>
        <rFont val="Noto Sans CJK SC"/>
        <family val="2"/>
      </rPr>
      <t xml:space="preserve">（每 </t>
    </r>
    <r>
      <rPr>
        <b val="true"/>
        <sz val="13"/>
        <rFont val="Cambria"/>
        <family val="0"/>
        <charset val="1"/>
      </rPr>
      <t xml:space="preserve">IT GW </t>
    </r>
    <r>
      <rPr>
        <b val="true"/>
        <sz val="13"/>
        <rFont val="Noto Sans CJK SC"/>
        <family val="2"/>
      </rPr>
      <t xml:space="preserve">廠房拆分與市場層、自建發電）、</t>
    </r>
    <r>
      <rPr>
        <b val="true"/>
        <sz val="13"/>
        <rFont val="Cambria"/>
        <family val="0"/>
        <charset val="1"/>
      </rPr>
      <t xml:space="preserve">SegIn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Cambria"/>
        <family val="0"/>
        <charset val="1"/>
      </rPr>
      <t xml:space="preserve">AI</t>
    </r>
    <r>
      <rPr>
        <b val="true"/>
        <sz val="13"/>
        <rFont val="Noto Sans CJK SC"/>
        <family val="2"/>
      </rPr>
      <t xml:space="preserve">半導體 次產業比例鏡像）、</t>
    </r>
    <r>
      <rPr>
        <b val="true"/>
        <sz val="13"/>
        <rFont val="Cambria"/>
        <family val="0"/>
        <charset val="1"/>
      </rPr>
      <t xml:space="preserve">Spend</t>
    </r>
    <r>
      <rPr>
        <b val="true"/>
        <sz val="13"/>
        <rFont val="Noto Sans CJK SC"/>
        <family val="2"/>
      </rPr>
      <t xml:space="preserve">（年 </t>
    </r>
    <r>
      <rPr>
        <b val="true"/>
        <sz val="13"/>
        <rFont val="Cambria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項目市場金額）；</t>
    </r>
    <r>
      <rPr>
        <b val="true"/>
        <sz val="13"/>
        <rFont val="Cambria"/>
        <family val="0"/>
        <charset val="1"/>
      </rPr>
      <t xml:space="preserve">C1 </t>
    </r>
    <r>
      <rPr>
        <b val="true"/>
        <sz val="13"/>
        <rFont val="Noto Sans CJK SC"/>
        <family val="2"/>
      </rPr>
      <t xml:space="preserve">加廣義口徑（資本支出＋尚未起租變化）；</t>
    </r>
    <r>
      <rPr>
        <b val="true"/>
        <sz val="13"/>
        <rFont val="Cambria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增 </t>
    </r>
    <r>
      <rPr>
        <b val="true"/>
        <sz val="13"/>
        <rFont val="Cambria"/>
        <family val="0"/>
        <charset val="1"/>
      </rPr>
      <t xml:space="preserve">WIF_Funding_*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WIF_Spend_*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WIF_Facility_*</t>
    </r>
    <r>
      <rPr>
        <b val="true"/>
        <sz val="13"/>
        <rFont val="Noto Sans CJK SC"/>
        <family val="2"/>
      </rPr>
      <t xml:space="preserve">。</t>
    </r>
  </si>
  <si>
    <r>
      <rPr>
        <b val="true"/>
        <sz val="13"/>
        <rFont val="Cambria"/>
        <family val="0"/>
        <charset val="1"/>
      </rPr>
      <t xml:space="preserve">v0.1.2</t>
    </r>
    <r>
      <rPr>
        <b val="true"/>
        <sz val="13"/>
        <rFont val="Noto Sans CJK SC"/>
        <family val="2"/>
      </rPr>
      <t xml:space="preserve">：套用 </t>
    </r>
    <r>
      <rPr>
        <b val="true"/>
        <sz val="13"/>
        <rFont val="Cambria"/>
        <family val="0"/>
        <charset val="1"/>
      </rPr>
      <t xml:space="preserve">H </t>
    </r>
    <r>
      <rPr>
        <b val="true"/>
        <sz val="13"/>
        <rFont val="Noto Sans CJK SC"/>
        <family val="2"/>
      </rPr>
      <t xml:space="preserve">段（</t>
    </r>
    <r>
      <rPr>
        <b val="true"/>
        <sz val="13"/>
        <rFont val="Cambria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旗標人工複核）更正——證據檔 </t>
    </r>
    <r>
      <rPr>
        <b val="true"/>
        <sz val="13"/>
        <rFont val="Cambria"/>
        <family val="0"/>
        <charset val="1"/>
      </rPr>
      <t xml:space="preserve">79 </t>
    </r>
    <r>
      <rPr>
        <b val="true"/>
        <sz val="13"/>
        <rFont val="Noto Sans CJK SC"/>
        <family val="2"/>
      </rPr>
      <t xml:space="preserve">筆、</t>
    </r>
    <r>
      <rPr>
        <b val="true"/>
        <sz val="13"/>
        <rFont val="Cambria"/>
        <family val="0"/>
        <charset val="1"/>
      </rPr>
      <t xml:space="preserve">In </t>
    </r>
    <r>
      <rPr>
        <b val="true"/>
        <sz val="13"/>
        <rFont val="Noto Sans CJK SC"/>
        <family val="2"/>
      </rPr>
      <t xml:space="preserve">輸入 </t>
    </r>
    <r>
      <rPr>
        <b val="true"/>
        <sz val="13"/>
        <rFont val="Cambria"/>
        <family val="0"/>
        <charset val="1"/>
      </rPr>
      <t xml:space="preserve">19 </t>
    </r>
    <r>
      <rPr>
        <b val="true"/>
        <sz val="13"/>
        <rFont val="Noto Sans CJK SC"/>
        <family val="2"/>
      </rPr>
      <t xml:space="preserve">格（</t>
    </r>
    <r>
      <rPr>
        <b val="true"/>
        <sz val="13"/>
        <rFont val="Cambria"/>
        <family val="0"/>
        <charset val="1"/>
      </rPr>
      <t xml:space="preserve">cp_msft_abl </t>
    </r>
    <r>
      <rPr>
        <b val="true"/>
        <sz val="13"/>
        <rFont val="Noto Sans CJK SC"/>
        <family val="2"/>
      </rPr>
      <t xml:space="preserve">改 </t>
    </r>
    <r>
      <rPr>
        <b val="true"/>
        <sz val="13"/>
        <rFont val="Cambria"/>
        <family val="0"/>
        <charset val="1"/>
      </rPr>
      <t xml:space="preserve">336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Cambria"/>
        <family val="0"/>
        <charset val="1"/>
      </rPr>
      <t xml:space="preserve">336 MW-IT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xfmr_gva 2.1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Cambria"/>
        <family val="0"/>
        <charset val="1"/>
      </rPr>
      <t xml:space="preserve">2.67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Cambria"/>
        <family val="0"/>
        <charset val="1"/>
      </rPr>
      <t xml:space="preserve">3.15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fac_gen_px </t>
    </r>
    <r>
      <rPr>
        <b val="true"/>
        <sz val="13"/>
        <rFont val="Noto Sans CJK SC"/>
        <family val="2"/>
      </rPr>
      <t xml:space="preserve">低 </t>
    </r>
    <r>
      <rPr>
        <b val="true"/>
        <sz val="13"/>
        <rFont val="Cambria"/>
        <family val="0"/>
        <charset val="1"/>
      </rPr>
      <t xml:space="preserve">0.5</t>
    </r>
    <r>
      <rPr>
        <b val="true"/>
        <sz val="13"/>
        <rFont val="Noto Sans CJK SC"/>
        <family val="2"/>
      </rPr>
      <t xml:space="preserve">），</t>
    </r>
    <r>
      <rPr>
        <b val="true"/>
        <sz val="13"/>
        <rFont val="Cambria"/>
        <family val="0"/>
        <charset val="1"/>
      </rPr>
      <t xml:space="preserve">FundRaw F#31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F#199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F#222 </t>
    </r>
    <r>
      <rPr>
        <b val="true"/>
        <sz val="13"/>
        <rFont val="Noto Sans CJK SC"/>
        <family val="2"/>
      </rPr>
      <t xml:space="preserve">改不採用（採購或投資存量，非融資）；園區候選（</t>
    </r>
    <r>
      <rPr>
        <b val="true"/>
        <sz val="13"/>
        <rFont val="Cambria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段 </t>
    </r>
    <r>
      <rPr>
        <b val="true"/>
        <sz val="13"/>
        <rFont val="Cambria"/>
        <family val="0"/>
        <charset val="1"/>
      </rPr>
      <t xml:space="preserve">409 </t>
    </r>
    <r>
      <rPr>
        <b val="true"/>
        <sz val="13"/>
        <rFont val="Noto Sans CJK SC"/>
        <family val="2"/>
      </rPr>
      <t xml:space="preserve">列，</t>
    </r>
    <r>
      <rPr>
        <b val="true"/>
        <sz val="13"/>
        <rFont val="Cambria"/>
        <family val="0"/>
        <charset val="1"/>
      </rPr>
      <t xml:space="preserve">site_pipeline</t>
    </r>
    <r>
      <rPr>
        <b val="true"/>
        <sz val="13"/>
        <rFont val="Noto Sans CJK SC"/>
        <family val="2"/>
      </rPr>
      <t xml:space="preserve">）經 </t>
    </r>
    <r>
      <rPr>
        <b val="true"/>
        <sz val="13"/>
        <rFont val="Cambria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回查與 </t>
    </r>
    <r>
      <rPr>
        <b val="true"/>
        <sz val="13"/>
        <rFont val="Cambria"/>
        <family val="0"/>
        <charset val="1"/>
      </rPr>
      <t xml:space="preserve">I </t>
    </r>
    <r>
      <rPr>
        <b val="true"/>
        <sz val="13"/>
        <rFont val="Noto Sans CJK SC"/>
        <family val="2"/>
      </rPr>
      <t xml:space="preserve">段未參與代理開原文抽查後合併：新增 </t>
    </r>
    <r>
      <rPr>
        <b val="true"/>
        <sz val="13"/>
        <rFont val="Cambria"/>
        <family val="0"/>
        <charset val="1"/>
      </rPr>
      <t xml:space="preserve">17 </t>
    </r>
    <r>
      <rPr>
        <b val="true"/>
        <sz val="13"/>
        <rFont val="Noto Sans CJK SC"/>
        <family val="2"/>
      </rPr>
      <t xml:space="preserve">列（計入 </t>
    </r>
    <r>
      <rPr>
        <b val="true"/>
        <sz val="13"/>
        <rFont val="Cambria"/>
        <family val="0"/>
        <charset val="1"/>
      </rPr>
      <t xml:space="preserve">13 </t>
    </r>
    <r>
      <rPr>
        <b val="true"/>
        <sz val="13"/>
        <rFont val="Noto Sans CJK SC"/>
        <family val="2"/>
      </rPr>
      <t xml:space="preserve">列）、更正既有 </t>
    </r>
    <r>
      <rPr>
        <b val="true"/>
        <sz val="13"/>
        <rFont val="Cambria"/>
        <family val="0"/>
        <charset val="1"/>
      </rPr>
      <t xml:space="preserve">20 </t>
    </r>
    <r>
      <rPr>
        <b val="true"/>
        <sz val="13"/>
        <rFont val="Noto Sans CJK SC"/>
        <family val="2"/>
      </rPr>
      <t xml:space="preserve">列（</t>
    </r>
    <r>
      <rPr>
        <b val="true"/>
        <sz val="13"/>
        <rFont val="Cambria"/>
        <family val="0"/>
        <charset val="1"/>
      </rPr>
      <t xml:space="preserve">Fairwater </t>
    </r>
    <r>
      <rPr>
        <b val="true"/>
        <sz val="13"/>
        <rFont val="Noto Sans CJK SC"/>
        <family val="2"/>
      </rPr>
      <t xml:space="preserve">拆分、</t>
    </r>
    <r>
      <rPr>
        <b val="true"/>
        <sz val="13"/>
        <rFont val="Cambria"/>
        <family val="0"/>
        <charset val="1"/>
      </rPr>
      <t xml:space="preserve">Ports Pike </t>
    </r>
    <r>
      <rPr>
        <b val="true"/>
        <sz val="13"/>
        <rFont val="Noto Sans CJK SC"/>
        <family val="2"/>
      </rPr>
      <t xml:space="preserve">首批 </t>
    </r>
    <r>
      <rPr>
        <b val="true"/>
        <sz val="13"/>
        <rFont val="Cambria"/>
        <family val="0"/>
        <charset val="1"/>
      </rPr>
      <t xml:space="preserve">800 MW </t>
    </r>
    <r>
      <rPr>
        <b val="true"/>
        <sz val="13"/>
        <rFont val="Noto Sans CJK SC"/>
        <family val="2"/>
      </rPr>
      <t xml:space="preserve">至 </t>
    </r>
    <r>
      <rPr>
        <b val="true"/>
        <sz val="13"/>
        <rFont val="Cambria"/>
        <family val="0"/>
        <charset val="1"/>
      </rPr>
      <t xml:space="preserve">2031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Humain 1.7 GW </t>
    </r>
    <r>
      <rPr>
        <b val="true"/>
        <sz val="13"/>
        <rFont val="Noto Sans CJK SC"/>
        <family val="2"/>
      </rPr>
      <t xml:space="preserve">提前到 </t>
    </r>
    <r>
      <rPr>
        <b val="true"/>
        <sz val="13"/>
        <rFont val="Cambria"/>
        <family val="0"/>
        <charset val="1"/>
      </rPr>
      <t xml:space="preserve">2027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Milam 308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Cambria"/>
        <family val="0"/>
        <charset val="1"/>
      </rPr>
      <t xml:space="preserve">445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Jupiter </t>
    </r>
    <r>
      <rPr>
        <b val="true"/>
        <sz val="13"/>
        <rFont val="Noto Sans CJK SC"/>
        <family val="2"/>
      </rPr>
      <t xml:space="preserve">已知延遲刪除）、</t>
    </r>
    <r>
      <rPr>
        <b val="true"/>
        <sz val="13"/>
        <rFont val="Cambria"/>
        <family val="0"/>
        <charset val="1"/>
      </rPr>
      <t xml:space="preserve">3 </t>
    </r>
    <r>
      <rPr>
        <b val="true"/>
        <sz val="13"/>
        <rFont val="Noto Sans CJK SC"/>
        <family val="2"/>
      </rPr>
      <t xml:space="preserve">列改計入（</t>
    </r>
    <r>
      <rPr>
        <b val="true"/>
        <sz val="13"/>
        <rFont val="Cambria"/>
        <family val="0"/>
        <charset val="1"/>
      </rPr>
      <t xml:space="preserve">Stargate UAE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Colossus 2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Mistral 96 MW</t>
    </r>
    <r>
      <rPr>
        <b val="true"/>
        <sz val="13"/>
        <rFont val="Noto Sans CJK SC"/>
        <family val="2"/>
      </rPr>
      <t xml:space="preserve">）。</t>
    </r>
    <r>
      <rPr>
        <b val="true"/>
        <sz val="13"/>
        <rFont val="Cambria"/>
        <family val="0"/>
        <charset val="1"/>
      </rPr>
      <t xml:space="preserve">Hyperion 5 GW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SoftBank </t>
    </r>
    <r>
      <rPr>
        <b val="true"/>
        <sz val="13"/>
        <rFont val="Noto Sans CJK SC"/>
        <family val="2"/>
      </rPr>
      <t xml:space="preserve">苫小牧依判斷題預設不入。</t>
    </r>
  </si>
  <si>
    <t xml:space="preserve">顏色：藍字＝輸入；黑字＝公式；綠字＝跨頁或外部鏡像；淡黃底＝關鍵輸出；亮黃底＝待證據或預設待決。</t>
  </si>
  <si>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優先：要改輸入，直接改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頁藍字；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重建時讀回（</t>
    </r>
    <r>
      <rPr>
        <sz val="11"/>
        <color theme="1"/>
        <rFont val="Calibri"/>
        <family val="2"/>
        <charset val="1"/>
      </rPr>
      <t xml:space="preserve">--base</t>
    </r>
    <r>
      <rPr>
        <sz val="11"/>
        <color theme="1"/>
        <rFont val="Noto Sans CJK SC"/>
        <family val="2"/>
      </rPr>
      <t xml:space="preserve">）。公式頁不要手改。下游只讀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WIF_ </t>
    </r>
    <r>
      <rPr>
        <sz val="11"/>
        <color theme="1"/>
        <rFont val="Noto Sans CJK SC"/>
        <family val="2"/>
      </rPr>
      <t xml:space="preserve">名稱（經快照）。</t>
    </r>
  </si>
  <si>
    <r>
      <rPr>
        <sz val="11"/>
        <color theme="1"/>
        <rFont val="Noto Sans CJK SC"/>
        <family val="2"/>
      </rPr>
      <t xml:space="preserve">版本命名：</t>
    </r>
    <r>
      <rPr>
        <sz val="11"/>
        <color theme="1"/>
        <rFont val="Calibri"/>
        <family val="2"/>
        <charset val="1"/>
      </rPr>
      <t xml:space="preserve">YYYYMMDD_Wattonomics_vX.Y.xlsx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model/CURRENT </t>
    </r>
    <r>
      <rPr>
        <sz val="11"/>
        <color theme="1"/>
        <rFont val="Noto Sans CJK SC"/>
        <family val="2"/>
      </rPr>
      <t xml:space="preserve">記錄現行檔名；</t>
    </r>
    <r>
      <rPr>
        <sz val="11"/>
        <color theme="1"/>
        <rFont val="Calibri"/>
        <family val="2"/>
        <charset val="1"/>
      </rPr>
      <t xml:space="preserve">data/CURRENT_SNAPSHOT </t>
    </r>
    <r>
      <rPr>
        <sz val="11"/>
        <color theme="1"/>
        <rFont val="Noto Sans CJK SC"/>
        <family val="2"/>
      </rPr>
      <t xml:space="preserve">指向現行快照。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</si>
  <si>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瓦帳輸入（藍字＝輸入，由本活頁簿擁有；要改值直接改本頁，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重建時以 </t>
    </r>
    <r>
      <rPr>
        <sz val="11"/>
        <color theme="1"/>
        <rFont val="Calibri"/>
        <family val="2"/>
        <charset val="1"/>
      </rPr>
      <t xml:space="preserve">--base </t>
    </r>
    <r>
      <rPr>
        <sz val="11"/>
        <color theme="1"/>
        <rFont val="Noto Sans CJK SC"/>
        <family val="2"/>
      </rPr>
      <t xml:space="preserve">讀回）。純量列：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＝低／基準／高，具名範圍＝鍵（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欄）；年度列：</t>
    </r>
    <r>
      <rPr>
        <sz val="11"/>
        <color theme="1"/>
        <rFont val="Calibri"/>
        <family val="2"/>
        <charset val="1"/>
      </rPr>
      <t xml:space="preserve">H–Q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2023–2032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分配表、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園區表見節標題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</si>
  <si>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（寫明換算）／待證據（值留空）。來源 </t>
    </r>
    <r>
      <rPr>
        <sz val="11"/>
        <color theme="1"/>
        <rFont val="Calibri"/>
        <family val="2"/>
        <charset val="1"/>
      </rPr>
      <t xml:space="preserve">ID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頁；說明欄的 </t>
    </r>
    <r>
      <rPr>
        <sz val="11"/>
        <color theme="1"/>
        <rFont val="Calibri"/>
        <family val="2"/>
        <charset val="1"/>
      </rPr>
      <t xml:space="preserve">A#n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B#n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D#n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列號（</t>
    </r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頁，含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段判定）。口徑：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／設施／未說明／晶片（主口徑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；未說明者基準取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讀法）。</t>
    </r>
    <r>
      <rPr>
        <sz val="11"/>
        <color theme="1"/>
        <rFont val="Calibri"/>
        <family val="2"/>
        <charset val="1"/>
      </rPr>
      <t xml:space="preserve">S </t>
    </r>
    <r>
      <rPr>
        <sz val="11"/>
        <color theme="1"/>
        <rFont val="Noto Sans CJK SC"/>
        <family val="2"/>
      </rPr>
      <t xml:space="preserve">欄＝輸入列類型（治理檢查用）</t>
    </r>
  </si>
  <si>
    <t xml:space="preserve">鍵</t>
  </si>
  <si>
    <t xml:space="preserve">項目</t>
  </si>
  <si>
    <t xml:space="preserve">口徑</t>
  </si>
  <si>
    <t xml:space="preserve">單位</t>
  </si>
  <si>
    <t xml:space="preserve">標記</t>
  </si>
  <si>
    <r>
      <rPr>
        <b val="true"/>
        <sz val="11"/>
        <rFont val="Noto Sans CJK SC"/>
        <family val="2"/>
      </rPr>
      <t xml:space="preserve">來源 </t>
    </r>
    <r>
      <rPr>
        <b val="true"/>
        <sz val="11"/>
        <rFont val="Cambria"/>
        <family val="0"/>
        <charset val="1"/>
      </rPr>
      <t xml:space="preserve">ID</t>
    </r>
  </si>
  <si>
    <t xml:space="preserve">說明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</si>
  <si>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</si>
  <si>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</si>
  <si>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</si>
  <si>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</si>
  <si>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</si>
  <si>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</si>
  <si>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</si>
  <si>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</si>
  <si>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</si>
  <si>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</si>
  <si>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類型</t>
  </si>
  <si>
    <r>
      <rPr>
        <b val="true"/>
        <sz val="11"/>
        <rFont val="Cambria"/>
        <family val="0"/>
        <charset val="1"/>
      </rPr>
      <t xml:space="preserve">S1. </t>
    </r>
    <r>
      <rPr>
        <b val="true"/>
        <sz val="11"/>
        <rFont val="Noto Sans CJK SC"/>
        <family val="2"/>
      </rPr>
      <t xml:space="preserve">單位換算與共用參數（主口徑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TK GW</t>
    </r>
    <r>
      <rPr>
        <b val="true"/>
        <sz val="11"/>
        <rFont val="Noto Sans CJK SC"/>
        <family val="2"/>
      </rPr>
      <t xml:space="preserve">；設施電力＝</t>
    </r>
    <r>
      <rPr>
        <b val="true"/>
        <sz val="11"/>
        <rFont val="Cambria"/>
        <family val="0"/>
        <charset val="1"/>
      </rPr>
      <t xml:space="preserve">IT × TK IF_FacilityGW</t>
    </r>
    <r>
      <rPr>
        <b val="true"/>
        <sz val="11"/>
        <rFont val="Noto Sans CJK SC"/>
        <family val="2"/>
      </rPr>
      <t xml:space="preserve">）</t>
    </r>
  </si>
  <si>
    <t xml:space="preserve">g_ITtoFac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</si>
  <si>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值 →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帳主口徑（</t>
    </r>
    <r>
      <rPr>
        <sz val="11"/>
        <color theme="1"/>
        <rFont val="Calibri"/>
        <family val="2"/>
        <charset val="1"/>
      </rPr>
      <t xml:space="preserve">IT→IT</t>
    </r>
    <r>
      <rPr>
        <sz val="11"/>
        <color theme="1"/>
        <rFont val="Noto Sans CJK SC"/>
        <family val="2"/>
      </rPr>
      <t xml:space="preserve">）換算係數</t>
    </r>
  </si>
  <si>
    <t xml:space="preserve">—</t>
  </si>
  <si>
    <t xml:space="preserve">x</t>
  </si>
  <si>
    <t xml:space="preserve">Derived</t>
  </si>
  <si>
    <t xml:space="preserve">SRC_GL_003</t>
  </si>
  <si>
    <r>
      <rPr>
        <sz val="11"/>
        <color theme="1"/>
        <rFont val="Calibri"/>
        <family val="2"/>
        <charset val="1"/>
      </rPr>
      <t xml:space="preserve">Requests R1 </t>
    </r>
    <r>
      <rPr>
        <sz val="11"/>
        <color theme="1"/>
        <rFont val="Noto Sans CJK SC"/>
        <family val="2"/>
      </rPr>
      <t xml:space="preserve">裁定（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TK Interface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關鍵電力，主口徑＝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，係數＝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；設施電力另列＝</t>
    </r>
    <r>
      <rPr>
        <sz val="11"/>
        <color theme="1"/>
        <rFont val="Calibri"/>
        <family val="2"/>
        <charset val="1"/>
      </rPr>
      <t xml:space="preserve">IT × TK_FacilityGW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）</t>
    </r>
  </si>
  <si>
    <t xml:space="preserve">k_chip2it</t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</si>
  <si>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晶片功耗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電力換算係數</t>
    </r>
  </si>
  <si>
    <t xml:space="preserve">Analogy</t>
  </si>
  <si>
    <t xml:space="preserve">SRC_GL_203</t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</si>
  <si>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1.65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repo mw.conv.itPerTdp</t>
    </r>
    <r>
      <rPr>
        <sz val="11"/>
        <color theme="1"/>
        <rFont val="Noto Sans CJK SC"/>
        <family val="2"/>
      </rPr>
      <t xml:space="preserve">；高 </t>
    </r>
    <r>
      <rPr>
        <sz val="11"/>
        <color theme="1"/>
        <rFont val="Calibri"/>
        <family val="2"/>
        <charset val="1"/>
      </rPr>
      <t xml:space="preserve">2.08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設施係數 </t>
    </r>
    <r>
      <rPr>
        <sz val="11"/>
        <color theme="1"/>
        <rFont val="Calibri"/>
        <family val="2"/>
        <charset val="1"/>
      </rPr>
      <t xml:space="preserve">2.5 ÷ 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× 1.98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Epoch × 2.5 </t>
    </r>
    <r>
      <rPr>
        <sz val="11"/>
        <color theme="1"/>
        <rFont val="Noto Sans CJK SC"/>
        <family val="2"/>
      </rPr>
      <t xml:space="preserve">不一致</t>
    </r>
  </si>
  <si>
    <t xml:space="preserve">asof</t>
  </si>
  <si>
    <r>
      <rPr>
        <sz val="11"/>
        <color theme="1"/>
        <rFont val="Noto Sans CJK SC"/>
        <family val="2"/>
      </rPr>
      <t xml:space="preserve">評價時點（小數年；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</si>
  <si>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t xml:space="preserve">年</t>
  </si>
  <si>
    <t xml:space="preserve">SRC_GL_004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</si>
  <si>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28/31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12</t>
    </r>
    <r>
      <rPr>
        <sz val="11"/>
        <color theme="1"/>
        <rFont val="Noto Sans CJK SC"/>
        <family val="2"/>
      </rPr>
      <t xml:space="preserve">；延遲只作用於此時點之後的上線量</t>
    </r>
  </si>
  <si>
    <t xml:space="preserve">tolband</t>
  </si>
  <si>
    <r>
      <rPr>
        <sz val="11"/>
        <color theme="1"/>
        <rFont val="Noto Sans CJK SC"/>
        <family val="2"/>
      </rPr>
      <t xml:space="preserve">對帳容許帶（</t>
    </r>
    <r>
      <rPr>
        <sz val="11"/>
        <color theme="1"/>
        <rFont val="Calibri"/>
        <family val="2"/>
        <charset val="1"/>
      </rPr>
      <t xml:space="preserve">±</t>
    </r>
    <r>
      <rPr>
        <sz val="11"/>
        <color theme="1"/>
        <rFont val="Noto Sans CJK SC"/>
        <family val="2"/>
      </rPr>
      <t xml:space="preserve">）</t>
    </r>
  </si>
  <si>
    <t xml:space="preserve">%</t>
  </si>
  <si>
    <t xml:space="preserve">Assumed</t>
  </si>
  <si>
    <r>
      <rPr>
        <sz val="11"/>
        <color theme="1"/>
        <rFont val="Noto Sans CJK SC"/>
        <family val="2"/>
      </rPr>
      <t xml:space="preserve">規劃書 </t>
    </r>
    <r>
      <rPr>
        <sz val="11"/>
        <color theme="1"/>
        <rFont val="Calibri"/>
        <family val="2"/>
        <charset val="1"/>
      </rPr>
      <t xml:space="preserve">G6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±15%</t>
    </r>
  </si>
  <si>
    <t xml:space="preserve">lag_bldg</t>
  </si>
  <si>
    <t xml:space="preserve">建物資本支出提前入帳月數</t>
  </si>
  <si>
    <t xml:space="preserve">月</t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</si>
  <si>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12–24 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D#14 </t>
    </r>
    <r>
      <rPr>
        <sz val="11"/>
        <color theme="1"/>
        <rFont val="Noto Sans CJK SC"/>
        <family val="2"/>
      </rPr>
      <t xml:space="preserve">建物工期 </t>
    </r>
    <r>
      <rPr>
        <sz val="11"/>
        <color theme="1"/>
        <rFont val="Calibri"/>
        <family val="2"/>
        <charset val="1"/>
      </rPr>
      <t xml:space="preserve">12–24 </t>
    </r>
    <r>
      <rPr>
        <sz val="11"/>
        <color theme="1"/>
        <rFont val="Noto Sans CJK SC"/>
        <family val="2"/>
      </rPr>
      <t xml:space="preserve">月（屬實）</t>
    </r>
  </si>
  <si>
    <t xml:space="preserve">g_lt</t>
  </si>
  <si>
    <r>
      <rPr>
        <sz val="11"/>
        <color theme="1"/>
        <rFont val="Noto Sans CJK SC"/>
        <family val="2"/>
      </rPr>
      <t xml:space="preserve">長期年新增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成長率（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收斂目標）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</si>
  <si>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年增率線性收斂到長期成長率（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階段指示）</t>
    </r>
  </si>
  <si>
    <r>
      <rPr>
        <b val="true"/>
        <sz val="11"/>
        <rFont val="Cambria"/>
        <family val="0"/>
        <charset val="1"/>
      </rPr>
      <t xml:space="preserve">S1b. </t>
    </r>
    <r>
      <rPr>
        <b val="true"/>
        <sz val="11"/>
        <rFont val="Noto Sans CJK SC"/>
        <family val="2"/>
      </rPr>
      <t xml:space="preserve">甲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資本支出推得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MSFT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GOOGL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AMZN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META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ORCL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CRWV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NBIS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起主路徑）</t>
    </r>
  </si>
  <si>
    <t xml:space="preserve">ai_sh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</si>
  <si>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占比（全公司資本支出中用於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資料中心的比例；各家未覆寫者）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</si>
  <si>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；依證據逐家覆寫見 </t>
    </r>
    <r>
      <rPr>
        <sz val="11"/>
        <color theme="1"/>
        <rFont val="Calibri"/>
        <family val="2"/>
        <charset val="1"/>
      </rPr>
      <t xml:space="preserve">ai_&lt;</t>
    </r>
    <r>
      <rPr>
        <sz val="11"/>
        <color theme="1"/>
        <rFont val="Noto Sans CJK SC"/>
        <family val="2"/>
      </rPr>
      <t xml:space="preserve">玩家</t>
    </r>
    <r>
      <rPr>
        <sz val="11"/>
        <color theme="1"/>
        <rFont val="Calibri"/>
        <family val="2"/>
        <charset val="1"/>
      </rPr>
      <t xml:space="preserve">&gt;</t>
    </r>
  </si>
  <si>
    <t xml:space="preserve">ai_amzn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</si>
  <si>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占比覆寫（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占淨增加比）</t>
    </r>
  </si>
  <si>
    <t xml:space="preserve">SRC_GL_030</t>
  </si>
  <si>
    <r>
      <rPr>
        <sz val="11"/>
        <color theme="1"/>
        <rFont val="Calibri"/>
        <family val="2"/>
        <charset val="1"/>
      </rPr>
      <t xml:space="preserve">amazon/company.json mag.capex.netAddBySegFY 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AWS 96.5 ÷ </t>
    </r>
    <r>
      <rPr>
        <sz val="11"/>
        <color theme="1"/>
        <rFont val="Noto Sans CJK SC"/>
        <family val="2"/>
      </rPr>
      <t xml:space="preserve">全公司 </t>
    </r>
    <r>
      <rPr>
        <sz val="11"/>
        <color theme="1"/>
        <rFont val="Calibri"/>
        <family val="2"/>
        <charset val="1"/>
      </rPr>
      <t xml:space="preserve">142.4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0.68</t>
    </r>
    <r>
      <rPr>
        <sz val="11"/>
        <color theme="1"/>
        <rFont val="Noto Sans CJK SC"/>
        <family val="2"/>
      </rPr>
      <t xml:space="preserve">（零售物流非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內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占比未知，以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占比代（偏高）</t>
    </r>
  </si>
  <si>
    <t xml:space="preserve">cap_g_ext</t>
  </si>
  <si>
    <r>
      <rPr>
        <sz val="11"/>
        <color theme="1"/>
        <rFont val="Noto Sans CJK SC"/>
        <family val="2"/>
      </rPr>
      <t xml:space="preserve">個股模型最後一年之後的資本支出年增（甲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外推）</t>
    </r>
  </si>
  <si>
    <r>
      <rPr>
        <sz val="11"/>
        <color theme="1"/>
        <rFont val="Noto Sans CJK SC"/>
        <family val="2"/>
      </rPr>
      <t xml:space="preserve">共識只到 </t>
    </r>
    <r>
      <rPr>
        <sz val="11"/>
        <color theme="1"/>
        <rFont val="Calibri"/>
        <family val="2"/>
        <charset val="1"/>
      </rPr>
      <t xml:space="preserve">FY28–FY29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指引）；之後以本值外推，基準＝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；最早一年之前取最早值</t>
    </r>
  </si>
  <si>
    <r>
      <rPr>
        <b val="true"/>
        <sz val="11"/>
        <rFont val="Cambria"/>
        <family val="0"/>
        <charset val="1"/>
      </rPr>
      <t xml:space="preserve">S1c. </t>
    </r>
    <r>
      <rPr>
        <b val="true"/>
        <sz val="11"/>
        <rFont val="Noto Sans CJK SC"/>
        <family val="2"/>
      </rPr>
      <t xml:space="preserve">中國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年後路徑（</t>
    </r>
    <r>
      <rPr>
        <b val="true"/>
        <sz val="11"/>
        <rFont val="Cambria"/>
        <family val="0"/>
        <charset val="1"/>
      </rPr>
      <t xml:space="preserve">Rystad</t>
    </r>
    <r>
      <rPr>
        <b val="true"/>
        <sz val="11"/>
        <rFont val="Noto Sans CJK SC"/>
        <family val="2"/>
      </rPr>
      <t xml:space="preserve">：容量 </t>
    </r>
    <r>
      <rPr>
        <b val="true"/>
        <sz val="11"/>
        <rFont val="Cambria"/>
        <family val="0"/>
        <charset val="1"/>
      </rPr>
      <t xml:space="preserve">× AI </t>
    </r>
    <r>
      <rPr>
        <b val="true"/>
        <sz val="11"/>
        <rFont val="Noto Sans CJK SC"/>
        <family val="2"/>
      </rPr>
      <t xml:space="preserve">占比，幾何／線性內插；</t>
    </r>
    <r>
      <rPr>
        <b val="true"/>
        <sz val="11"/>
        <rFont val="Cambria"/>
        <family val="0"/>
        <charset val="1"/>
      </rPr>
      <t xml:space="preserve">2031–32 </t>
    </r>
    <r>
      <rPr>
        <b val="true"/>
        <sz val="11"/>
        <rFont val="Noto Sans CJK SC"/>
        <family val="2"/>
      </rPr>
      <t xml:space="preserve">用 </t>
    </r>
    <r>
      <rPr>
        <b val="true"/>
        <sz val="11"/>
        <rFont val="Cambria"/>
        <family val="0"/>
        <charset val="1"/>
      </rPr>
      <t xml:space="preserve">g_lt</t>
    </r>
    <r>
      <rPr>
        <b val="true"/>
        <sz val="11"/>
        <rFont val="Noto Sans CJK SC"/>
        <family val="2"/>
      </rPr>
      <t xml:space="preserve">）</t>
    </r>
  </si>
  <si>
    <t xml:space="preserve">cn_tot26</t>
  </si>
  <si>
    <r>
      <rPr>
        <sz val="11"/>
        <color theme="1"/>
        <rFont val="Noto Sans CJK SC"/>
        <family val="2"/>
      </rPr>
      <t xml:space="preserve">中國資料中心總容量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</si>
  <si>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t xml:space="preserve">未說明</t>
  </si>
  <si>
    <t xml:space="preserve">GW</t>
  </si>
  <si>
    <t xml:space="preserve">SRC_GL_201</t>
  </si>
  <si>
    <r>
      <rPr>
        <sz val="11"/>
        <color theme="1"/>
        <rFont val="Calibri"/>
        <family val="2"/>
        <charset val="1"/>
      </rPr>
      <t xml:space="preserve">B#51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）；單一來源（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），區間 </t>
    </r>
    <r>
      <rPr>
        <sz val="11"/>
        <color theme="1"/>
        <rFont val="Calibri"/>
        <family val="2"/>
        <charset val="1"/>
      </rPr>
      <t xml:space="preserve">±10% 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用基準</t>
    </r>
  </si>
  <si>
    <t xml:space="preserve">cn_tot30</t>
  </si>
  <si>
    <r>
      <rPr>
        <sz val="11"/>
        <color theme="1"/>
        <rFont val="Noto Sans CJK SC"/>
        <family val="2"/>
      </rPr>
      <t xml:space="preserve">中國資料中心總容量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</si>
  <si>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B#51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Rystad &gt;60 GW </t>
    </r>
    <r>
      <rPr>
        <sz val="11"/>
        <color theme="1"/>
        <rFont val="Noto Sans CJK SC"/>
        <family val="2"/>
      </rPr>
      <t xml:space="preserve">取下限）；單一來源（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），區間 </t>
    </r>
    <r>
      <rPr>
        <sz val="11"/>
        <color theme="1"/>
        <rFont val="Calibri"/>
        <family val="2"/>
        <charset val="1"/>
      </rPr>
      <t xml:space="preserve">60–70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&gt;60</t>
    </r>
    <r>
      <rPr>
        <sz val="11"/>
        <color theme="1"/>
        <rFont val="Noto Sans CJK SC"/>
        <family val="2"/>
      </rPr>
      <t xml:space="preserve">」）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用基準</t>
    </r>
  </si>
  <si>
    <t xml:space="preserve">cn_sh26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</si>
  <si>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2026</t>
    </r>
  </si>
  <si>
    <t xml:space="preserve">cn_sh30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</si>
  <si>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</si>
  <si>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B#51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）。中國 </t>
    </r>
    <r>
      <rPr>
        <sz val="11"/>
        <color theme="1"/>
        <rFont val="Calibri"/>
        <family val="2"/>
        <charset val="1"/>
      </rPr>
      <t xml:space="preserve">2027–30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× (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比值，容量幾何內插、占比線性內插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；單一來源（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），區間 </t>
    </r>
    <r>
      <rPr>
        <sz val="11"/>
        <color theme="1"/>
        <rFont val="Calibri"/>
        <family val="2"/>
        <charset val="1"/>
      </rPr>
      <t xml:space="preserve">±10% 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用基準</t>
    </r>
  </si>
  <si>
    <r>
      <rPr>
        <b val="true"/>
        <sz val="11"/>
        <rFont val="Cambria"/>
        <family val="0"/>
        <charset val="1"/>
      </rPr>
      <t xml:space="preserve">S2. </t>
    </r>
    <r>
      <rPr>
        <b val="true"/>
        <sz val="11"/>
        <rFont val="Noto Sans CJK SC"/>
        <family val="2"/>
      </rPr>
      <t xml:space="preserve">基建延遲參數（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準時；</t>
    </r>
    <r>
      <rPr>
        <b val="true"/>
        <sz val="11"/>
        <rFont val="Cambria"/>
        <family val="0"/>
        <charset val="1"/>
      </rPr>
      <t xml:space="preserve">D1 </t>
    </r>
    <r>
      <rPr>
        <b val="true"/>
        <sz val="11"/>
        <rFont val="Noto Sans CJK SC"/>
        <family val="2"/>
      </rPr>
      <t xml:space="preserve">基準延遲；</t>
    </r>
    <r>
      <rPr>
        <b val="true"/>
        <sz val="11"/>
        <rFont val="Cambria"/>
        <family val="0"/>
        <charset val="1"/>
      </rPr>
      <t xml:space="preserve">D2 </t>
    </r>
    <r>
      <rPr>
        <b val="true"/>
        <sz val="11"/>
        <rFont val="Noto Sans CJK SC"/>
        <family val="2"/>
      </rPr>
      <t xml:space="preserve">嚴重延遲）</t>
    </r>
  </si>
  <si>
    <t xml:space="preserve">dly_d1_s</t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</si>
  <si>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：每年排定新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延後的比例</t>
    </r>
  </si>
  <si>
    <t xml:space="preserve">SRC_GL_202</t>
  </si>
  <si>
    <r>
      <rPr>
        <sz val="11"/>
        <color theme="1"/>
        <rFont val="Calibri"/>
        <family val="2"/>
        <charset val="1"/>
      </rPr>
      <t xml:space="preserve">D#15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，屬實）：</t>
    </r>
    <r>
      <rPr>
        <sz val="11"/>
        <color theme="1"/>
        <rFont val="Calibri"/>
        <family val="2"/>
        <charset val="1"/>
      </rPr>
      <t xml:space="preserve">2025 26%</t>
    </r>
    <r>
      <rPr>
        <sz val="11"/>
        <color theme="1"/>
        <rFont val="Noto Sans CJK SC"/>
        <family val="2"/>
      </rPr>
      <t xml:space="preserve">（容量）延遲；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30–50%</t>
    </r>
    <r>
      <rPr>
        <sz val="11"/>
        <color theme="1"/>
        <rFont val="Noto Sans CJK SC"/>
        <family val="2"/>
      </rPr>
      <t xml:space="preserve">；取中下。另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（專案數）延後商轉，單位不同不可相加（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</t>
    </r>
  </si>
  <si>
    <t xml:space="preserve">dly_d1_m</t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</si>
  <si>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：延後量的延遲月數</t>
    </r>
  </si>
  <si>
    <r>
      <rPr>
        <sz val="11"/>
        <color theme="1"/>
        <rFont val="Calibri"/>
        <family val="2"/>
        <charset val="1"/>
      </rPr>
      <t xml:space="preserve">D#16 Oracle </t>
    </r>
    <r>
      <rPr>
        <sz val="11"/>
        <color theme="1"/>
        <rFont val="Noto Sans CJK SC"/>
        <family val="2"/>
      </rPr>
      <t xml:space="preserve">部分站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D#19 Nebius NJ </t>
    </r>
    <r>
      <rPr>
        <sz val="11"/>
        <color theme="1"/>
        <rFont val="Noto Sans CJK SC"/>
        <family val="2"/>
      </rPr>
      <t xml:space="preserve">首期延遲 </t>
    </r>
    <r>
      <rPr>
        <sz val="11"/>
        <color theme="1"/>
        <rFont val="Calibri"/>
        <family val="2"/>
        <charset val="1"/>
      </rPr>
      <t xml:space="preserve">6–7</t>
    </r>
    <r>
      <rPr>
        <sz val="11"/>
        <color theme="1"/>
        <rFont val="Noto Sans CJK SC"/>
        <family val="2"/>
      </rPr>
      <t xml:space="preserve">（實際 </t>
    </r>
    <r>
      <rPr>
        <sz val="11"/>
        <color theme="1"/>
        <rFont val="Calibri"/>
        <family val="2"/>
        <charset val="1"/>
      </rPr>
      <t xml:space="preserve">10–11 </t>
    </r>
    <r>
      <rPr>
        <sz val="11"/>
        <color theme="1"/>
        <rFont val="Noto Sans CJK SC"/>
        <family val="2"/>
      </rPr>
      <t xml:space="preserve">月對目標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月）；</t>
    </r>
    <r>
      <rPr>
        <sz val="11"/>
        <color theme="1"/>
        <rFont val="Calibri"/>
        <family val="2"/>
        <charset val="1"/>
      </rPr>
      <t xml:space="preserve">low 3 [Assumed]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段：刪除 </t>
    </r>
    <r>
      <rPr>
        <sz val="11"/>
        <color theme="1"/>
        <rFont val="Calibri"/>
        <family val="2"/>
        <charset val="1"/>
      </rPr>
      <t xml:space="preserve">Denton D#18</t>
    </r>
    <r>
      <rPr>
        <sz val="11"/>
        <color theme="1"/>
        <rFont val="Noto Sans CJK SC"/>
        <family val="2"/>
      </rPr>
      <t xml:space="preserve">，原頁無月數）</t>
    </r>
  </si>
  <si>
    <t xml:space="preserve">dly_d2_bind</t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</si>
  <si>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未確保電力的新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再延比例</t>
    </r>
  </si>
  <si>
    <r>
      <rPr>
        <sz val="11"/>
        <color theme="1"/>
        <rFont val="Calibri"/>
        <family val="2"/>
        <charset val="1"/>
      </rPr>
      <t xml:space="preserve">D#2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D#3</t>
    </r>
    <r>
      <rPr>
        <sz val="11"/>
        <color theme="1"/>
        <rFont val="Noto Sans CJK SC"/>
        <family val="2"/>
      </rPr>
      <t xml:space="preserve">（大負載併網 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月以上）、</t>
    </r>
    <r>
      <rPr>
        <sz val="11"/>
        <color theme="1"/>
        <rFont val="Calibri"/>
        <family val="2"/>
        <charset val="1"/>
      </rPr>
      <t xml:space="preserve">D#5</t>
    </r>
    <r>
      <rPr>
        <sz val="11"/>
        <color theme="1"/>
        <rFont val="Noto Sans CJK SC"/>
        <family val="2"/>
      </rPr>
      <t xml:space="preserve">（發電側併網 </t>
    </r>
    <r>
      <rPr>
        <sz val="11"/>
        <color theme="1"/>
        <rFont val="Calibri"/>
        <family val="2"/>
        <charset val="1"/>
      </rPr>
      <t xml:space="preserve">48–60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LBNL </t>
    </r>
    <r>
      <rPr>
        <sz val="11"/>
        <color theme="1"/>
        <rFont val="Noto Sans CJK SC"/>
        <family val="2"/>
      </rPr>
      <t xml:space="preserve">轉述；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PJM </t>
    </r>
    <r>
      <rPr>
        <sz val="11"/>
        <color theme="1"/>
        <rFont val="Noto Sans CJK SC"/>
        <family val="2"/>
      </rPr>
      <t xml:space="preserve">平均）、</t>
    </r>
    <r>
      <rPr>
        <sz val="11"/>
        <color theme="1"/>
        <rFont val="Calibri"/>
        <family val="2"/>
        <charset val="1"/>
      </rPr>
      <t xml:space="preserve">D#7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D#8</t>
    </r>
    <r>
      <rPr>
        <sz val="11"/>
        <color theme="1"/>
        <rFont val="Noto Sans CJK SC"/>
        <family val="2"/>
      </rPr>
      <t xml:space="preserve">（渦輪 ≥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月）、</t>
    </r>
    <r>
      <rPr>
        <sz val="11"/>
        <color theme="1"/>
        <rFont val="Calibri"/>
        <family val="2"/>
        <charset val="1"/>
      </rPr>
      <t xml:space="preserve">D#11</t>
    </r>
    <r>
      <rPr>
        <sz val="11"/>
        <color theme="1"/>
        <rFont val="Noto Sans CJK SC"/>
        <family val="2"/>
      </rPr>
      <t xml:space="preserve">（升壓變壓器 </t>
    </r>
    <r>
      <rPr>
        <sz val="11"/>
        <color theme="1"/>
        <rFont val="Calibri"/>
        <family val="2"/>
        <charset val="1"/>
      </rPr>
      <t xml:space="preserve">37 </t>
    </r>
    <r>
      <rPr>
        <sz val="11"/>
        <color theme="1"/>
        <rFont val="Noto Sans CJK SC"/>
        <family val="2"/>
      </rPr>
      <t xml:space="preserve">月）長於建物工期 </t>
    </r>
    <r>
      <rPr>
        <sz val="11"/>
        <color theme="1"/>
        <rFont val="Calibri"/>
        <family val="2"/>
        <charset val="1"/>
      </rPr>
      <t xml:space="preserve">D#14</t>
    </r>
    <r>
      <rPr>
        <sz val="11"/>
        <color theme="1"/>
        <rFont val="Noto Sans CJK SC"/>
        <family val="2"/>
      </rPr>
      <t xml:space="preserve">；反證 </t>
    </r>
    <r>
      <rPr>
        <sz val="11"/>
        <color theme="1"/>
        <rFont val="Calibri"/>
        <family val="2"/>
        <charset val="1"/>
      </rPr>
      <t xml:space="preserve">D#25</t>
    </r>
    <r>
      <rPr>
        <sz val="11"/>
        <color theme="1"/>
        <rFont val="Noto Sans CJK SC"/>
        <family val="2"/>
      </rPr>
      <t xml:space="preserve">（表後發電）、</t>
    </r>
    <r>
      <rPr>
        <sz val="11"/>
        <color theme="1"/>
        <rFont val="Calibri"/>
        <family val="2"/>
        <charset val="1"/>
      </rPr>
      <t xml:space="preserve">D#7</t>
    </r>
    <r>
      <rPr>
        <sz val="11"/>
        <color theme="1"/>
        <rFont val="Noto Sans CJK SC"/>
        <family val="2"/>
      </rPr>
      <t xml:space="preserve">（許多案子渦輪不卡關）→ 不高於 </t>
    </r>
    <r>
      <rPr>
        <sz val="11"/>
        <color theme="1"/>
        <rFont val="Calibri"/>
        <family val="2"/>
        <charset val="1"/>
      </rPr>
      <t xml:space="preserve">50%</t>
    </r>
  </si>
  <si>
    <t xml:space="preserve">dly_d2_m</t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</si>
  <si>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：綁定部分再延月數</t>
    </r>
  </si>
  <si>
    <r>
      <rPr>
        <sz val="11"/>
        <color theme="1"/>
        <rFont val="Calibri"/>
        <family val="2"/>
        <charset val="1"/>
      </rPr>
      <t xml:space="preserve">B_summary 5.3</t>
    </r>
    <r>
      <rPr>
        <sz val="11"/>
        <color theme="1"/>
        <rFont val="Noto Sans CJK SC"/>
        <family val="2"/>
      </rPr>
      <t xml:space="preserve">：再延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</t>
    </r>
  </si>
  <si>
    <t xml:space="preserve">dly_d2_y0</t>
  </si>
  <si>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適用起年（原排定上線年）</t>
    </r>
  </si>
  <si>
    <r>
      <rPr>
        <sz val="11"/>
        <color theme="1"/>
        <rFont val="Calibri"/>
        <family val="2"/>
        <charset val="1"/>
      </rPr>
      <t xml:space="preserve">B_summary 5.3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2027–2028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</t>
    </r>
  </si>
  <si>
    <t xml:space="preserve">dly_d2_y1</t>
  </si>
  <si>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適用迄年（原排定上線年）</t>
    </r>
  </si>
  <si>
    <t xml:space="preserve">同上</t>
  </si>
  <si>
    <r>
      <rPr>
        <b val="true"/>
        <sz val="11"/>
        <rFont val="Cambria"/>
        <family val="0"/>
        <charset val="1"/>
      </rPr>
      <t xml:space="preserve">S3. </t>
    </r>
    <r>
      <rPr>
        <b val="true"/>
        <sz val="11"/>
        <rFont val="Noto Sans CJK SC"/>
        <family val="2"/>
      </rPr>
      <t xml:space="preserve">玩家最新觀測（觀測年：年底值＝觀測值＋觀測後至年底的園區上線量）</t>
    </r>
  </si>
  <si>
    <t xml:space="preserve">obs_msft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</si>
  <si>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自有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末）</t>
    </r>
  </si>
  <si>
    <t xml:space="preserve">IT</t>
  </si>
  <si>
    <t xml:space="preserve">MW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</si>
  <si>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</si>
  <si>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SRC_GL_010</t>
  </si>
  <si>
    <r>
      <rPr>
        <sz val="11"/>
        <color theme="1"/>
        <rFont val="Calibri"/>
        <family val="2"/>
        <charset val="1"/>
      </rPr>
      <t xml:space="preserve">microsoft/company.json mag.mw.aiOpenIT</t>
    </r>
    <r>
      <rPr>
        <sz val="11"/>
        <color theme="1"/>
        <rFont val="Noto Sans CJK SC"/>
        <family val="2"/>
      </rPr>
      <t xml:space="preserve">（三法交叉，未用營收）；</t>
    </r>
    <r>
      <rPr>
        <sz val="11"/>
        <color theme="1"/>
        <rFont val="Calibri"/>
        <family val="2"/>
        <charset val="1"/>
      </rPr>
      <t xml:space="preserve">A#13 </t>
    </r>
    <r>
      <rPr>
        <sz val="11"/>
        <color theme="1"/>
        <rFont val="Noto Sans CJK SC"/>
        <family val="2"/>
      </rPr>
      <t xml:space="preserve">同值</t>
    </r>
  </si>
  <si>
    <t xml:space="preserve">obsd_msft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</si>
  <si>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觀測時點</t>
    </r>
  </si>
  <si>
    <t xml:space="preserve">Verified</t>
  </si>
  <si>
    <t xml:space="preserve">2026-06-30</t>
  </si>
  <si>
    <t xml:space="preserve">obschip_googl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</si>
  <si>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× Google </t>
    </r>
    <r>
      <rPr>
        <sz val="11"/>
        <color theme="1"/>
        <rFont val="Noto Sans CJK SC"/>
        <family val="2"/>
      </rPr>
      <t xml:space="preserve">倍數＝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</si>
  <si>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t xml:space="preserve">晶片</t>
  </si>
  <si>
    <t xml:space="preserve">SRC_GL_020</t>
  </si>
  <si>
    <r>
      <rPr>
        <sz val="11"/>
        <color theme="1"/>
        <rFont val="Calibri"/>
        <family val="2"/>
        <charset val="1"/>
      </rPr>
      <t xml:space="preserve">alphabet/company.json scenarios.mwPath.note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Epoch AI Chip Owners </t>
    </r>
    <r>
      <rPr>
        <sz val="11"/>
        <color theme="1"/>
        <rFont val="Noto Sans CJK SC"/>
        <family val="2"/>
      </rPr>
      <t xml:space="preserve">晶片功耗整理 </t>
    </r>
    <r>
      <rPr>
        <sz val="11"/>
        <color theme="1"/>
        <rFont val="Calibri"/>
        <family val="2"/>
        <charset val="1"/>
      </rPr>
      <t xml:space="preserve">3,841 MW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＝本值 </t>
    </r>
    <r>
      <rPr>
        <sz val="11"/>
        <color theme="1"/>
        <rFont val="Calibri"/>
        <family val="2"/>
        <charset val="1"/>
      </rPr>
      <t xml:space="preserve">× Google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ovr25_googl ÷ 2025 </t>
    </r>
    <r>
      <rPr>
        <sz val="11"/>
        <color theme="1"/>
        <rFont val="Noto Sans CJK SC"/>
        <family val="2"/>
      </rPr>
      <t xml:space="preserve">晶片功耗），原 </t>
    </r>
    <r>
      <rPr>
        <sz val="11"/>
        <color theme="1"/>
        <rFont val="Calibri"/>
        <family val="2"/>
        <charset val="1"/>
      </rPr>
      <t xml:space="preserve">× 1.65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6,338</t>
    </r>
  </si>
  <si>
    <t xml:space="preserve">obsd_googl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</si>
  <si>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觀測時點</t>
    </r>
  </si>
  <si>
    <t xml:space="preserve">obs_amzn</t>
  </si>
  <si>
    <r>
      <rPr>
        <sz val="11"/>
        <color theme="1"/>
        <rFont val="Calibri"/>
        <family val="2"/>
        <charset val="1"/>
      </rPr>
      <t xml:space="preserve">Amazon 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</si>
  <si>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amazon/company.json mag.mw.aiInServiceIT</t>
    </r>
    <r>
      <rPr>
        <sz val="11"/>
        <color theme="1"/>
        <rFont val="Noto Sans CJK SC"/>
        <family val="2"/>
      </rPr>
      <t xml:space="preserve">（第三方估計）；</t>
    </r>
    <r>
      <rPr>
        <sz val="11"/>
        <color theme="1"/>
        <rFont val="Calibri"/>
        <family val="2"/>
        <charset val="1"/>
      </rPr>
      <t xml:space="preserve">A#40 </t>
    </r>
    <r>
      <rPr>
        <sz val="11"/>
        <color theme="1"/>
        <rFont val="Noto Sans CJK SC"/>
        <family val="2"/>
      </rPr>
      <t xml:space="preserve">同值</t>
    </r>
  </si>
  <si>
    <t xml:space="preserve">obsd_amzn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</si>
  <si>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觀測時點</t>
    </r>
  </si>
  <si>
    <t xml:space="preserve">obs_orcl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</si>
  <si>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已連網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</si>
  <si>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t xml:space="preserve">SRC_GL_040</t>
  </si>
  <si>
    <r>
      <rPr>
        <sz val="11"/>
        <color theme="1"/>
        <rFont val="Calibri"/>
        <family val="2"/>
        <charset val="1"/>
      </rPr>
      <t xml:space="preserve">oracle/company.json fleet.openMw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1,835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交付 </t>
    </r>
    <r>
      <rPr>
        <sz val="11"/>
        <color theme="1"/>
        <rFont val="Calibri"/>
        <family val="2"/>
        <charset val="1"/>
      </rPr>
      <t xml:space="preserve">850 ÷ 1.2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A#64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A#65</t>
    </r>
    <r>
      <rPr>
        <sz val="11"/>
        <color theme="1"/>
        <rFont val="Noto Sans CJK SC"/>
        <family val="2"/>
      </rPr>
      <t xml:space="preserve">（屬實）</t>
    </r>
  </si>
  <si>
    <t xml:space="preserve">obsd_orcl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</si>
  <si>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觀測時點</t>
    </r>
  </si>
  <si>
    <t xml:space="preserve">2026-08-31</t>
  </si>
  <si>
    <t xml:space="preserve">obs_crwv</t>
  </si>
  <si>
    <r>
      <rPr>
        <sz val="11"/>
        <color theme="1"/>
        <rFont val="Calibri"/>
        <family val="2"/>
        <charset val="1"/>
      </rPr>
      <t xml:space="preserve">CoreWeave active power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</si>
  <si>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t xml:space="preserve">Interested-party</t>
  </si>
  <si>
    <t xml:space="preserve">SRC_GL_050</t>
  </si>
  <si>
    <r>
      <rPr>
        <sz val="11"/>
        <color theme="1"/>
        <rFont val="Calibri"/>
        <family val="2"/>
        <charset val="1"/>
      </rPr>
      <t xml:space="preserve">A#81</t>
    </r>
    <r>
      <rPr>
        <sz val="11"/>
        <color theme="1"/>
        <rFont val="Noto Sans CJK SC"/>
        <family val="2"/>
      </rPr>
      <t xml:space="preserve">（屬實）；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年底已有指引值，本觀測不進計算</t>
    </r>
  </si>
  <si>
    <t xml:space="preserve">obsd_crwv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</si>
  <si>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觀測時點</t>
    </r>
  </si>
  <si>
    <t xml:space="preserve">obs_xai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</si>
  <si>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nameplate compute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</si>
  <si>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B#46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季報，剛上市）；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年底已有目標值，本觀測不進計算</t>
    </r>
  </si>
  <si>
    <t xml:space="preserve">obsd_xai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</si>
  <si>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觀測時點</t>
    </r>
  </si>
  <si>
    <r>
      <rPr>
        <b val="true"/>
        <sz val="11"/>
        <rFont val="Cambria"/>
        <family val="0"/>
        <charset val="1"/>
      </rPr>
      <t xml:space="preserve">S3b. 2025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覆寫與區間（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段更正；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推得者另依 </t>
    </r>
    <r>
      <rPr>
        <b val="true"/>
        <sz val="11"/>
        <rFont val="Cambria"/>
        <family val="0"/>
        <charset val="1"/>
      </rPr>
      <t xml:space="preserve">k_chip2it </t>
    </r>
    <r>
      <rPr>
        <b val="true"/>
        <sz val="11"/>
        <rFont val="Noto Sans CJK SC"/>
        <family val="2"/>
      </rPr>
      <t xml:space="preserve">區間）</t>
    </r>
  </si>
  <si>
    <t xml:space="preserve">ovr25_googl</t>
  </si>
  <si>
    <r>
      <rPr>
        <sz val="11"/>
        <color theme="1"/>
        <rFont val="Calibri"/>
        <family val="2"/>
        <charset val="1"/>
      </rPr>
      <t xml:space="preserve">Google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5.1 </t>
    </r>
    <r>
      <rPr>
        <sz val="11"/>
        <color theme="1"/>
        <rFont val="Noto Sans CJK SC"/>
        <family val="2"/>
      </rPr>
      <t xml:space="preserve">更正）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</si>
  <si>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 × 1.45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× 1.65 </t>
    </r>
    <r>
      <rPr>
        <sz val="11"/>
        <color theme="1"/>
        <rFont val="Noto Sans CJK SC"/>
        <family val="2"/>
      </rPr>
      <t xml:space="preserve">再酌減部署落差；</t>
    </r>
    <r>
      <rPr>
        <sz val="11"/>
        <color theme="1"/>
        <rFont val="Calibri"/>
        <family val="2"/>
        <charset val="1"/>
      </rPr>
      <t xml:space="preserve">4.9 </t>
    </r>
    <r>
      <rPr>
        <sz val="11"/>
        <color theme="1"/>
        <rFont val="Noto Sans CJK SC"/>
        <family val="2"/>
      </rPr>
      <t xml:space="preserve">只作上緣。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倍數＝本值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晶片功耗，用於 </t>
    </r>
    <r>
      <rPr>
        <sz val="11"/>
        <color theme="1"/>
        <rFont val="Calibri"/>
        <family val="2"/>
        <charset val="1"/>
      </rPr>
      <t xml:space="preserve">2023–24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觀測</t>
    </r>
  </si>
  <si>
    <t xml:space="preserve">ovr25_amzn</t>
  </si>
  <si>
    <r>
      <rPr>
        <sz val="11"/>
        <color theme="1"/>
        <rFont val="Calibri"/>
        <family val="2"/>
        <charset val="1"/>
      </rPr>
      <t xml:space="preserve">Amazon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5.2 </t>
    </r>
    <r>
      <rPr>
        <sz val="11"/>
        <color theme="1"/>
        <rFont val="Noto Sans CJK SC"/>
        <family val="2"/>
      </rPr>
      <t xml:space="preserve">更正）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</si>
  <si>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0.7–1.4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倍數＝本值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晶片功耗</t>
    </r>
  </si>
  <si>
    <t xml:space="preserve">msft_guardian</t>
  </si>
  <si>
    <r>
      <rPr>
        <sz val="11"/>
        <color theme="1"/>
        <rFont val="Calibri"/>
        <family val="2"/>
        <charset val="1"/>
      </rPr>
      <t xml:space="preserve">Microsoft AI </t>
    </r>
    <r>
      <rPr>
        <sz val="11"/>
        <color theme="1"/>
        <rFont val="Noto Sans CJK SC"/>
        <family val="2"/>
      </rPr>
      <t xml:space="preserve">容量反證（</t>
    </r>
    <r>
      <rPr>
        <sz val="11"/>
        <color theme="1"/>
        <rFont val="Calibri"/>
        <family val="2"/>
        <charset val="1"/>
      </rPr>
      <t xml:space="preserve">Guardian </t>
    </r>
    <r>
      <rPr>
        <sz val="11"/>
        <color theme="1"/>
        <rFont val="Noto Sans CJK SC"/>
        <family val="2"/>
      </rPr>
      <t xml:space="preserve">估，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</si>
  <si>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D#24 </t>
    </r>
    <r>
      <rPr>
        <sz val="11"/>
        <color theme="1"/>
        <rFont val="Noto Sans CJK SC"/>
        <family val="2"/>
      </rPr>
      <t xml:space="preserve">補充（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段屬實）：</t>
    </r>
    <r>
      <rPr>
        <sz val="11"/>
        <color theme="1"/>
        <rFont val="Calibri"/>
        <family val="2"/>
        <charset val="1"/>
      </rPr>
      <t xml:space="preserve">Guardian </t>
    </r>
    <r>
      <rPr>
        <sz val="11"/>
        <color theme="1"/>
        <rFont val="Noto Sans CJK SC"/>
        <family val="2"/>
      </rPr>
      <t xml:space="preserve">估約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，對照公司稱 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稱估計不準。單點報導，區間 </t>
    </r>
    <r>
      <rPr>
        <sz val="11"/>
        <color theme="1"/>
        <rFont val="Calibri"/>
        <family val="2"/>
        <charset val="1"/>
      </rPr>
      <t xml:space="preserve">1.0–1.5 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以基準 </t>
    </r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Noto Sans CJK SC"/>
        <family val="2"/>
      </rPr>
      <t xml:space="preserve">放寬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區間下緣，不改基準</t>
    </r>
  </si>
  <si>
    <t xml:space="preserve">rng25_neo</t>
  </si>
  <si>
    <r>
      <rPr>
        <sz val="11"/>
        <color theme="1"/>
        <rFont val="Noto Sans CJK SC"/>
        <family val="2"/>
      </rPr>
      <t xml:space="preserve">其他新雲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年底區間</t>
    </r>
  </si>
  <si>
    <t xml:space="preserve">SRC_GL_205</t>
  </si>
  <si>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其他新雲最佳估計（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6.1 </t>
    </r>
    <r>
      <rPr>
        <sz val="11"/>
        <color theme="1"/>
        <rFont val="Noto Sans CJK SC"/>
        <family val="2"/>
      </rPr>
      <t xml:space="preserve">加總採用）；基準須＝</t>
    </r>
    <r>
      <rPr>
        <sz val="11"/>
        <color theme="1"/>
        <rFont val="Calibri"/>
        <family val="2"/>
        <charset val="1"/>
      </rPr>
      <t xml:space="preserve">Y1 mw_neo 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Checks K11</t>
    </r>
    <r>
      <rPr>
        <sz val="11"/>
        <color theme="1"/>
        <rFont val="Noto Sans CJK SC"/>
        <family val="2"/>
      </rPr>
      <t xml:space="preserve">）</t>
    </r>
  </si>
  <si>
    <t xml:space="preserve">rng25_cn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</si>
  <si>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區間（設施）</t>
    </r>
  </si>
  <si>
    <t xml:space="preserve">設施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</si>
  <si>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Rystad 32 GW 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0.3–0.35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未給）；基準須＝</t>
    </r>
    <r>
      <rPr>
        <sz val="11"/>
        <color theme="1"/>
        <rFont val="Calibri"/>
        <family val="2"/>
        <charset val="1"/>
      </rPr>
      <t xml:space="preserve">Y1 mw_cn 2025</t>
    </r>
  </si>
  <si>
    <t xml:space="preserve">rng26_cn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</si>
  <si>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區間（設施）</t>
    </r>
  </si>
  <si>
    <r>
      <rPr>
        <sz val="11"/>
        <color theme="1"/>
        <rFont val="Calibri"/>
        <family val="2"/>
        <charset val="1"/>
      </rPr>
      <t xml:space="preserve">B_summary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12–16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B#51 Rystad 40 GW × 39%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SemiAnalysis &gt;24 GW </t>
    </r>
    <r>
      <rPr>
        <sz val="11"/>
        <color theme="1"/>
        <rFont val="Noto Sans CJK SC"/>
        <family val="2"/>
      </rPr>
      <t xml:space="preserve">總量只佐證）；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端指示基準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；基準須＝</t>
    </r>
    <r>
      <rPr>
        <sz val="11"/>
        <color theme="1"/>
        <rFont val="Calibri"/>
        <family val="2"/>
        <charset val="1"/>
      </rPr>
      <t xml:space="preserve">Y1 mw_cn 2026</t>
    </r>
  </si>
  <si>
    <t xml:space="preserve">other_incl_china</t>
  </si>
  <si>
    <r>
      <rPr>
        <sz val="11"/>
        <color theme="1"/>
        <rFont val="Noto Sans CJK SC"/>
        <family val="2"/>
      </rPr>
      <t xml:space="preserve">開關：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』是否含中國買家晶片（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＝含 → 『其他』用扣除中國後的 </t>
    </r>
    <r>
      <rPr>
        <sz val="11"/>
        <color theme="1"/>
        <rFont val="Calibri"/>
        <family val="2"/>
        <charset val="1"/>
      </rPr>
      <t xml:space="preserve">oth_excn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＝不含 → 用 </t>
    </r>
    <r>
      <rPr>
        <sz val="11"/>
        <color theme="1"/>
        <rFont val="Calibri"/>
        <family val="2"/>
        <charset val="1"/>
      </rPr>
      <t xml:space="preserve">oth_full</t>
    </r>
    <r>
      <rPr>
        <sz val="11"/>
        <color theme="1"/>
        <rFont val="Noto Sans CJK SC"/>
        <family val="2"/>
      </rPr>
      <t xml:space="preserve">）</t>
    </r>
  </si>
  <si>
    <t xml:space="preserve">開關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</si>
  <si>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擁有者表沒有中國類，中國買家的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晶片很可能在 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帳另有中國列（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），不扣會重複。</t>
    </r>
    <r>
      <rPr>
        <sz val="11"/>
        <color theme="1"/>
        <rFont val="Calibri"/>
        <family val="2"/>
        <charset val="1"/>
      </rPr>
      <t xml:space="preserve">Decisions GL01-22</t>
    </r>
  </si>
  <si>
    <t xml:space="preserve">oth_full</t>
  </si>
  <si>
    <r>
      <rPr>
        <sz val="11"/>
        <color theme="1"/>
        <rFont val="Noto Sans CJK SC"/>
        <family val="2"/>
      </rPr>
      <t xml:space="preserve">『其他』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扣新雲；不扣中國）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</si>
  <si>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1.8–3.0 GW </t>
    </r>
    <r>
      <rPr>
        <sz val="11"/>
        <color theme="1"/>
        <rFont val="Noto Sans CJK SC"/>
        <family val="2"/>
      </rPr>
      <t xml:space="preserve">設施 </t>
    </r>
    <r>
      <rPr>
        <sz val="11"/>
        <color theme="1"/>
        <rFont val="Calibri"/>
        <family val="2"/>
        <charset val="1"/>
      </rPr>
      <t xml:space="preserve">÷ 1.2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1.5–2.5 IT</t>
    </r>
    <r>
      <rPr>
        <sz val="11"/>
        <color theme="1"/>
        <rFont val="Noto Sans CJK SC"/>
        <family val="2"/>
      </rPr>
      <t xml:space="preserve">（原基準 </t>
    </r>
    <r>
      <rPr>
        <sz val="11"/>
        <color theme="1"/>
        <rFont val="Calibri"/>
        <family val="2"/>
        <charset val="1"/>
      </rPr>
      <t xml:space="preserve">2.4 </t>
    </r>
    <r>
      <rPr>
        <sz val="11"/>
        <color theme="1"/>
        <rFont val="Noto Sans CJK SC"/>
        <family val="2"/>
      </rPr>
      <t xml:space="preserve">設施＝</t>
    </r>
    <r>
      <rPr>
        <sz val="11"/>
        <color theme="1"/>
        <rFont val="Calibri"/>
        <family val="2"/>
        <charset val="1"/>
      </rPr>
      <t xml:space="preserve">2.0 IT</t>
    </r>
    <r>
      <rPr>
        <sz val="11"/>
        <color theme="1"/>
        <rFont val="Noto Sans CJK SC"/>
        <family val="2"/>
      </rPr>
      <t xml:space="preserve">）</t>
    </r>
  </si>
  <si>
    <t xml:space="preserve">oth_excn</t>
  </si>
  <si>
    <r>
      <rPr>
        <sz val="11"/>
        <color theme="1"/>
        <rFont val="Noto Sans CJK SC"/>
        <family val="2"/>
      </rPr>
      <t xml:space="preserve">『其他』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年底（扣除中國部分；無法拆分，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</si>
  <si>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中的中國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部分無證據可拆（已搜尋：中國 </t>
    </r>
    <r>
      <rPr>
        <sz val="11"/>
        <color theme="1"/>
        <rFont val="Calibri"/>
        <family val="2"/>
        <charset val="1"/>
      </rPr>
      <t xml:space="preserve">2025 NVIDIA </t>
    </r>
    <r>
      <rPr>
        <sz val="11"/>
        <color theme="1"/>
        <rFont val="Noto Sans CJK SC"/>
        <family val="2"/>
      </rPr>
      <t xml:space="preserve">晶片功耗未找到；</t>
    </r>
    <r>
      <rPr>
        <sz val="11"/>
        <color theme="1"/>
        <rFont val="Calibri"/>
        <family val="2"/>
        <charset val="1"/>
      </rPr>
      <t xml:space="preserve">B#57 H200 40 </t>
    </r>
    <r>
      <rPr>
        <sz val="11"/>
        <color theme="1"/>
        <rFont val="Noto Sans CJK SC"/>
        <family val="2"/>
      </rPr>
      <t xml:space="preserve">萬顆為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許可）。基準降為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0.5–2.0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端核對指示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</si>
  <si>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S4. </t>
    </r>
    <r>
      <rPr>
        <b val="true"/>
        <sz val="11"/>
        <rFont val="Noto Sans CJK SC"/>
        <family val="2"/>
      </rPr>
      <t xml:space="preserve">合約與目標（對照用，不進加總）</t>
    </r>
  </si>
  <si>
    <t xml:space="preserve">ctr_oai_90d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</si>
  <si>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天新簽容量（含 </t>
    </r>
    <r>
      <rPr>
        <sz val="11"/>
        <color theme="1"/>
        <rFont val="Calibri"/>
        <family val="2"/>
        <charset val="1"/>
      </rPr>
      <t xml:space="preserve">AWS 2 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</si>
  <si>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Three of those 10 gigawatts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GW </t>
    </r>
    <r>
      <rPr>
        <sz val="11"/>
        <color theme="1"/>
        <rFont val="Noto Sans CJK SC"/>
        <family val="2"/>
      </rPr>
      <t xml:space="preserve">簽約總量為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自述</t>
    </r>
  </si>
  <si>
    <t xml:space="preserve">ctr_crwv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</si>
  <si>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已簽約電力（</t>
    </r>
    <r>
      <rPr>
        <sz val="11"/>
        <color theme="1"/>
        <rFont val="Calibri"/>
        <family val="2"/>
        <charset val="1"/>
      </rPr>
      <t xml:space="preserve">contracted</t>
    </r>
    <r>
      <rPr>
        <sz val="11"/>
        <color theme="1"/>
        <rFont val="Noto Sans CJK SC"/>
        <family val="2"/>
      </rPr>
      <t xml:space="preserve">）</t>
    </r>
  </si>
  <si>
    <t xml:space="preserve">SRC_GL_200</t>
  </si>
  <si>
    <r>
      <rPr>
        <sz val="11"/>
        <color theme="1"/>
        <rFont val="Calibri"/>
        <family val="2"/>
        <charset val="1"/>
      </rPr>
      <t xml:space="preserve">A#85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法說）</t>
    </r>
  </si>
  <si>
    <t xml:space="preserve">ctr_nbis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</si>
  <si>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已簽約電力（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年底目標 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）</t>
    </r>
  </si>
  <si>
    <t xml:space="preserve">SRC_GL_061</t>
  </si>
  <si>
    <r>
      <rPr>
        <sz val="11"/>
        <color theme="1"/>
        <rFont val="Calibri"/>
        <family val="2"/>
        <charset val="1"/>
      </rPr>
      <t xml:space="preserve">nebius consensus companyGuidance.FY26.contractedPowerGW 5.0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A#98 &gt;3.5 GW</t>
    </r>
    <r>
      <rPr>
        <sz val="11"/>
        <color theme="1"/>
        <rFont val="Noto Sans CJK SC"/>
        <family val="2"/>
      </rPr>
      <t xml:space="preserve">（未抽查）</t>
    </r>
  </si>
  <si>
    <t xml:space="preserve">ctr_orcl_oai</t>
  </si>
  <si>
    <r>
      <rPr>
        <sz val="11"/>
        <color theme="1"/>
        <rFont val="Calibri"/>
        <family val="2"/>
        <charset val="1"/>
      </rPr>
      <t xml:space="preserve">Oracle–OpenAI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容量（不含 </t>
    </r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</si>
  <si>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A#71</t>
    </r>
    <r>
      <rPr>
        <sz val="11"/>
        <color theme="1"/>
        <rFont val="Noto Sans CJK SC"/>
        <family val="2"/>
      </rPr>
      <t xml:space="preserve">（未抽查）；四站設施 </t>
    </r>
    <r>
      <rPr>
        <sz val="11"/>
        <color theme="1"/>
        <rFont val="Calibri"/>
        <family val="2"/>
        <charset val="1"/>
      </rPr>
      <t xml:space="preserve">6.9 GW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T2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A#72–75 </t>
    </r>
    <r>
      <rPr>
        <sz val="11"/>
        <color theme="1"/>
        <rFont val="Noto Sans CJK SC"/>
        <family val="2"/>
      </rPr>
      <t xml:space="preserve">屬實）</t>
    </r>
  </si>
  <si>
    <t xml:space="preserve">ctr_amzn_ant</t>
  </si>
  <si>
    <r>
      <rPr>
        <sz val="11"/>
        <color theme="1"/>
        <rFont val="Calibri"/>
        <family val="2"/>
        <charset val="1"/>
      </rPr>
      <t xml:space="preserve">Anthropic–AWS </t>
    </r>
    <r>
      <rPr>
        <sz val="11"/>
        <color theme="1"/>
        <rFont val="Noto Sans CJK SC"/>
        <family val="2"/>
      </rPr>
      <t xml:space="preserve">合約上限</t>
    </r>
  </si>
  <si>
    <r>
      <rPr>
        <sz val="11"/>
        <color theme="1"/>
        <rFont val="Calibri"/>
        <family val="2"/>
        <charset val="1"/>
      </rPr>
      <t xml:space="preserve">A#45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段更正標記）；不進加總（園區列 </t>
    </r>
    <r>
      <rPr>
        <sz val="11"/>
        <color theme="1"/>
        <rFont val="Calibri"/>
        <family val="2"/>
        <charset val="1"/>
      </rPr>
      <t xml:space="preserve">New Carlisle </t>
    </r>
    <r>
      <rPr>
        <sz val="11"/>
        <color theme="1"/>
        <rFont val="Noto Sans CJK SC"/>
        <family val="2"/>
      </rPr>
      <t xml:space="preserve">已計）</t>
    </r>
  </si>
  <si>
    <t xml:space="preserve">ctr_msft_ant</t>
  </si>
  <si>
    <r>
      <rPr>
        <sz val="11"/>
        <color theme="1"/>
        <rFont val="Calibri"/>
        <family val="2"/>
        <charset val="1"/>
      </rPr>
      <t xml:space="preserve">Anthropic–Azure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$30B </t>
    </r>
    <r>
      <rPr>
        <sz val="11"/>
        <color theme="1"/>
        <rFont val="Noto Sans CJK SC"/>
        <family val="2"/>
      </rPr>
      <t xml:space="preserve">確定（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未揭露）＋額外至多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（上限）</t>
    </r>
  </si>
  <si>
    <r>
      <rPr>
        <sz val="11"/>
        <color theme="1"/>
        <rFont val="Calibri"/>
        <family val="2"/>
        <charset val="1"/>
      </rPr>
      <t xml:space="preserve">A#19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$30B Azure </t>
    </r>
    <r>
      <rPr>
        <sz val="11"/>
        <color theme="1"/>
        <rFont val="Noto Sans CJK SC"/>
        <family val="2"/>
      </rPr>
      <t xml:space="preserve">確定採購，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未揭露；另加額外至多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，上限、非確定量；取代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段『全案上限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』）；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2033-05 </t>
    </r>
    <r>
      <rPr>
        <sz val="11"/>
        <color theme="1"/>
        <rFont val="Noto Sans CJK SC"/>
        <family val="2"/>
      </rPr>
      <t xml:space="preserve">付款；上線量未揭露</t>
    </r>
  </si>
  <si>
    <t xml:space="preserve">ctr_googl_ant</t>
  </si>
  <si>
    <r>
      <rPr>
        <sz val="11"/>
        <color theme="1"/>
        <rFont val="Calibri"/>
        <family val="2"/>
        <charset val="1"/>
      </rPr>
      <t xml:space="preserve">Anthropic–Google Cloud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上線）</t>
    </r>
  </si>
  <si>
    <r>
      <rPr>
        <sz val="11"/>
        <color theme="1"/>
        <rFont val="Calibri"/>
        <family val="2"/>
        <charset val="1"/>
      </rPr>
      <t xml:space="preserve">A#29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well over 1 GW</t>
    </r>
    <r>
      <rPr>
        <sz val="11"/>
        <color theme="1"/>
        <rFont val="Noto Sans CJK SC"/>
        <family val="2"/>
      </rPr>
      <t xml:space="preserve">）</t>
    </r>
  </si>
  <si>
    <t xml:space="preserve">tgt_xai_27</t>
  </si>
  <si>
    <r>
      <rPr>
        <sz val="11"/>
        <color theme="1"/>
        <rFont val="Calibri"/>
        <family val="2"/>
        <charset val="1"/>
      </rPr>
      <t xml:space="preserve">xAI 2027 </t>
    </r>
    <r>
      <rPr>
        <sz val="11"/>
        <color theme="1"/>
        <rFont val="Noto Sans CJK SC"/>
        <family val="2"/>
      </rPr>
      <t xml:space="preserve">年底宣稱（</t>
    </r>
    <r>
      <rPr>
        <sz val="11"/>
        <color theme="1"/>
        <rFont val="Calibri"/>
        <family val="2"/>
        <charset val="1"/>
      </rPr>
      <t xml:space="preserve">Musk</t>
    </r>
    <r>
      <rPr>
        <sz val="11"/>
        <color theme="1"/>
        <rFont val="Noto Sans CJK SC"/>
        <family val="2"/>
      </rPr>
      <t xml:space="preserve">「接近 </t>
    </r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」；不入主路徑，只作 </t>
    </r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敏感度）</t>
    </r>
  </si>
  <si>
    <r>
      <rPr>
        <sz val="11"/>
        <color theme="1"/>
        <rFont val="Calibri"/>
        <family val="2"/>
        <charset val="1"/>
      </rPr>
      <t xml:space="preserve">B#46</t>
    </r>
    <r>
      <rPr>
        <sz val="11"/>
        <color theme="1"/>
        <rFont val="Noto Sans CJK SC"/>
        <family val="2"/>
      </rPr>
      <t xml:space="preserve">（屬實為引述正確；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單一說法，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剛上市；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自稱 </t>
    </r>
    <r>
      <rPr>
        <sz val="11"/>
        <color theme="1"/>
        <rFont val="Calibri"/>
        <family val="2"/>
        <charset val="1"/>
      </rPr>
      <t xml:space="preserve">20 GW </t>
    </r>
    <r>
      <rPr>
        <sz val="11"/>
        <color theme="1"/>
        <rFont val="Noto Sans CJK SC"/>
        <family val="2"/>
      </rPr>
      <t xml:space="preserve">不會達成）。主路徑 </t>
    </r>
    <r>
      <rPr>
        <sz val="11"/>
        <color theme="1"/>
        <rFont val="Calibri"/>
        <family val="2"/>
        <charset val="1"/>
      </rPr>
      <t xml:space="preserve">xAI 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園區（無）；</t>
    </r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頁列『主路徑＋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宣稱增量』</t>
    </r>
  </si>
  <si>
    <t xml:space="preserve">tgt_msft_32</t>
  </si>
  <si>
    <r>
      <rPr>
        <sz val="11"/>
        <color theme="1"/>
        <rFont val="Calibri"/>
        <family val="2"/>
        <charset val="1"/>
      </rPr>
      <t xml:space="preserve">Microsoft 2032 </t>
    </r>
    <r>
      <rPr>
        <sz val="11"/>
        <color theme="1"/>
        <rFont val="Noto Sans CJK SC"/>
        <family val="2"/>
      </rPr>
      <t xml:space="preserve">全公司容量（</t>
    </r>
    <r>
      <rPr>
        <sz val="11"/>
        <color theme="1"/>
        <rFont val="Calibri"/>
        <family val="2"/>
        <charset val="1"/>
      </rPr>
      <t xml:space="preserve">&gt;38 GW</t>
    </r>
    <r>
      <rPr>
        <sz val="11"/>
        <color theme="1"/>
        <rFont val="Noto Sans CJK SC"/>
        <family val="2"/>
      </rPr>
      <t xml:space="preserve">，約 </t>
    </r>
    <r>
      <rPr>
        <sz val="11"/>
        <color theme="1"/>
        <rFont val="Calibri"/>
        <family val="2"/>
        <charset val="1"/>
      </rPr>
      <t xml:space="preserve">1/3 AI</t>
    </r>
    <r>
      <rPr>
        <sz val="11"/>
        <color theme="1"/>
        <rFont val="Noto Sans CJK SC"/>
        <family val="2"/>
      </rPr>
      <t xml:space="preserve">；未納入）</t>
    </r>
  </si>
  <si>
    <r>
      <rPr>
        <sz val="11"/>
        <color theme="1"/>
        <rFont val="Calibri"/>
        <family val="2"/>
        <charset val="1"/>
      </rPr>
      <t xml:space="preserve">A#7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</t>
    </r>
    <r>
      <rPr>
        <sz val="11"/>
        <color theme="1"/>
        <rFont val="Noto Sans CJK SC"/>
        <family val="2"/>
      </rPr>
      <t xml:space="preserve">（屬實；記者引知情人士，全部負載）</t>
    </r>
  </si>
  <si>
    <t xml:space="preserve">lease_nc_msft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</si>
  <si>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未起租租約（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末）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</si>
  <si>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</si>
  <si>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microsoft/company.json mag.leases.notCommenced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</si>
  <si>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lease_nc_googl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</si>
  <si>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未起租租約（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</si>
  <si>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alphabet/company.json mag.balance.leases.uncommenced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</si>
  <si>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t xml:space="preserve">lease_nc_amzn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</si>
  <si>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未起租租約（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</si>
  <si>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amazon/company.json leases.facts.notCommenced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</si>
  <si>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S7. </t>
    </r>
    <r>
      <rPr>
        <b val="true"/>
        <sz val="11"/>
        <rFont val="Noto Sans CJK SC"/>
        <family val="2"/>
      </rPr>
      <t xml:space="preserve">廠房資本支出拆分（每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；合計＝</t>
    </r>
    <r>
      <rPr>
        <b val="true"/>
        <sz val="11"/>
        <rFont val="Cambria"/>
        <family val="0"/>
        <charset val="1"/>
      </rPr>
      <t xml:space="preserve">TK IF_CapexFacility 12.67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P_facility_power.md </t>
    </r>
    <r>
      <rPr>
        <b val="true"/>
        <sz val="11"/>
        <rFont val="Noto Sans CJK SC"/>
        <family val="2"/>
      </rPr>
      <t xml:space="preserve">建議表，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段核對）</t>
    </r>
  </si>
  <si>
    <t xml:space="preserve">fac_dist</t>
  </si>
  <si>
    <r>
      <rPr>
        <sz val="11"/>
        <color theme="1"/>
        <rFont val="Noto Sans CJK SC"/>
        <family val="2"/>
      </rPr>
      <t xml:space="preserve">配電（中低壓開關、廠內變壓器、</t>
    </r>
    <r>
      <rPr>
        <sz val="11"/>
        <color theme="1"/>
        <rFont val="Calibri"/>
        <family val="2"/>
        <charset val="1"/>
      </rPr>
      <t xml:space="preserve">PDU</t>
    </r>
    <r>
      <rPr>
        <sz val="11"/>
        <color theme="1"/>
        <rFont val="Noto Sans CJK SC"/>
        <family val="2"/>
      </rPr>
      <t xml:space="preserve">、母線、電纜）</t>
    </r>
  </si>
  <si>
    <t xml:space="preserve">$B/IT GW</t>
  </si>
  <si>
    <t xml:space="preserve">SRC_GL_301</t>
  </si>
  <si>
    <r>
      <rPr>
        <sz val="11"/>
        <color theme="1"/>
        <rFont val="Calibri"/>
        <family val="2"/>
        <charset val="1"/>
      </rPr>
      <t xml:space="preserve">P#10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</t>
    </r>
    <r>
      <rPr>
        <sz val="11"/>
        <color theme="1"/>
        <rFont val="Noto Sans CJK SC"/>
        <family val="2"/>
      </rPr>
      <t xml:space="preserve">電力 </t>
    </r>
    <r>
      <rPr>
        <sz val="11"/>
        <color theme="1"/>
        <rFont val="Calibri"/>
        <family val="2"/>
        <charset val="1"/>
      </rPr>
      <t xml:space="preserve">37.5% × </t>
    </r>
    <r>
      <rPr>
        <sz val="11"/>
        <color theme="1"/>
        <rFont val="Noto Sans CJK SC"/>
        <family val="2"/>
      </rPr>
      <t xml:space="preserve">配電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P#19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 </t>
    </r>
    <r>
      <rPr>
        <sz val="11"/>
        <color theme="1"/>
        <rFont val="Noto Sans CJK SC"/>
        <family val="2"/>
      </rPr>
      <t xml:space="preserve">屬實</t>
    </r>
  </si>
  <si>
    <t xml:space="preserve">fac_gen_mult</t>
  </si>
  <si>
    <r>
      <rPr>
        <sz val="11"/>
        <color theme="1"/>
        <rFont val="Noto Sans CJK SC"/>
        <family val="2"/>
      </rPr>
      <t xml:space="preserve">備援發電機裝置容量倍數（</t>
    </r>
    <r>
      <rPr>
        <sz val="11"/>
        <color theme="1"/>
        <rFont val="Calibri"/>
        <family val="2"/>
        <charset val="1"/>
      </rPr>
      <t xml:space="preserve">GW genset </t>
    </r>
    <r>
      <rPr>
        <sz val="11"/>
        <color theme="1"/>
        <rFont val="Noto Sans CJK SC"/>
        <family val="2"/>
      </rPr>
      <t xml:space="preserve">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</t>
    </r>
  </si>
  <si>
    <t xml:space="preserve">SRC_GL_302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</si>
  <si>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P28 </t>
    </r>
    <r>
      <rPr>
        <sz val="11"/>
        <color theme="1"/>
        <rFont val="Noto Sans CJK SC"/>
        <family val="2"/>
      </rPr>
      <t xml:space="preserve">建議：手冊含 </t>
    </r>
    <r>
      <rPr>
        <sz val="11"/>
        <color theme="1"/>
        <rFont val="Calibri"/>
        <family val="2"/>
        <charset val="1"/>
      </rPr>
      <t xml:space="preserve">20–25% </t>
    </r>
    <r>
      <rPr>
        <sz val="11"/>
        <color theme="1"/>
        <rFont val="Noto Sans CJK SC"/>
        <family val="2"/>
      </rPr>
      <t xml:space="preserve">餘裕與機械負載為 </t>
    </r>
    <r>
      <rPr>
        <sz val="11"/>
        <color theme="1"/>
        <rFont val="Calibri"/>
        <family val="2"/>
        <charset val="1"/>
      </rPr>
      <t xml:space="preserve">1.5–1.9×</t>
    </r>
    <r>
      <rPr>
        <sz val="11"/>
        <color theme="1"/>
        <rFont val="Noto Sans CJK SC"/>
        <family val="2"/>
      </rPr>
      <t xml:space="preserve">（未加 </t>
    </r>
    <r>
      <rPr>
        <sz val="11"/>
        <color theme="1"/>
        <rFont val="Calibri"/>
        <family val="2"/>
        <charset val="1"/>
      </rPr>
      <t xml:space="preserve">N+1</t>
    </r>
    <r>
      <rPr>
        <sz val="11"/>
        <color theme="1"/>
        <rFont val="Noto Sans CJK SC"/>
        <family val="2"/>
      </rPr>
      <t xml:space="preserve">），基準 </t>
    </r>
    <r>
      <rPr>
        <sz val="11"/>
        <color theme="1"/>
        <rFont val="Calibri"/>
        <family val="2"/>
        <charset val="1"/>
      </rPr>
      <t xml:space="preserve">1.6</t>
    </r>
    <r>
      <rPr>
        <sz val="11"/>
        <color theme="1"/>
        <rFont val="Noto Sans CJK SC"/>
        <family val="2"/>
      </rPr>
      <t xml:space="preserve">；低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Fairwater Atlanta </t>
    </r>
    <r>
      <rPr>
        <sz val="11"/>
        <color theme="1"/>
        <rFont val="Noto Sans CJK SC"/>
        <family val="2"/>
      </rPr>
      <t xml:space="preserve">不設發電機（</t>
    </r>
    <r>
      <rPr>
        <sz val="11"/>
        <color theme="1"/>
        <rFont val="Calibri"/>
        <family val="2"/>
        <charset val="1"/>
      </rPr>
      <t xml:space="preserve">P#29</t>
    </r>
    <r>
      <rPr>
        <sz val="11"/>
        <color theme="1"/>
        <rFont val="Noto Sans CJK SC"/>
        <family val="2"/>
      </rPr>
      <t xml:space="preserve">）；高 </t>
    </r>
    <r>
      <rPr>
        <sz val="11"/>
        <color theme="1"/>
        <rFont val="Calibri"/>
        <family val="2"/>
        <charset val="1"/>
      </rPr>
      <t xml:space="preserve">2.4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2N</t>
    </r>
    <r>
      <rPr>
        <sz val="11"/>
        <color theme="1"/>
        <rFont val="Noto Sans CJK SC"/>
        <family val="2"/>
      </rPr>
      <t xml:space="preserve">。原 </t>
    </r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1.4</t>
    </r>
  </si>
  <si>
    <t xml:space="preserve">fac_gen_px</t>
  </si>
  <si>
    <r>
      <rPr>
        <sz val="11"/>
        <color theme="1"/>
        <rFont val="Noto Sans CJK SC"/>
        <family val="2"/>
      </rPr>
      <t xml:space="preserve">備援發電機單價（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MW genset</t>
    </r>
    <r>
      <rPr>
        <sz val="11"/>
        <color theme="1"/>
        <rFont val="Noto Sans CJK SC"/>
        <family val="2"/>
      </rPr>
      <t xml:space="preserve">）</t>
    </r>
  </si>
  <si>
    <t xml:space="preserve">$M/MW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</si>
  <si>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（基準）／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（區間）</t>
    </r>
  </si>
  <si>
    <r>
      <rPr>
        <sz val="11"/>
        <color theme="1"/>
        <rFont val="Calibri"/>
        <family val="2"/>
        <charset val="1"/>
      </rPr>
      <t xml:space="preserve">P#27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NREL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</t>
    </r>
  </si>
  <si>
    <t xml:space="preserve">fac_ups</t>
  </si>
  <si>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與電池</t>
    </r>
  </si>
  <si>
    <r>
      <rPr>
        <sz val="11"/>
        <color theme="1"/>
        <rFont val="Noto Sans CJK SC"/>
        <family val="2"/>
      </rPr>
      <t xml:space="preserve">備援合計 </t>
    </r>
    <r>
      <rPr>
        <sz val="11"/>
        <color theme="1"/>
        <rFont val="Calibri"/>
        <family val="2"/>
        <charset val="1"/>
      </rPr>
      <t xml:space="preserve">16.9% × 12.67 ≈ 2.14 </t>
    </r>
    <r>
      <rPr>
        <sz val="11"/>
        <color theme="1"/>
        <rFont val="Noto Sans CJK SC"/>
        <family val="2"/>
      </rPr>
      <t xml:space="preserve">扣 </t>
    </r>
    <r>
      <rPr>
        <sz val="11"/>
        <color theme="1"/>
        <rFont val="Calibri"/>
        <family val="2"/>
        <charset val="1"/>
      </rPr>
      <t xml:space="preserve">genset 1.40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 </t>
    </r>
    <r>
      <rPr>
        <sz val="11"/>
        <color theme="1"/>
        <rFont val="Noto Sans CJK SC"/>
        <family val="2"/>
      </rPr>
      <t xml:space="preserve">屬實）</t>
    </r>
  </si>
  <si>
    <t xml:space="preserve">fac_cool</t>
  </si>
  <si>
    <r>
      <rPr>
        <sz val="11"/>
        <color theme="1"/>
        <rFont val="Noto Sans CJK SC"/>
        <family val="2"/>
      </rPr>
      <t xml:space="preserve">冷卻（冷卻塔、冰水機、乾冷器、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、液冷管路）</t>
    </r>
  </si>
  <si>
    <r>
      <rPr>
        <sz val="11"/>
        <color theme="1"/>
        <rFont val="Calibri"/>
        <family val="2"/>
        <charset val="1"/>
      </rPr>
      <t xml:space="preserve">P#11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15%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液冷園區高值（</t>
    </r>
    <r>
      <rPr>
        <sz val="11"/>
        <color theme="1"/>
        <rFont val="Calibri"/>
        <family val="2"/>
        <charset val="1"/>
      </rPr>
      <t xml:space="preserve">3.5–5.2</t>
    </r>
    <r>
      <rPr>
        <sz val="11"/>
        <color theme="1"/>
        <rFont val="Noto Sans CJK SC"/>
        <family val="2"/>
      </rPr>
      <t xml:space="preserve">）機率不低</t>
    </r>
  </si>
  <si>
    <t xml:space="preserve">fac_bldg</t>
  </si>
  <si>
    <t xml:space="preserve">建築（核心殼體與結構）</t>
  </si>
  <si>
    <r>
      <rPr>
        <sz val="11"/>
        <color theme="1"/>
        <rFont val="Calibri"/>
        <family val="2"/>
        <charset val="1"/>
      </rPr>
      <t xml:space="preserve">P#12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13.5%</t>
    </r>
    <r>
      <rPr>
        <sz val="11"/>
        <color theme="1"/>
        <rFont val="Noto Sans CJK SC"/>
        <family val="2"/>
      </rPr>
      <t xml:space="preserve">；標籤順序對應為推定，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</t>
    </r>
    <r>
      <rPr>
        <sz val="11"/>
        <color theme="1"/>
        <rFont val="Noto Sans CJK SC"/>
        <family val="2"/>
      </rPr>
      <t xml:space="preserve">）</t>
    </r>
  </si>
  <si>
    <t xml:space="preserve">fac_labor</t>
  </si>
  <si>
    <t xml:space="preserve">施工人工與工程設計</t>
  </si>
  <si>
    <r>
      <rPr>
        <sz val="11"/>
        <color theme="1"/>
        <rFont val="Calibri"/>
        <family val="2"/>
        <charset val="1"/>
      </rPr>
      <t xml:space="preserve">P#13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22–25%</t>
    </r>
    <r>
      <rPr>
        <sz val="11"/>
        <color theme="1"/>
        <rFont val="Noto Sans CJK SC"/>
        <family val="2"/>
      </rPr>
      <t xml:space="preserve">）</t>
    </r>
  </si>
  <si>
    <t xml:space="preserve">fac_prof0</t>
  </si>
  <si>
    <r>
      <rPr>
        <sz val="11"/>
        <color theme="1"/>
        <rFont val="Noto Sans CJK SC"/>
        <family val="2"/>
      </rPr>
      <t xml:space="preserve">其他專業服務（試運轉、顧問、許可；未扣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調整前）</t>
    </r>
  </si>
  <si>
    <r>
      <rPr>
        <sz val="11"/>
        <color theme="1"/>
        <rFont val="Calibri"/>
        <family val="2"/>
        <charset val="1"/>
      </rPr>
      <t xml:space="preserve">P#14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5–10%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頁實際值＝本值 −（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新基準 − 原 </t>
    </r>
    <r>
      <rPr>
        <sz val="11"/>
        <color theme="1"/>
        <rFont val="Calibri"/>
        <family val="2"/>
        <charset val="1"/>
      </rPr>
      <t xml:space="preserve">1.40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段建議由其他項吸收，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端指示『差額從其他扣』）</t>
    </r>
  </si>
  <si>
    <t xml:space="preserve">fac_net</t>
  </si>
  <si>
    <r>
      <rPr>
        <sz val="11"/>
        <color theme="1"/>
        <rFont val="Noto Sans CJK SC"/>
        <family val="2"/>
      </rPr>
      <t xml:space="preserve">網路、消防、安防、</t>
    </r>
    <r>
      <rPr>
        <sz val="11"/>
        <color theme="1"/>
        <rFont val="Calibri"/>
        <family val="2"/>
        <charset val="1"/>
      </rPr>
      <t xml:space="preserve">BMS</t>
    </r>
  </si>
  <si>
    <r>
      <rPr>
        <sz val="11"/>
        <color theme="1"/>
        <rFont val="Calibri"/>
        <family val="2"/>
        <charset val="1"/>
      </rPr>
      <t xml:space="preserve">McKinsey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2–3%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 </t>
    </r>
    <r>
      <rPr>
        <sz val="11"/>
        <color theme="1"/>
        <rFont val="Noto Sans CJK SC"/>
        <family val="2"/>
      </rPr>
      <t xml:space="preserve">屬實）</t>
    </r>
  </si>
  <si>
    <t xml:space="preserve">fac_land</t>
  </si>
  <si>
    <t xml:space="preserve">土地</t>
  </si>
  <si>
    <r>
      <rPr>
        <sz val="11"/>
        <color theme="1"/>
        <rFont val="Calibri"/>
        <family val="2"/>
        <charset val="1"/>
      </rPr>
      <t xml:space="preserve">P#23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土地＋併網 </t>
    </r>
    <r>
      <rPr>
        <sz val="11"/>
        <color theme="1"/>
        <rFont val="Calibri"/>
        <family val="2"/>
        <charset val="1"/>
      </rPr>
      <t xml:space="preserve">&lt;1%</t>
    </r>
    <r>
      <rPr>
        <sz val="11"/>
        <color theme="1"/>
        <rFont val="Noto Sans CJK SC"/>
        <family val="2"/>
      </rPr>
      <t xml:space="preserve">）</t>
    </r>
  </si>
  <si>
    <t xml:space="preserve">fac_gen_px0</t>
  </si>
  <si>
    <r>
      <rPr>
        <sz val="11"/>
        <color theme="1"/>
        <rFont val="Noto Sans CJK SC"/>
        <family val="2"/>
      </rPr>
      <t xml:space="preserve">原 </t>
    </r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金額基準（</t>
    </r>
    <r>
      <rPr>
        <sz val="11"/>
        <color theme="1"/>
        <rFont val="Calibri"/>
        <family val="2"/>
        <charset val="1"/>
      </rPr>
      <t xml:space="preserve">1.4 GW × 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</si>
  <si>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P_facility_power.md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節拆分表；用於計算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</t>
    </r>
  </si>
  <si>
    <r>
      <rPr>
        <b val="true"/>
        <sz val="11"/>
        <rFont val="Cambria"/>
        <family val="0"/>
        <charset val="1"/>
      </rPr>
      <t xml:space="preserve">S8. </t>
    </r>
    <r>
      <rPr>
        <b val="true"/>
        <sz val="11"/>
        <rFont val="Noto Sans CJK SC"/>
        <family val="2"/>
      </rPr>
      <t xml:space="preserve">自建發電與實物量（自建發電不在 </t>
    </r>
    <r>
      <rPr>
        <b val="true"/>
        <sz val="11"/>
        <rFont val="Cambria"/>
        <family val="0"/>
        <charset val="1"/>
      </rPr>
      <t xml:space="preserve">12.67 </t>
    </r>
    <r>
      <rPr>
        <b val="true"/>
        <sz val="11"/>
        <rFont val="Noto Sans CJK SC"/>
        <family val="2"/>
      </rPr>
      <t xml:space="preserve">內）</t>
    </r>
  </si>
  <si>
    <t xml:space="preserve">self_gw</t>
  </si>
  <si>
    <r>
      <rPr>
        <sz val="11"/>
        <color theme="1"/>
        <rFont val="Noto Sans CJK SC"/>
        <family val="2"/>
      </rPr>
      <t xml:space="preserve">自建發電容量（</t>
    </r>
    <r>
      <rPr>
        <sz val="11"/>
        <color theme="1"/>
        <rFont val="Calibri"/>
        <family val="2"/>
        <charset val="1"/>
      </rPr>
      <t xml:space="preserve">GW gen </t>
    </r>
    <r>
      <rPr>
        <sz val="11"/>
        <color theme="1"/>
        <rFont val="Noto Sans CJK SC"/>
        <family val="2"/>
      </rPr>
      <t xml:space="preserve">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；僅有自建的園區）</t>
    </r>
  </si>
  <si>
    <r>
      <rPr>
        <sz val="11"/>
        <color theme="1"/>
        <rFont val="Calibri"/>
        <family val="2"/>
        <charset val="1"/>
      </rPr>
      <t xml:space="preserve">P#38</t>
    </r>
    <r>
      <rPr>
        <sz val="11"/>
        <color theme="1"/>
        <rFont val="Noto Sans CJK SC"/>
        <family val="2"/>
      </rPr>
      <t xml:space="preserve">（設施 </t>
    </r>
    <r>
      <rPr>
        <sz val="11"/>
        <color theme="1"/>
        <rFont val="Calibri"/>
        <family val="2"/>
        <charset val="1"/>
      </rPr>
      <t xml:space="preserve">1.2 × </t>
    </r>
    <r>
      <rPr>
        <sz val="11"/>
        <color theme="1"/>
        <rFont val="Noto Sans CJK SC"/>
        <family val="2"/>
      </rPr>
      <t xml:space="preserve">備用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段算術屬實）</t>
    </r>
  </si>
  <si>
    <t xml:space="preserve">self_px</t>
  </si>
  <si>
    <r>
      <rPr>
        <sz val="11"/>
        <color theme="1"/>
        <rFont val="Noto Sans CJK SC"/>
        <family val="2"/>
      </rPr>
      <t xml:space="preserve">自建發電單價（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MW gen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</si>
  <si>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P#32–35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CCGT 1.5–2.5</t>
    </r>
    <r>
      <rPr>
        <sz val="11"/>
        <color theme="1"/>
        <rFont val="Noto Sans CJK SC"/>
        <family val="2"/>
      </rPr>
      <t xml:space="preserve">、航改 </t>
    </r>
    <r>
      <rPr>
        <sz val="11"/>
        <color theme="1"/>
        <rFont val="Calibri"/>
        <family val="2"/>
        <charset val="1"/>
      </rPr>
      <t xml:space="preserve">1.2–2.2</t>
    </r>
    <r>
      <rPr>
        <sz val="11"/>
        <color theme="1"/>
        <rFont val="Noto Sans CJK SC"/>
        <family val="2"/>
      </rPr>
      <t xml:space="preserve">、表後燃機／往復機 </t>
    </r>
    <r>
      <rPr>
        <sz val="11"/>
        <color theme="1"/>
        <rFont val="Calibri"/>
        <family val="2"/>
        <charset val="1"/>
      </rPr>
      <t xml:space="preserve">0.8–1.2</t>
    </r>
    <r>
      <rPr>
        <sz val="11"/>
        <color theme="1"/>
        <rFont val="Noto Sans CJK SC"/>
        <family val="2"/>
      </rPr>
      <t xml:space="preserve">）；基準使 </t>
    </r>
    <r>
      <rPr>
        <sz val="11"/>
        <color theme="1"/>
        <rFont val="Calibri"/>
        <family val="2"/>
        <charset val="1"/>
      </rPr>
      <t xml:space="preserve">1.44 × 1.6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2.3 $B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P.md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3.2</t>
    </r>
    <r>
      <rPr>
        <sz val="11"/>
        <color theme="1"/>
        <rFont val="Noto Sans CJK SC"/>
        <family val="2"/>
      </rPr>
      <t xml:space="preserve">）</t>
    </r>
  </si>
  <si>
    <t xml:space="preserve">self_sh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</si>
  <si>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中自建發電的比例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</si>
  <si>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指示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；佐證：</t>
    </r>
    <r>
      <rPr>
        <sz val="11"/>
        <color theme="1"/>
        <rFont val="Calibri"/>
        <family val="2"/>
        <charset val="1"/>
      </rPr>
      <t xml:space="preserve">P#39 Cleanview </t>
    </r>
    <r>
      <rPr>
        <sz val="11"/>
        <color theme="1"/>
        <rFont val="Noto Sans CJK SC"/>
        <family val="2"/>
      </rPr>
      <t xml:space="preserve">表後規劃 </t>
    </r>
    <r>
      <rPr>
        <sz val="11"/>
        <color theme="1"/>
        <rFont val="Calibri"/>
        <family val="2"/>
        <charset val="1"/>
      </rPr>
      <t xml:space="preserve">90 GW</t>
    </r>
    <r>
      <rPr>
        <sz val="11"/>
        <color theme="1"/>
        <rFont val="Noto Sans CJK SC"/>
        <family val="2"/>
      </rPr>
      <t xml:space="preserve">、運轉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（延遲大）</t>
    </r>
  </si>
  <si>
    <t xml:space="preserve">xfmr_gva</t>
  </si>
  <si>
    <r>
      <rPr>
        <sz val="11"/>
        <color theme="1"/>
        <rFont val="Noto Sans CJK SC"/>
        <family val="2"/>
      </rPr>
      <t xml:space="preserve">主變壓器裝置容量（</t>
    </r>
    <r>
      <rPr>
        <sz val="11"/>
        <color theme="1"/>
        <rFont val="Calibri"/>
        <family val="2"/>
        <charset val="1"/>
      </rPr>
      <t xml:space="preserve">GVA </t>
    </r>
    <r>
      <rPr>
        <sz val="11"/>
        <color theme="1"/>
        <rFont val="Noto Sans CJK SC"/>
        <family val="2"/>
      </rPr>
      <t xml:space="preserve">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；含一台退出備援）</t>
    </r>
  </si>
  <si>
    <t xml:space="preserve">GVA</t>
  </si>
  <si>
    <r>
      <rPr>
        <sz val="11"/>
        <color theme="1"/>
        <rFont val="Calibri"/>
        <family val="2"/>
        <charset val="1"/>
      </rPr>
      <t xml:space="preserve">P#50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段更正）：</t>
    </r>
    <r>
      <rPr>
        <sz val="11"/>
        <color theme="1"/>
        <rFont val="Calibri"/>
        <family val="2"/>
        <charset val="1"/>
      </rPr>
      <t xml:space="preserve">ModulEdge 60 MW IT </t>
    </r>
    <r>
      <rPr>
        <sz val="11"/>
        <color theme="1"/>
        <rFont val="Noto Sans CJK SC"/>
        <family val="2"/>
      </rPr>
      <t xml:space="preserve">一台退出 </t>
    </r>
    <r>
      <rPr>
        <sz val="11"/>
        <color theme="1"/>
        <rFont val="Calibri"/>
        <family val="2"/>
        <charset val="1"/>
      </rPr>
      <t xml:space="preserve">4×40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160 MVA → 2.67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3×63 → 3.15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ComEd 4×100 MVA ÷ 187.5 MW IT ≈ 2.13</t>
    </r>
    <r>
      <rPr>
        <sz val="11"/>
        <color theme="1"/>
        <rFont val="Noto Sans CJK SC"/>
        <family val="2"/>
      </rPr>
      <t xml:space="preserve">；只影響 </t>
    </r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實物量顯示</t>
    </r>
  </si>
  <si>
    <t xml:space="preserve">btm_plan</t>
  </si>
  <si>
    <t xml:space="preserve">美國表後自建發電：規劃</t>
  </si>
  <si>
    <r>
      <rPr>
        <sz val="11"/>
        <color theme="1"/>
        <rFont val="Calibri"/>
        <family val="2"/>
        <charset val="1"/>
      </rPr>
      <t xml:space="preserve">P#39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Cleanview 59 </t>
    </r>
    <r>
      <rPr>
        <sz val="11"/>
        <color theme="1"/>
        <rFont val="Noto Sans CJK SC"/>
        <family val="2"/>
      </rPr>
      <t xml:space="preserve">案；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段屬實）；延遲佐證</t>
    </r>
  </si>
  <si>
    <t xml:space="preserve">btm_run</t>
  </si>
  <si>
    <t xml:space="preserve">美國表後自建發電：運轉中</t>
  </si>
  <si>
    <r>
      <rPr>
        <sz val="11"/>
        <color theme="1"/>
        <rFont val="Calibri"/>
        <family val="2"/>
        <charset val="1"/>
      </rPr>
      <t xml:space="preserve">P#39</t>
    </r>
    <r>
      <rPr>
        <sz val="11"/>
        <color theme="1"/>
        <rFont val="Noto Sans CJK SC"/>
        <family val="2"/>
      </rPr>
      <t xml:space="preserve">：運轉約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2.2%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2.8–3.2</t>
    </r>
    <r>
      <rPr>
        <sz val="11"/>
        <color theme="1"/>
        <rFont val="Noto Sans CJK SC"/>
        <family val="2"/>
      </rPr>
      <t xml:space="preserve">；延遲佐證</t>
    </r>
  </si>
  <si>
    <t xml:space="preserve">spend_nnv_hold</t>
  </si>
  <si>
    <r>
      <rPr>
        <sz val="11"/>
        <color theme="1"/>
        <rFont val="Calibri"/>
        <family val="2"/>
        <charset val="1"/>
      </rPr>
      <t xml:space="preserve">Spend</t>
    </r>
    <r>
      <rPr>
        <sz val="11"/>
        <color theme="1"/>
        <rFont val="Noto Sans CJK SC"/>
        <family val="2"/>
      </rPr>
      <t xml:space="preserve">：非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÷ VR200</t>
    </r>
    <r>
      <rPr>
        <sz val="11"/>
        <color theme="1"/>
        <rFont val="Noto Sans CJK SC"/>
        <family val="2"/>
      </rPr>
      <t xml:space="preserve">（無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平台組合，取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持有比平均）</t>
    </r>
  </si>
  <si>
    <t xml:space="preserve">SRC_GL_001</t>
  </si>
  <si>
    <r>
      <rPr>
        <sz val="11"/>
        <color theme="1"/>
        <rFont val="Calibri"/>
        <family val="2"/>
        <charset val="1"/>
      </rPr>
      <t xml:space="preserve">TK IF_NonNV_Hold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 0.61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OAI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0.50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0.67</t>
    </r>
    <r>
      <rPr>
        <sz val="11"/>
        <color theme="1"/>
        <rFont val="Noto Sans CJK SC"/>
        <family val="2"/>
      </rPr>
      <t xml:space="preserve">；持有比借用為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比（近似，規劃書第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點）</t>
    </r>
  </si>
  <si>
    <r>
      <rPr>
        <b val="true"/>
        <sz val="11"/>
        <rFont val="Cambria"/>
        <family val="0"/>
        <charset val="1"/>
      </rPr>
      <t xml:space="preserve">S5. </t>
    </r>
    <r>
      <rPr>
        <b val="true"/>
        <sz val="11"/>
        <rFont val="Noto Sans CJK SC"/>
        <family val="2"/>
      </rPr>
      <t xml:space="preserve">玩家非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占比覆寫（未列者＝市場 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比例）</t>
    </r>
  </si>
  <si>
    <t xml:space="preserve">nnv_googl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</si>
  <si>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</si>
  <si>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texts.mwFacts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TPU 2,223 MW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2,223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730</t>
    </r>
    <r>
      <rPr>
        <sz val="11"/>
        <color theme="1"/>
        <rFont val="Noto Sans CJK SC"/>
        <family val="2"/>
      </rPr>
      <t xml:space="preserve">）</t>
    </r>
  </si>
  <si>
    <t xml:space="preserve">nnv_amzn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</si>
  <si>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</si>
  <si>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Trainium2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1,220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1,220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）</t>
    </r>
  </si>
  <si>
    <t xml:space="preserve">nnv_crwv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</si>
  <si>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</si>
  <si>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fleet.generations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</t>
    </r>
  </si>
  <si>
    <t xml:space="preserve">nnv_nbis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</si>
  <si>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</si>
  <si>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t xml:space="preserve">SRC_GL_060</t>
  </si>
  <si>
    <t xml:space="preserve">nnv_wyfi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</si>
  <si>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</si>
  <si>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t xml:space="preserve">SRC_GL_070</t>
  </si>
  <si>
    <t xml:space="preserve">nnv_xai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</si>
  <si>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</si>
  <si>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Colossus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</si>
  <si>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S6. </t>
    </r>
    <r>
      <rPr>
        <b val="true"/>
        <sz val="11"/>
        <rFont val="Noto Sans CJK SC"/>
        <family val="2"/>
      </rPr>
      <t xml:space="preserve">個股模型財年結束月（</t>
    </r>
    <r>
      <rPr>
        <b val="true"/>
        <sz val="11"/>
        <rFont val="Cambria"/>
        <family val="0"/>
        <charset val="1"/>
      </rPr>
      <t xml:space="preserve">C1 </t>
    </r>
    <r>
      <rPr>
        <b val="true"/>
        <sz val="11"/>
        <rFont val="Noto Sans CJK SC"/>
        <family val="2"/>
      </rPr>
      <t xml:space="preserve">曆年→財年換算）</t>
    </r>
  </si>
  <si>
    <t xml:space="preserve">fye_msft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</si>
  <si>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財年結束月</t>
    </r>
  </si>
  <si>
    <t xml:space="preserve">company.json calendar.fiscalYearEndMonth</t>
  </si>
  <si>
    <t xml:space="preserve">fye_googl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</si>
  <si>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財年結束月</t>
    </r>
  </si>
  <si>
    <t xml:space="preserve">fye_amzn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</si>
  <si>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財年結束月</t>
    </r>
  </si>
  <si>
    <t xml:space="preserve">fye_orcl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</si>
  <si>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財年結束月</t>
    </r>
  </si>
  <si>
    <t xml:space="preserve">fye_crwv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</si>
  <si>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財年結束月</t>
    </r>
  </si>
  <si>
    <t xml:space="preserve">fye_nbis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</si>
  <si>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財年結束月</t>
    </r>
  </si>
  <si>
    <t xml:space="preserve">fye_wyfi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</si>
  <si>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財年結束月</t>
    </r>
  </si>
  <si>
    <t xml:space="preserve">fye_meta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</si>
  <si>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財年結束月</t>
    </r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</si>
  <si>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財年＝曆年（</t>
    </r>
    <r>
      <rPr>
        <sz val="11"/>
        <color theme="1"/>
        <rFont val="Calibri"/>
        <family val="2"/>
        <charset val="1"/>
      </rPr>
      <t xml:space="preserve">A#63 8-K Ex.99.1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為第三季）</t>
    </r>
  </si>
  <si>
    <r>
      <rPr>
        <b val="true"/>
        <sz val="11"/>
        <rFont val="Cambria"/>
        <family val="0"/>
        <charset val="1"/>
      </rPr>
      <t xml:space="preserve">Y0. Epoch AI </t>
    </r>
    <r>
      <rPr>
        <b val="true"/>
        <sz val="11"/>
        <rFont val="Noto Sans CJK SC"/>
        <family val="2"/>
      </rPr>
      <t xml:space="preserve">晶片功耗（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，晶片層；</t>
    </r>
    <r>
      <rPr>
        <b val="true"/>
        <sz val="11"/>
        <rFont val="Cambria"/>
        <family val="0"/>
        <charset val="1"/>
      </rPr>
      <t xml:space="preserve">IT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倍數：</t>
    </r>
    <r>
      <rPr>
        <b val="true"/>
        <sz val="11"/>
        <rFont val="Cambria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Amazon </t>
    </r>
    <r>
      <rPr>
        <b val="true"/>
        <sz val="11"/>
        <rFont val="Noto Sans CJK SC"/>
        <family val="2"/>
      </rPr>
      <t xml:space="preserve">用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更正值 </t>
    </r>
    <r>
      <rPr>
        <b val="true"/>
        <sz val="11"/>
        <rFont val="Cambria"/>
        <family val="0"/>
        <charset val="1"/>
      </rPr>
      <t xml:space="preserve">÷ 2025 </t>
    </r>
    <r>
      <rPr>
        <b val="true"/>
        <sz val="11"/>
        <rFont val="Noto Sans CJK SC"/>
        <family val="2"/>
      </rPr>
      <t xml:space="preserve">晶片功耗，其他用 </t>
    </r>
    <r>
      <rPr>
        <b val="true"/>
        <sz val="11"/>
        <rFont val="Cambria"/>
        <family val="0"/>
        <charset val="1"/>
      </rPr>
      <t xml:space="preserve">k_chip2it</t>
    </r>
    <r>
      <rPr>
        <b val="true"/>
        <sz val="11"/>
        <rFont val="Noto Sans CJK SC"/>
        <family val="2"/>
      </rPr>
      <t xml:space="preserve">）</t>
    </r>
  </si>
  <si>
    <t xml:space="preserve">chip_msft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</si>
  <si>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</si>
  <si>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A#11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AI Chip Owners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；累計未扣退役）</t>
    </r>
  </si>
  <si>
    <t xml:space="preserve">chip_googl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</si>
  <si>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</si>
  <si>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A#24</t>
    </r>
    <r>
      <rPr>
        <sz val="11"/>
        <color theme="1"/>
        <rFont val="Noto Sans CJK SC"/>
        <family val="2"/>
      </rPr>
      <t xml:space="preserve">（屬實）；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alphabet/company.json texts.mwYearEndNotes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287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 98</t>
    </r>
    <r>
      <rPr>
        <sz val="11"/>
        <color theme="1"/>
        <rFont val="Noto Sans CJK SC"/>
        <family val="2"/>
      </rPr>
      <t xml:space="preserve">）</t>
    </r>
  </si>
  <si>
    <t xml:space="preserve">chip_amzn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</si>
  <si>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</si>
  <si>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A#38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A#39</t>
    </r>
    <r>
      <rPr>
        <sz val="11"/>
        <color theme="1"/>
        <rFont val="Noto Sans CJK SC"/>
        <family val="2"/>
      </rPr>
      <t xml:space="preserve">（屬實）</t>
    </r>
  </si>
  <si>
    <t xml:space="preserve">chip_meta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</si>
  <si>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</si>
  <si>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A#52</t>
    </r>
    <r>
      <rPr>
        <sz val="11"/>
        <color theme="1"/>
        <rFont val="Noto Sans CJK SC"/>
        <family val="2"/>
      </rPr>
      <t xml:space="preserve">（屬實）；不含 </t>
    </r>
    <r>
      <rPr>
        <sz val="11"/>
        <color theme="1"/>
        <rFont val="Calibri"/>
        <family val="2"/>
        <charset val="1"/>
      </rPr>
      <t xml:space="preserve">MTIA</t>
    </r>
  </si>
  <si>
    <t xml:space="preserve">chip_orcl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</si>
  <si>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</si>
  <si>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A#68</t>
    </r>
    <r>
      <rPr>
        <sz val="11"/>
        <color theme="1"/>
        <rFont val="Noto Sans CJK SC"/>
        <family val="2"/>
      </rPr>
      <t xml:space="preserve">（屬實）</t>
    </r>
  </si>
  <si>
    <t xml:space="preserve">chip_xai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</si>
  <si>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</si>
  <si>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Colossus 308 MW </t>
    </r>
    <r>
      <rPr>
        <sz val="11"/>
        <color theme="1"/>
        <rFont val="Noto Sans CJK SC"/>
        <family val="2"/>
      </rPr>
      <t xml:space="preserve">晶片）</t>
    </r>
  </si>
  <si>
    <r>
      <rPr>
        <b val="true"/>
        <sz val="11"/>
        <rFont val="Cambria"/>
        <family val="0"/>
        <charset val="1"/>
      </rPr>
      <t xml:space="preserve">Y1. </t>
    </r>
    <r>
      <rPr>
        <b val="true"/>
        <sz val="11"/>
        <rFont val="Noto Sans CJK SC"/>
        <family val="2"/>
      </rPr>
      <t xml:space="preserve">玩家年底上線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（營運者口徑；輸入優先於晶片換算；空白＝由晶片、觀測、內插或園區延伸補值，見 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Decisions GL01-03</t>
    </r>
    <r>
      <rPr>
        <b val="true"/>
        <sz val="11"/>
        <rFont val="Noto Sans CJK SC"/>
        <family val="2"/>
      </rPr>
      <t xml:space="preserve">）</t>
    </r>
  </si>
  <si>
    <t xml:space="preserve">mw_msft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</si>
  <si>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</si>
  <si>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無直接年底輸入：由 </t>
    </r>
    <r>
      <rPr>
        <sz val="11"/>
        <color theme="1"/>
        <rFont val="Calibri"/>
        <family val="2"/>
        <charset val="1"/>
      </rPr>
      <t xml:space="preserve">Y0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倍數、</t>
    </r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觀測與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園區延伸推得（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）</t>
    </r>
  </si>
  <si>
    <t xml:space="preserve">mw_googl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</si>
  <si>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</si>
  <si>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</si>
  <si>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</si>
  <si>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</si>
  <si>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</si>
  <si>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</si>
  <si>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</si>
  <si>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</si>
  <si>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</si>
  <si>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2023–25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</si>
  <si>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A#77–79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A#86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&gt;1.85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8 GW </t>
    </r>
    <r>
      <rPr>
        <sz val="11"/>
        <color theme="1"/>
        <rFont val="Noto Sans CJK SC"/>
        <family val="2"/>
      </rPr>
      <t xml:space="preserve">為公司目標）；</t>
    </r>
    <r>
      <rPr>
        <sz val="11"/>
        <color theme="1"/>
        <rFont val="Calibri"/>
        <family val="2"/>
        <charset val="1"/>
      </rPr>
      <t xml:space="preserve">mwBasis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[Assumed]</t>
    </r>
  </si>
  <si>
    <t xml:space="preserve">mw_nbis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</si>
  <si>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</si>
  <si>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2025 active 170 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A#95 </t>
    </r>
    <r>
      <rPr>
        <sz val="11"/>
        <color theme="1"/>
        <rFont val="Noto Sans CJK SC"/>
        <family val="2"/>
      </rPr>
      <t xml:space="preserve">屬實）；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connected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0.8–1.0 GW </t>
    </r>
    <r>
      <rPr>
        <sz val="11"/>
        <color theme="1"/>
        <rFont val="Noto Sans CJK SC"/>
        <family val="2"/>
      </rPr>
      <t xml:space="preserve">中點（</t>
    </r>
    <r>
      <rPr>
        <sz val="11"/>
        <color theme="1"/>
        <rFont val="Calibri"/>
        <family val="2"/>
        <charset val="1"/>
      </rPr>
      <t xml:space="preserve">A#97 </t>
    </r>
    <r>
      <rPr>
        <sz val="11"/>
        <color theme="1"/>
        <rFont val="Noto Sans CJK SC"/>
        <family val="2"/>
      </rPr>
      <t xml:space="preserve">未抽查；</t>
    </r>
    <r>
      <rPr>
        <sz val="11"/>
        <color theme="1"/>
        <rFont val="Calibri"/>
        <family val="2"/>
        <charset val="1"/>
      </rPr>
      <t xml:space="preserve">repo nebius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active </t>
    </r>
    <r>
      <rPr>
        <sz val="11"/>
        <color theme="1"/>
        <rFont val="Noto Sans CJK SC"/>
        <family val="2"/>
      </rPr>
      <t xml:space="preserve">落後折 </t>
    </r>
    <r>
      <rPr>
        <sz val="11"/>
        <color theme="1"/>
        <rFont val="Calibri"/>
        <family val="2"/>
        <charset val="1"/>
      </rPr>
      <t xml:space="preserve">0.65 IT</t>
    </r>
    <r>
      <rPr>
        <sz val="11"/>
        <color theme="1"/>
        <rFont val="Noto Sans CJK SC"/>
        <family val="2"/>
      </rPr>
      <t xml:space="preserve">（未核）</t>
    </r>
  </si>
  <si>
    <t xml:space="preserve">mw_wyfi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</si>
  <si>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</si>
  <si>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whitefiber/company.json scenarios.mwPath</t>
    </r>
    <r>
      <rPr>
        <sz val="11"/>
        <color theme="1"/>
        <rFont val="Noto Sans CJK SC"/>
        <family val="2"/>
      </rPr>
      <t xml:space="preserve">（合約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數換算）</t>
    </r>
  </si>
  <si>
    <t xml:space="preserve">mw_xai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</si>
  <si>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</si>
  <si>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年底由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年底目標 </t>
    </r>
    <r>
      <rPr>
        <sz val="11"/>
        <color theme="1"/>
        <rFont val="Calibri"/>
        <family val="2"/>
        <charset val="1"/>
      </rPr>
      <t xml:space="preserve">&gt;2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B#46 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nameplate compute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「接近 </t>
    </r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」未納入（</t>
    </r>
    <r>
      <rPr>
        <sz val="11"/>
        <color theme="1"/>
        <rFont val="Calibri"/>
        <family val="2"/>
        <charset val="1"/>
      </rPr>
      <t xml:space="preserve">S4 tgt_xai_27</t>
    </r>
    <r>
      <rPr>
        <sz val="11"/>
        <color theme="1"/>
        <rFont val="Noto Sans CJK SC"/>
        <family val="2"/>
      </rPr>
      <t xml:space="preserve">）</t>
    </r>
  </si>
  <si>
    <t xml:space="preserve">mw_oai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</si>
  <si>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</si>
  <si>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Stargate 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Milam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Lordstown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B#15 </t>
    </r>
    <r>
      <rPr>
        <sz val="11"/>
        <color theme="1"/>
        <rFont val="Noto Sans CJK SC"/>
        <family val="2"/>
      </rPr>
      <t xml:space="preserve">未抽查）不入；之後由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園區延伸（</t>
    </r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）</t>
    </r>
  </si>
  <si>
    <t xml:space="preserve">mw_ant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</si>
  <si>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</si>
  <si>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SRC_GL_204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</si>
  <si>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無自建在役（</t>
    </r>
    <r>
      <rPr>
        <sz val="11"/>
        <color theme="1"/>
        <rFont val="Calibri"/>
        <family val="2"/>
        <charset val="1"/>
      </rPr>
      <t xml:space="preserve">B_summary 1.2 </t>
    </r>
    <r>
      <rPr>
        <sz val="11"/>
        <color theme="1"/>
        <rFont val="Noto Sans CJK SC"/>
        <family val="2"/>
      </rPr>
      <t xml:space="preserve">全為租用）；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</t>
    </r>
  </si>
  <si>
    <t xml:space="preserve">mw_neo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</si>
  <si>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</si>
  <si>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其他新雲最佳估計（不含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；非重複營運者自有雲端）</t>
    </r>
    <r>
      <rPr>
        <sz val="11"/>
        <color theme="1"/>
        <rFont val="Calibri"/>
        <family val="2"/>
        <charset val="1"/>
      </rPr>
      <t xml:space="preserve">2024 0.2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0.1–0.4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2025 0.5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0.3–0.8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2026E 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0.8–1.8</t>
    </r>
    <r>
      <rPr>
        <sz val="11"/>
        <color theme="1"/>
        <rFont val="Noto Sans CJK SC"/>
        <family val="2"/>
      </rPr>
      <t xml:space="preserve">）；未經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段逐項核對（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6.1 </t>
    </r>
    <r>
      <rPr>
        <sz val="11"/>
        <color theme="1"/>
        <rFont val="Noto Sans CJK SC"/>
        <family val="2"/>
      </rPr>
      <t xml:space="preserve">加總採用）</t>
    </r>
  </si>
  <si>
    <t xml:space="preserve">mw_sov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</si>
  <si>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只含 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</si>
  <si>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B#58 </t>
    </r>
    <r>
      <rPr>
        <sz val="11"/>
        <color theme="1"/>
        <rFont val="Noto Sans CJK SC"/>
        <family val="2"/>
      </rPr>
      <t xml:space="preserve">屬實）前為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；其他主權在『其他』</t>
    </r>
  </si>
  <si>
    <t xml:space="preserve">mw_cn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</si>
  <si>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</si>
  <si>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</si>
  <si>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8–12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設施；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B_summary 12–16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端指示）；</t>
    </r>
    <r>
      <rPr>
        <sz val="11"/>
        <color theme="1"/>
        <rFont val="Calibri"/>
        <family val="2"/>
        <charset val="1"/>
      </rPr>
      <t xml:space="preserve">2027–30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S1c Rystad </t>
    </r>
    <r>
      <rPr>
        <sz val="11"/>
        <color theme="1"/>
        <rFont val="Noto Sans CJK SC"/>
        <family val="2"/>
      </rPr>
      <t xml:space="preserve">路徑、</t>
    </r>
    <r>
      <rPr>
        <sz val="11"/>
        <color theme="1"/>
        <rFont val="Calibri"/>
        <family val="2"/>
        <charset val="1"/>
      </rPr>
      <t xml:space="preserve">2031–32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公式，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</si>
  <si>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mw_oth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</si>
  <si>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</si>
  <si>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S3b other_incl_china </t>
    </r>
    <r>
      <rPr>
        <sz val="11"/>
        <color theme="1"/>
        <rFont val="Noto Sans CJK SC"/>
        <family val="2"/>
      </rPr>
      <t xml:space="preserve">開關選 </t>
    </r>
    <r>
      <rPr>
        <sz val="11"/>
        <color theme="1"/>
        <rFont val="Calibri"/>
        <family val="2"/>
        <charset val="1"/>
      </rPr>
      <t xml:space="preserve">oth_excn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）或 </t>
    </r>
    <r>
      <rPr>
        <sz val="11"/>
        <color theme="1"/>
        <rFont val="Calibri"/>
        <family val="2"/>
        <charset val="1"/>
      </rPr>
      <t xml:space="preserve">oth_full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公式）；之後持平（待證據）</t>
    </r>
  </si>
  <si>
    <r>
      <rPr>
        <b val="true"/>
        <sz val="11"/>
        <rFont val="Cambria"/>
        <family val="0"/>
        <charset val="1"/>
      </rPr>
      <t xml:space="preserve">Y2. </t>
    </r>
    <r>
      <rPr>
        <b val="true"/>
        <sz val="11"/>
        <rFont val="Noto Sans CJK SC"/>
        <family val="2"/>
      </rPr>
      <t xml:space="preserve">個股模型資本支出（公司財年；欄＝財年，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PR #190 </t>
    </r>
    <r>
      <rPr>
        <b val="true"/>
        <sz val="11"/>
        <rFont val="Noto Sans CJK SC"/>
        <family val="2"/>
      </rPr>
      <t xml:space="preserve">未合併前讀現行 </t>
    </r>
    <r>
      <rPr>
        <b val="true"/>
        <sz val="11"/>
        <rFont val="Cambria"/>
        <family val="0"/>
        <charset val="1"/>
      </rPr>
      <t xml:space="preserve">company.json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data</t>
    </r>
    <r>
      <rPr>
        <b val="true"/>
        <sz val="11"/>
        <rFont val="Noto Sans CJK SC"/>
        <family val="2"/>
      </rPr>
      <t xml:space="preserve">）</t>
    </r>
  </si>
  <si>
    <t xml:space="preserve">cap_msft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</si>
  <si>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資本支出（財年）</t>
    </r>
  </si>
  <si>
    <t xml:space="preserve">US$B</t>
  </si>
  <si>
    <t xml:space="preserve">SRC_GL_011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</si>
  <si>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共識（現金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增添，不含融資租賃）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115.9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FY27–29 </t>
    </r>
    <r>
      <rPr>
        <sz val="11"/>
        <color theme="1"/>
        <rFont val="Noto Sans CJK SC"/>
        <family val="2"/>
      </rPr>
      <t xml:space="preserve">預估；</t>
    </r>
    <r>
      <rPr>
        <sz val="11"/>
        <color theme="1"/>
        <rFont val="Calibri"/>
        <family val="2"/>
        <charset val="1"/>
      </rPr>
      <t xml:space="preserve">PR #190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MSFT v0.3</t>
    </r>
    <r>
      <rPr>
        <sz val="11"/>
        <color theme="1"/>
        <rFont val="Noto Sans CJK SC"/>
        <family val="2"/>
      </rPr>
      <t xml:space="preserve">）未合併，讀現行 </t>
    </r>
    <r>
      <rPr>
        <sz val="11"/>
        <color theme="1"/>
        <rFont val="Calibri"/>
        <family val="2"/>
        <charset val="1"/>
      </rPr>
      <t xml:space="preserve">company.json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FY2024 44.477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64.551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現金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增添（</t>
    </r>
    <r>
      <rPr>
        <sz val="11"/>
        <color theme="1"/>
        <rFont val="Calibri"/>
        <family val="2"/>
        <charset val="1"/>
      </rPr>
      <t xml:space="preserve">microsoft/data/microsoft_facts_20261008.json cf.capex.fy2024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</si>
  <si>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cap_googl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</si>
  <si>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資本支出（財年）</t>
    </r>
  </si>
  <si>
    <t xml:space="preserve">SRC_GL_021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</si>
  <si>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91.4</t>
    </r>
    <r>
      <rPr>
        <sz val="11"/>
        <color theme="1"/>
        <rFont val="Noto Sans CJK SC"/>
        <family val="2"/>
      </rPr>
      <t xml:space="preserve">（現金購置）；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195–205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（法說）；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PR #190 </t>
    </r>
    <r>
      <rPr>
        <sz val="11"/>
        <color theme="1"/>
        <rFont val="Noto Sans CJK SC"/>
        <family val="2"/>
      </rPr>
      <t xml:space="preserve">未合併</t>
    </r>
  </si>
  <si>
    <t xml:space="preserve">cap_amzn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</si>
  <si>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資本支出（財年）</t>
    </r>
  </si>
  <si>
    <t xml:space="preserve">SRC_GL_031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</si>
  <si>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Noto Sans CJK SC"/>
        <family val="2"/>
      </rPr>
      <t xml:space="preserve">（現金淨額，法說）；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共識；全公司（含非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PR #190 </t>
    </r>
    <r>
      <rPr>
        <sz val="11"/>
        <color theme="1"/>
        <rFont val="Noto Sans CJK SC"/>
        <family val="2"/>
      </rPr>
      <t xml:space="preserve">未合併；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128.32</t>
    </r>
    <r>
      <rPr>
        <sz val="11"/>
        <color theme="1"/>
        <rFont val="Noto Sans CJK SC"/>
        <family val="2"/>
      </rPr>
      <t xml:space="preserve">＝現金淨額（</t>
    </r>
    <r>
      <rPr>
        <sz val="11"/>
        <color theme="1"/>
        <rFont val="Calibri"/>
        <family val="2"/>
        <charset val="1"/>
      </rPr>
      <t xml:space="preserve">amazon/company.json mag.cashflow.fy.fy2025.capexNet</t>
    </r>
    <r>
      <rPr>
        <sz val="11"/>
        <color theme="1"/>
        <rFont val="Noto Sans CJK SC"/>
        <family val="2"/>
      </rPr>
      <t xml:space="preserve">，與指引同口徑）</t>
    </r>
  </si>
  <si>
    <t xml:space="preserve">cap_meta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</si>
  <si>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資本支出（財年）</t>
    </r>
  </si>
  <si>
    <r>
      <rPr>
        <sz val="11"/>
        <color theme="1"/>
        <rFont val="Calibri"/>
        <family val="2"/>
        <charset val="1"/>
      </rPr>
      <t xml:space="preserve">A#63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2026 135–145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（含融資租賃本金）；</t>
    </r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 Paso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80/20 </t>
    </r>
    <r>
      <rPr>
        <sz val="11"/>
        <color theme="1"/>
        <rFont val="Noto Sans CJK SC"/>
        <family val="2"/>
      </rPr>
      <t xml:space="preserve">合資，資本支出不在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帳上；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實際未在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，留空：甲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的年份跳過（改用 甲）</t>
    </r>
  </si>
  <si>
    <t xml:space="preserve">cap_orcl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</si>
  <si>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資本支出（財年）</t>
    </r>
  </si>
  <si>
    <t xml:space="preserve">SRC_GL_041</t>
  </si>
  <si>
    <r>
      <rPr>
        <sz val="11"/>
        <color theme="1"/>
        <rFont val="Calibri"/>
        <family val="2"/>
        <charset val="1"/>
      </rPr>
      <t xml:space="preserve">FY26 55.7</t>
    </r>
    <r>
      <rPr>
        <sz val="11"/>
        <color theme="1"/>
        <rFont val="Noto Sans CJK SC"/>
        <family val="2"/>
      </rPr>
      <t xml:space="preserve">（共識表實際）；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90–95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92.5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FY28–29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PR #190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ORCL v0.4</t>
    </r>
    <r>
      <rPr>
        <sz val="11"/>
        <color theme="1"/>
        <rFont val="Noto Sans CJK SC"/>
        <family val="2"/>
      </rPr>
      <t xml:space="preserve">）未合併；</t>
    </r>
    <r>
      <rPr>
        <sz val="11"/>
        <color theme="1"/>
        <rFont val="Calibri"/>
        <family val="2"/>
        <charset val="1"/>
      </rPr>
      <t xml:space="preserve">FY2025 21.215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現金資本支出（</t>
    </r>
    <r>
      <rPr>
        <sz val="11"/>
        <color theme="1"/>
        <rFont val="Calibri"/>
        <family val="2"/>
        <charset val="1"/>
      </rPr>
      <t xml:space="preserve">oracle/data/oracle_facts_20261007.json cf.capex.fy2025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</si>
  <si>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cap_crwv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</si>
  <si>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資本支出（財年）</t>
    </r>
  </si>
  <si>
    <t xml:space="preserve">SRC_GL_051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</si>
  <si>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35–39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實際未在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 10-K </t>
    </r>
    <r>
      <rPr>
        <sz val="11"/>
        <color theme="1"/>
        <rFont val="Noto Sans CJK SC"/>
        <family val="2"/>
      </rPr>
      <t xml:space="preserve">原頁被擋），留空：甲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的年份跳過（改用 甲）</t>
    </r>
  </si>
  <si>
    <t xml:space="preserve">cap_nbis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</si>
  <si>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資本支出（財年）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</si>
  <si>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22.5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4.066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20-F </t>
    </r>
    <r>
      <rPr>
        <sz val="11"/>
        <color theme="1"/>
        <rFont val="Noto Sans CJK SC"/>
        <family val="2"/>
      </rPr>
      <t xml:space="preserve">現金資本支出（</t>
    </r>
    <r>
      <rPr>
        <sz val="11"/>
        <color theme="1"/>
        <rFont val="Calibri"/>
        <family val="2"/>
        <charset val="1"/>
      </rPr>
      <t xml:space="preserve">nebius/data/nebius_facts_20261007.json cf.capexCash.fy25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</si>
  <si>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cap_wyfi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</si>
  <si>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資本支出（財年）</t>
    </r>
  </si>
  <si>
    <t xml:space="preserve">待證據</t>
  </si>
  <si>
    <t xml:space="preserve">SRC_GL_000</t>
  </si>
  <si>
    <r>
      <rPr>
        <sz val="11"/>
        <color theme="1"/>
        <rFont val="Noto Sans CJK SC"/>
        <family val="2"/>
      </rPr>
      <t xml:space="preserve">共識資本支出未取得（</t>
    </r>
    <r>
      <rPr>
        <sz val="11"/>
        <color theme="1"/>
        <rFont val="Calibri"/>
        <family val="2"/>
        <charset val="1"/>
      </rPr>
      <t xml:space="preserve">consensus_wyfi_20261008.json annualEstimates </t>
    </r>
    <r>
      <rPr>
        <sz val="11"/>
        <color theme="1"/>
        <rFont val="Noto Sans CJK SC"/>
        <family val="2"/>
      </rPr>
      <t xml:space="preserve">空白）</t>
    </r>
  </si>
  <si>
    <t xml:space="preserve">cap_xai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</si>
  <si>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資本支出（財年）</t>
    </r>
  </si>
  <si>
    <t xml:space="preserve">待證據（無個股模型或未取得）</t>
  </si>
  <si>
    <t xml:space="preserve">cap_oai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</si>
  <si>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資本支出（財年）</t>
    </r>
  </si>
  <si>
    <t xml:space="preserve">cap_ant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</si>
  <si>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資本支出（財年）</t>
    </r>
  </si>
  <si>
    <t xml:space="preserve">cap_neo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</si>
  <si>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資本支出（財年）</t>
    </r>
  </si>
  <si>
    <t xml:space="preserve">cap_sov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</si>
  <si>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只含 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） 資本支出（財年）</t>
    </r>
  </si>
  <si>
    <t xml:space="preserve">cap_cn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</si>
  <si>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資本支出（財年）</t>
    </r>
  </si>
  <si>
    <t xml:space="preserve">cap_oth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</si>
  <si>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 資本支出（財年）</t>
    </r>
  </si>
  <si>
    <r>
      <rPr>
        <b val="true"/>
        <sz val="11"/>
        <rFont val="Cambria"/>
        <family val="0"/>
        <charset val="1"/>
      </rPr>
      <t xml:space="preserve">Y3.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資本支出（公司財年，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 </t>
    </r>
    <r>
      <rPr>
        <b val="true"/>
        <sz val="11"/>
        <rFont val="Noto Sans CJK SC"/>
        <family val="2"/>
      </rPr>
      <t xml:space="preserve">加回）</t>
    </r>
  </si>
  <si>
    <t xml:space="preserve">nai_msft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</si>
  <si>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</si>
  <si>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r>
      <rPr>
        <sz val="11"/>
        <color theme="1"/>
        <rFont val="Noto Sans CJK SC"/>
        <family val="2"/>
      </rPr>
      <t xml:space="preserve">待證據；空白視為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推算偏低）</t>
    </r>
  </si>
  <si>
    <t xml:space="preserve">nai_googl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</si>
  <si>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</si>
  <si>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</si>
  <si>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</si>
  <si>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</si>
  <si>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</si>
  <si>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</si>
  <si>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</si>
  <si>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</si>
  <si>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</si>
  <si>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</si>
  <si>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</si>
  <si>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</si>
  <si>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</si>
  <si>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</si>
  <si>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</si>
  <si>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</si>
  <si>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</si>
  <si>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</si>
  <si>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</si>
  <si>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nai_neo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</si>
  <si>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</si>
  <si>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nai_sov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</si>
  <si>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只含 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</si>
  <si>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nai_cn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</si>
  <si>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</si>
  <si>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nai_oth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</si>
  <si>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</si>
  <si>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r>
      <rPr>
        <b val="true"/>
        <sz val="11"/>
        <rFont val="Cambria"/>
        <family val="0"/>
        <charset val="1"/>
      </rPr>
      <t xml:space="preserve">Y4. </t>
    </r>
    <r>
      <rPr>
        <b val="true"/>
        <sz val="11"/>
        <rFont val="Noto Sans CJK SC"/>
        <family val="2"/>
      </rPr>
      <t xml:space="preserve">使用者總量（報導或使用者模型；只作 </t>
    </r>
    <r>
      <rPr>
        <b val="true"/>
        <sz val="11"/>
        <rFont val="Cambria"/>
        <family val="0"/>
        <charset val="1"/>
      </rPr>
      <t xml:space="preserve">Matrix </t>
    </r>
    <r>
      <rPr>
        <b val="true"/>
        <sz val="11"/>
        <rFont val="Noto Sans CJK SC"/>
        <family val="2"/>
      </rPr>
      <t xml:space="preserve">欄和對照）</t>
    </r>
  </si>
  <si>
    <t xml:space="preserve">usr_oai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</si>
  <si>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使用算力年底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（報導）</t>
    </r>
  </si>
  <si>
    <r>
      <rPr>
        <sz val="11"/>
        <color theme="1"/>
        <rFont val="Calibri"/>
        <family val="2"/>
        <charset val="1"/>
      </rPr>
      <t xml:space="preserve">2025 1.9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B#2 Friar</t>
    </r>
    <r>
      <rPr>
        <sz val="11"/>
        <color theme="1"/>
        <rFont val="Noto Sans CJK SC"/>
        <family val="2"/>
      </rPr>
      <t xml:space="preserve">，屬實）；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B#6 </t>
    </r>
    <r>
      <rPr>
        <sz val="11"/>
        <color theme="1"/>
        <rFont val="Noto Sans CJK SC"/>
        <family val="2"/>
      </rPr>
      <t xml:space="preserve">第三方 </t>
    </r>
    <r>
      <rPr>
        <sz val="11"/>
        <color theme="1"/>
        <rFont val="Calibri"/>
        <family val="2"/>
        <charset val="1"/>
      </rPr>
      <t xml:space="preserve">5–6</t>
    </r>
    <r>
      <rPr>
        <sz val="11"/>
        <color theme="1"/>
        <rFont val="Noto Sans CJK SC"/>
        <family val="2"/>
      </rPr>
      <t xml:space="preserve">，屬實）；</t>
    </r>
    <r>
      <rPr>
        <sz val="11"/>
        <color theme="1"/>
        <rFont val="Calibri"/>
        <family val="2"/>
        <charset val="1"/>
      </rPr>
      <t xml:space="preserve">2027 11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 Epoch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low double-digit GW</t>
    </r>
    <r>
      <rPr>
        <sz val="11"/>
        <color theme="1"/>
        <rFont val="Noto Sans CJK SC"/>
        <family val="2"/>
      </rPr>
      <t xml:space="preserve">』屬實；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中點）</t>
    </r>
  </si>
  <si>
    <t xml:space="preserve">usr_ant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</si>
  <si>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使用算力年底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（報導）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</si>
  <si>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Compute B174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B#45 NYT </t>
    </r>
    <r>
      <rPr>
        <sz val="11"/>
        <color theme="1"/>
        <rFont val="Noto Sans CJK SC"/>
        <family val="2"/>
      </rPr>
      <t xml:space="preserve">轉述，屬實）</t>
    </r>
  </si>
  <si>
    <r>
      <rPr>
        <b val="true"/>
        <sz val="11"/>
        <rFont val="Cambria"/>
        <family val="0"/>
        <charset val="1"/>
      </rPr>
      <t xml:space="preserve">Y5. </t>
    </r>
    <r>
      <rPr>
        <b val="true"/>
        <sz val="11"/>
        <rFont val="Noto Sans CJK SC"/>
        <family val="2"/>
      </rPr>
      <t xml:space="preserve">第三方總量（</t>
    </r>
    <r>
      <rPr>
        <b val="true"/>
        <sz val="11"/>
        <rFont val="Cambria"/>
        <family val="0"/>
        <charset val="1"/>
      </rPr>
      <t xml:space="preserve">C0 </t>
    </r>
    <r>
      <rPr>
        <b val="true"/>
        <sz val="11"/>
        <rFont val="Noto Sans CJK SC"/>
        <family val="2"/>
      </rPr>
      <t xml:space="preserve">佐證；只作佐證，不校準）</t>
    </r>
  </si>
  <si>
    <t xml:space="preserve">tp_epoch</t>
  </si>
  <si>
    <r>
      <rPr>
        <sz val="11"/>
        <color theme="1"/>
        <rFont val="Calibri"/>
        <family val="2"/>
        <charset val="1"/>
      </rPr>
      <t xml:space="preserve">Epoch AI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資料中心容量（設施；晶片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</si>
  <si>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B#63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 GW</t>
    </r>
    <r>
      <rPr>
        <sz val="11"/>
        <color theme="1"/>
        <rFont val="Noto Sans CJK SC"/>
        <family val="2"/>
      </rPr>
      <t xml:space="preserve">；未說明是否含中國；</t>
    </r>
    <r>
      <rPr>
        <sz val="11"/>
        <color theme="1"/>
        <rFont val="Calibri"/>
        <family val="2"/>
        <charset val="1"/>
      </rPr>
      <t xml:space="preserve">Other </t>
    </r>
    <r>
      <rPr>
        <sz val="11"/>
        <color theme="1"/>
        <rFont val="Noto Sans CJK SC"/>
        <family val="2"/>
      </rPr>
      <t xml:space="preserve">類可能含中國買家晶片（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）</t>
    </r>
  </si>
  <si>
    <t xml:space="preserve">tp_mck</t>
  </si>
  <si>
    <r>
      <rPr>
        <sz val="11"/>
        <color theme="1"/>
        <rFont val="Calibri"/>
        <family val="2"/>
        <charset val="1"/>
      </rPr>
      <t xml:space="preserve">McKinsey AI </t>
    </r>
    <r>
      <rPr>
        <sz val="11"/>
        <color theme="1"/>
        <rFont val="Noto Sans CJK SC"/>
        <family val="2"/>
      </rPr>
      <t xml:space="preserve">資料中心容量需求（第二來源）</t>
    </r>
  </si>
  <si>
    <r>
      <rPr>
        <sz val="11"/>
        <color theme="1"/>
        <rFont val="Calibri"/>
        <family val="2"/>
        <charset val="1"/>
      </rPr>
      <t xml:space="preserve">B#67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31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156−125 </t>
    </r>
    <r>
      <rPr>
        <sz val="11"/>
        <color theme="1"/>
        <rFont val="Noto Sans CJK SC"/>
        <family val="2"/>
      </rPr>
      <t xml:space="preserve">推）；需求基期，非實際裝機；口徑未說明，比照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讀為設施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（待決）</t>
    </r>
  </si>
  <si>
    <r>
      <rPr>
        <b val="true"/>
        <sz val="11"/>
        <rFont val="Cambria"/>
        <family val="0"/>
        <charset val="1"/>
      </rPr>
      <t xml:space="preserve">Y6. </t>
    </r>
    <r>
      <rPr>
        <b val="true"/>
        <sz val="11"/>
        <rFont val="Noto Sans CJK SC"/>
        <family val="2"/>
      </rPr>
      <t xml:space="preserve">世代組合（新增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內部占比；空白年＝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頁由 </t>
    </r>
    <r>
      <rPr>
        <b val="true"/>
        <sz val="11"/>
        <rFont val="Cambria"/>
        <family val="0"/>
        <charset val="1"/>
      </rPr>
      <t xml:space="preserve">SIL_In </t>
    </r>
    <r>
      <rPr>
        <b val="true"/>
        <sz val="11"/>
        <rFont val="Noto Sans CJK SC"/>
        <family val="2"/>
      </rPr>
      <t xml:space="preserve">推導〔</t>
    </r>
    <r>
      <rPr>
        <b val="true"/>
        <sz val="11"/>
        <rFont val="Cambria"/>
        <family val="0"/>
        <charset val="1"/>
      </rPr>
      <t xml:space="preserve">Derived</t>
    </r>
    <r>
      <rPr>
        <b val="true"/>
        <sz val="11"/>
        <rFont val="Noto Sans CJK SC"/>
        <family val="2"/>
      </rPr>
      <t xml:space="preserve">〕）</t>
    </r>
  </si>
  <si>
    <t xml:space="preserve">mix_H100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</si>
  <si>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</si>
  <si>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2023–25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2026–29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</si>
  <si>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SRC_GL_100</t>
  </si>
  <si>
    <r>
      <rPr>
        <sz val="11"/>
        <color theme="1"/>
        <rFont val="Calibri"/>
        <family val="2"/>
        <charset val="1"/>
      </rPr>
      <t xml:space="preserve">2023–24 Hopper</t>
    </r>
    <r>
      <rPr>
        <sz val="11"/>
        <color theme="1"/>
        <rFont val="Noto Sans CJK SC"/>
        <family val="2"/>
      </rPr>
      <t xml:space="preserve">（工作單第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CoreWeave 2025 </t>
    </r>
    <r>
      <rPr>
        <sz val="11"/>
        <color theme="1"/>
        <rFont val="Noto Sans CJK SC"/>
        <family val="2"/>
      </rPr>
      <t xml:space="preserve">新增組合 </t>
    </r>
    <r>
      <rPr>
        <sz val="11"/>
        <color theme="1"/>
        <rFont val="Calibri"/>
        <family val="2"/>
        <charset val="1"/>
      </rPr>
      <t xml:space="preserve">GB200 70%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20%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H200 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1−SIL_vr26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SIL_vr26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2027–29 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ru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Siliconomics 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</si>
  <si>
    <t xml:space="preserve">mix_GB200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</si>
  <si>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GB200 NVL72</t>
    </r>
  </si>
  <si>
    <t xml:space="preserve">mix_GB300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</si>
  <si>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GB300 NVL72</t>
    </r>
  </si>
  <si>
    <t xml:space="preserve">mix_VR200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</si>
  <si>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VR200 NVL72</t>
    </r>
  </si>
  <si>
    <t xml:space="preserve">mix_RU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</si>
  <si>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Rubin Ultra</t>
    </r>
  </si>
  <si>
    <t xml:space="preserve">nnv_mkt</t>
  </si>
  <si>
    <r>
      <rPr>
        <sz val="11"/>
        <color theme="1"/>
        <rFont val="Noto Sans CJK SC"/>
        <family val="2"/>
      </rPr>
      <t xml:space="preserve">市場新增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占比（覆寫；空白＝</t>
    </r>
    <r>
      <rPr>
        <sz val="11"/>
        <color theme="1"/>
        <rFont val="Calibri"/>
        <family val="2"/>
        <charset val="1"/>
      </rPr>
      <t xml:space="preserve">SIL </t>
    </r>
    <r>
      <rPr>
        <sz val="11"/>
        <color theme="1"/>
        <rFont val="Noto Sans CJK SC"/>
        <family val="2"/>
      </rPr>
      <t xml:space="preserve">推導，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</si>
  <si>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2026–29 </t>
    </r>
    <r>
      <rPr>
        <sz val="11"/>
        <color theme="1"/>
        <rFont val="Noto Sans CJK SC"/>
        <family val="2"/>
      </rPr>
      <t xml:space="preserve">預設由 </t>
    </r>
    <r>
      <rPr>
        <sz val="11"/>
        <color theme="1"/>
        <rFont val="Calibri"/>
        <family val="2"/>
        <charset val="1"/>
      </rPr>
      <t xml:space="preserve">Siliconomics Units 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推導（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無來源，沿用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值待決</t>
    </r>
  </si>
  <si>
    <r>
      <rPr>
        <b val="true"/>
        <sz val="11"/>
        <rFont val="Cambria"/>
        <family val="0"/>
        <charset val="1"/>
      </rPr>
      <t xml:space="preserve">T1. </t>
    </r>
    <r>
      <rPr>
        <b val="true"/>
        <sz val="11"/>
        <rFont val="Noto Sans CJK SC"/>
        <family val="2"/>
      </rPr>
      <t xml:space="preserve">營運者 → 使用者分配（每列一筆：</t>
    </r>
    <r>
      <rPr>
        <b val="true"/>
        <sz val="11"/>
        <rFont val="Cambria"/>
        <family val="0"/>
        <charset val="1"/>
      </rPr>
      <t xml:space="preserve">H </t>
    </r>
    <r>
      <rPr>
        <b val="true"/>
        <sz val="11"/>
        <rFont val="Noto Sans CJK SC"/>
        <family val="2"/>
      </rPr>
      <t xml:space="preserve">營運者鍵、</t>
    </r>
    <r>
      <rPr>
        <b val="true"/>
        <sz val="11"/>
        <rFont val="Cambria"/>
        <family val="0"/>
        <charset val="1"/>
      </rPr>
      <t xml:space="preserve">I </t>
    </r>
    <r>
      <rPr>
        <b val="true"/>
        <sz val="11"/>
        <rFont val="Noto Sans CJK SC"/>
        <family val="2"/>
      </rPr>
      <t xml:space="preserve">使用者鍵〔</t>
    </r>
    <r>
      <rPr>
        <b val="true"/>
        <sz val="11"/>
        <rFont val="Cambria"/>
        <family val="0"/>
        <charset val="1"/>
      </rPr>
      <t xml:space="preserve">self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oai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ant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xai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meta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googl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msft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oth</t>
    </r>
    <r>
      <rPr>
        <b val="true"/>
        <sz val="11"/>
        <rFont val="Noto Sans CJK SC"/>
        <family val="2"/>
      </rPr>
      <t xml:space="preserve">〕、</t>
    </r>
    <r>
      <rPr>
        <b val="true"/>
        <sz val="11"/>
        <rFont val="Cambria"/>
        <family val="0"/>
        <charset val="1"/>
      </rPr>
      <t xml:space="preserve">J </t>
    </r>
    <r>
      <rPr>
        <b val="true"/>
        <sz val="11"/>
        <rFont val="Noto Sans CJK SC"/>
        <family val="2"/>
      </rPr>
      <t xml:space="preserve">形式〔比＝占營運者年底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比例；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＝絕對值〕、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M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年底；未列＝未分配）</t>
    </r>
  </si>
  <si>
    <t xml:space="preserve">營運者</t>
  </si>
  <si>
    <t xml:space="preserve">使用者</t>
  </si>
  <si>
    <t xml:space="preserve">形式</t>
  </si>
  <si>
    <t xml:space="preserve">al_msft_self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</si>
  <si>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→ 自用</t>
    </r>
  </si>
  <si>
    <t xml:space="preserve">比</t>
  </si>
  <si>
    <r>
      <rPr>
        <sz val="11"/>
        <color theme="1"/>
        <rFont val="Noto Sans CJK SC"/>
        <family val="2"/>
      </rPr>
      <t xml:space="preserve">自用＝</t>
    </r>
    <r>
      <rPr>
        <sz val="11"/>
        <color theme="1"/>
        <rFont val="Calibri"/>
        <family val="2"/>
        <charset val="1"/>
      </rPr>
      <t xml:space="preserve">1 − mag.mw.externalShare 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0.5–0.75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占比不可分離（</t>
    </r>
    <r>
      <rPr>
        <sz val="11"/>
        <color theme="1"/>
        <rFont val="Calibri"/>
        <family val="2"/>
        <charset val="1"/>
      </rPr>
      <t xml:space="preserve">B_summary 1.4</t>
    </r>
    <r>
      <rPr>
        <sz val="11"/>
        <color theme="1"/>
        <rFont val="Noto Sans CJK SC"/>
        <family val="2"/>
      </rPr>
      <t xml:space="preserve">）→ 對外部分未分配</t>
    </r>
  </si>
  <si>
    <t xml:space="preserve">msft</t>
  </si>
  <si>
    <t xml:space="preserve">self</t>
  </si>
  <si>
    <t xml:space="preserve">al_googl_self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</si>
  <si>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自用</t>
    </r>
  </si>
  <si>
    <r>
      <rPr>
        <sz val="11"/>
        <color theme="1"/>
        <rFont val="Noto Sans CJK SC"/>
        <family val="2"/>
      </rPr>
      <t xml:space="preserve">自用＝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scenarios.mwPath.note</t>
    </r>
    <r>
      <rPr>
        <sz val="11"/>
        <color theme="1"/>
        <rFont val="Noto Sans CJK SC"/>
        <family val="2"/>
      </rPr>
      <t xml:space="preserve">）</t>
    </r>
  </si>
  <si>
    <t xml:space="preserve">googl</t>
  </si>
  <si>
    <t xml:space="preserve">al_googl_ant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</si>
  <si>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</t>
    </r>
    <r>
      <rPr>
        <sz val="11"/>
        <color theme="1"/>
        <rFont val="Calibri"/>
        <family val="2"/>
        <charset val="1"/>
      </rPr>
      <t xml:space="preserve">Anthropic</t>
    </r>
  </si>
  <si>
    <r>
      <rPr>
        <sz val="11"/>
        <color theme="1"/>
        <rFont val="Calibri"/>
        <family val="2"/>
        <charset val="1"/>
      </rPr>
      <t xml:space="preserve">A#29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well over a gigawatt</t>
    </r>
    <r>
      <rPr>
        <sz val="11"/>
        <color theme="1"/>
        <rFont val="Noto Sans CJK SC"/>
        <family val="2"/>
      </rPr>
      <t xml:space="preserve">』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上線，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&gt;1 GW </t>
    </r>
    <r>
      <rPr>
        <sz val="11"/>
        <color theme="1"/>
        <rFont val="Noto Sans CJK SC"/>
        <family val="2"/>
      </rPr>
      <t xml:space="preserve">的下限；</t>
    </r>
    <r>
      <rPr>
        <sz val="11"/>
        <color theme="1"/>
        <rFont val="Calibri"/>
        <family val="2"/>
        <charset val="1"/>
      </rPr>
      <t xml:space="preserve">Broadcom 3.5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A#30 </t>
    </r>
    <r>
      <rPr>
        <sz val="11"/>
        <color theme="1"/>
        <rFont val="Noto Sans CJK SC"/>
        <family val="2"/>
      </rPr>
      <t xml:space="preserve">無法核對、設施由他方營運）不入</t>
    </r>
  </si>
  <si>
    <t xml:space="preserve">ant</t>
  </si>
  <si>
    <t xml:space="preserve">al_amzn_self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</si>
  <si>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自用</t>
    </r>
  </si>
  <si>
    <r>
      <rPr>
        <sz val="11"/>
        <color theme="1"/>
        <rFont val="Noto Sans CJK SC"/>
        <family val="2"/>
      </rPr>
      <t xml:space="preserve">自用＝</t>
    </r>
    <r>
      <rPr>
        <sz val="11"/>
        <color theme="1"/>
        <rFont val="Calibri"/>
        <family val="2"/>
        <charset val="1"/>
      </rPr>
      <t xml:space="preserve">1 − mag.mw.externalShare 0.8</t>
    </r>
  </si>
  <si>
    <t xml:space="preserve">amzn</t>
  </si>
  <si>
    <t xml:space="preserve">al_amzn_ant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</si>
  <si>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</t>
    </r>
    <r>
      <rPr>
        <sz val="11"/>
        <color theme="1"/>
        <rFont val="Calibri"/>
        <family val="2"/>
        <charset val="1"/>
      </rPr>
      <t xml:space="preserve">Anthropic</t>
    </r>
  </si>
  <si>
    <r>
      <rPr>
        <sz val="11"/>
        <color theme="1"/>
        <rFont val="Calibri"/>
        <family val="2"/>
        <charset val="1"/>
      </rPr>
      <t xml:space="preserve">A#41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New Carlisle 2025-12 626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 1,037 MW-IT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Ridgeland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Madison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A#43–44 </t>
    </r>
    <r>
      <rPr>
        <sz val="11"/>
        <color theme="1"/>
        <rFont val="Noto Sans CJK SC"/>
        <family val="2"/>
      </rPr>
      <t xml:space="preserve">推測、未抽查）不入</t>
    </r>
  </si>
  <si>
    <t xml:space="preserve">al_meta_self</t>
  </si>
  <si>
    <t xml:space="preserve">Meta → Meta</t>
  </si>
  <si>
    <r>
      <rPr>
        <sz val="11"/>
        <color theme="1"/>
        <rFont val="Noto Sans CJK SC"/>
        <family val="2"/>
      </rPr>
      <t xml:space="preserve">結構：自建自用（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租用在營運者列）</t>
    </r>
  </si>
  <si>
    <t xml:space="preserve">meta</t>
  </si>
  <si>
    <t xml:space="preserve">al_orcl_oai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</si>
  <si>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→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</si>
  <si>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A#69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Abilene 618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75% → </t>
    </r>
    <r>
      <rPr>
        <sz val="11"/>
        <color theme="1"/>
        <rFont val="Noto Sans CJK SC"/>
        <family val="2"/>
      </rPr>
      <t xml:space="preserve">全場 </t>
    </r>
    <r>
      <rPr>
        <sz val="11"/>
        <color theme="1"/>
        <rFont val="Calibri"/>
        <family val="2"/>
        <charset val="1"/>
      </rPr>
      <t xml:space="preserve">824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Shackelford </t>
    </r>
    <r>
      <rPr>
        <sz val="11"/>
        <color theme="1"/>
        <rFont val="Noto Sans CJK SC"/>
        <family val="2"/>
      </rPr>
      <t xml:space="preserve">首棟 </t>
    </r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設施 </t>
    </r>
    <r>
      <rPr>
        <sz val="11"/>
        <color theme="1"/>
        <rFont val="Calibri"/>
        <family val="2"/>
        <charset val="1"/>
      </rPr>
      <t xml:space="preserve">÷ 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A#72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B#10 </t>
    </r>
    <r>
      <rPr>
        <sz val="11"/>
        <color theme="1"/>
        <rFont val="Noto Sans CJK SC"/>
        <family val="2"/>
      </rPr>
      <t xml:space="preserve">更正 </t>
    </r>
    <r>
      <rPr>
        <sz val="11"/>
        <color theme="1"/>
        <rFont val="Calibri"/>
        <family val="2"/>
        <charset val="1"/>
      </rPr>
      <t xml:space="preserve">2027-08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 Abilene </t>
    </r>
    <r>
      <rPr>
        <sz val="11"/>
        <color theme="1"/>
        <rFont val="Noto Sans CJK SC"/>
        <family val="2"/>
      </rPr>
      <t xml:space="preserve">上線量未揭露 → 未分配</t>
    </r>
  </si>
  <si>
    <t xml:space="preserve">orcl</t>
  </si>
  <si>
    <t xml:space="preserve">oai</t>
  </si>
  <si>
    <t xml:space="preserve">al_xai_googl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</si>
  <si>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→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（租用）</t>
    </r>
  </si>
  <si>
    <r>
      <rPr>
        <sz val="11"/>
        <color theme="1"/>
        <rFont val="Calibri"/>
        <family val="2"/>
        <charset val="1"/>
      </rPr>
      <t xml:space="preserve">A#33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段更正方向）、</t>
    </r>
    <r>
      <rPr>
        <sz val="11"/>
        <color theme="1"/>
        <rFont val="Calibri"/>
        <family val="2"/>
        <charset val="1"/>
      </rPr>
      <t xml:space="preserve">B#49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租 </t>
    </r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153–226 MW-IT </t>
    </r>
    <r>
      <rPr>
        <sz val="11"/>
        <color theme="1"/>
        <rFont val="Noto Sans CJK SC"/>
        <family val="2"/>
      </rPr>
      <t xml:space="preserve">取中 </t>
    </r>
    <r>
      <rPr>
        <sz val="11"/>
        <color theme="1"/>
        <rFont val="Calibri"/>
        <family val="2"/>
        <charset val="1"/>
      </rPr>
      <t xml:space="preserve">190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起；使用者＝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Anthropic &gt;300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B#34 </t>
    </r>
    <r>
      <rPr>
        <sz val="11"/>
        <color theme="1"/>
        <rFont val="Noto Sans CJK SC"/>
        <family val="2"/>
      </rPr>
      <t xml:space="preserve">無法核對）未分配</t>
    </r>
  </si>
  <si>
    <t xml:space="preserve">xai</t>
  </si>
  <si>
    <t xml:space="preserve">al_oai_self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</si>
  <si>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→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</si>
  <si>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Stargate 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站點使用者為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B#16 </t>
    </r>
    <r>
      <rPr>
        <sz val="11"/>
        <color theme="1"/>
        <rFont val="Noto Sans CJK SC"/>
        <family val="2"/>
      </rPr>
      <t xml:space="preserve">更正）</t>
    </r>
  </si>
  <si>
    <t xml:space="preserve">al_ant_self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</si>
  <si>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→ </t>
    </r>
    <r>
      <rPr>
        <sz val="11"/>
        <color theme="1"/>
        <rFont val="Calibri"/>
        <family val="2"/>
        <charset val="1"/>
      </rPr>
      <t xml:space="preserve">Anthropic</t>
    </r>
  </si>
  <si>
    <t xml:space="preserve">結構：自建自用</t>
  </si>
  <si>
    <t xml:space="preserve">al_neo_msft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</si>
  <si>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→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（租用）</t>
    </r>
  </si>
  <si>
    <r>
      <rPr>
        <sz val="11"/>
        <color theme="1"/>
        <rFont val="Calibri"/>
        <family val="2"/>
        <charset val="1"/>
      </rPr>
      <t xml:space="preserve">A#104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IREN Childress 4 × 50 MW IT </t>
    </r>
    <r>
      <rPr>
        <sz val="11"/>
        <color theme="1"/>
        <rFont val="Noto Sans CJK SC"/>
        <family val="2"/>
      </rPr>
      <t xml:space="preserve">給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H3–4 2026Q4</t>
    </r>
    <r>
      <rPr>
        <sz val="11"/>
        <color theme="1"/>
        <rFont val="Noto Sans CJK SC"/>
        <family val="2"/>
      </rPr>
      <t xml:space="preserve">）</t>
    </r>
  </si>
  <si>
    <t xml:space="preserve">neo</t>
  </si>
  <si>
    <t xml:space="preserve">al_neo_ant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</si>
  <si>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→ </t>
    </r>
    <r>
      <rPr>
        <sz val="11"/>
        <color theme="1"/>
        <rFont val="Calibri"/>
        <family val="2"/>
        <charset val="1"/>
      </rPr>
      <t xml:space="preserve">Anthropic</t>
    </r>
  </si>
  <si>
    <r>
      <rPr>
        <sz val="11"/>
        <color theme="1"/>
        <rFont val="Calibri"/>
        <family val="2"/>
        <charset val="1"/>
      </rPr>
      <t xml:space="preserve">A#114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B#36</t>
    </r>
    <r>
      <rPr>
        <sz val="11"/>
        <color theme="1"/>
        <rFont val="Noto Sans CJK SC"/>
        <family val="2"/>
      </rPr>
      <t xml:space="preserve">（更正）：</t>
    </r>
    <r>
      <rPr>
        <sz val="11"/>
        <color theme="1"/>
        <rFont val="Calibri"/>
        <family val="2"/>
        <charset val="1"/>
      </rPr>
      <t xml:space="preserve">TeraWulf Kentucky 401 MW IT </t>
    </r>
    <r>
      <rPr>
        <sz val="11"/>
        <color theme="1"/>
        <rFont val="Noto Sans CJK SC"/>
        <family val="2"/>
      </rPr>
      <t xml:space="preserve">給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，首期 </t>
    </r>
    <r>
      <rPr>
        <sz val="11"/>
        <color theme="1"/>
        <rFont val="Calibri"/>
        <family val="2"/>
        <charset val="1"/>
      </rPr>
      <t xml:space="preserve">2027H2</t>
    </r>
  </si>
  <si>
    <t xml:space="preserve">al_cn_self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</si>
  <si>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→ 自用</t>
    </r>
  </si>
  <si>
    <t xml:space="preserve">結構：中國國內自用</t>
  </si>
  <si>
    <t xml:space="preserve">cn</t>
  </si>
  <si>
    <r>
      <rPr>
        <b val="true"/>
        <sz val="11"/>
        <rFont val="Cambria"/>
        <family val="0"/>
        <charset val="1"/>
      </rPr>
      <t xml:space="preserve">T2. </t>
    </r>
    <r>
      <rPr>
        <b val="true"/>
        <sz val="11"/>
        <rFont val="Noto Sans CJK SC"/>
        <family val="2"/>
      </rPr>
      <t xml:space="preserve">園區管線（</t>
    </r>
    <r>
      <rPr>
        <b val="true"/>
        <sz val="11"/>
        <rFont val="Cambria"/>
        <family val="0"/>
        <charset val="1"/>
      </rPr>
      <t xml:space="preserve">H </t>
    </r>
    <r>
      <rPr>
        <b val="true"/>
        <sz val="11"/>
        <rFont val="Noto Sans CJK SC"/>
        <family val="2"/>
      </rPr>
      <t xml:space="preserve">營運者鍵、</t>
    </r>
    <r>
      <rPr>
        <b val="true"/>
        <sz val="11"/>
        <rFont val="Cambria"/>
        <family val="0"/>
        <charset val="1"/>
      </rPr>
      <t xml:space="preserve">I </t>
    </r>
    <r>
      <rPr>
        <b val="true"/>
        <sz val="11"/>
        <rFont val="Noto Sans CJK SC"/>
        <family val="2"/>
      </rPr>
      <t xml:space="preserve">使用者鍵、</t>
    </r>
    <r>
      <rPr>
        <b val="true"/>
        <sz val="11"/>
        <rFont val="Cambria"/>
        <family val="0"/>
        <charset val="1"/>
      </rPr>
      <t xml:space="preserve">J MW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 </t>
    </r>
    <r>
      <rPr>
        <b val="true"/>
        <sz val="11"/>
        <rFont val="Noto Sans CJK SC"/>
        <family val="2"/>
      </rPr>
      <t xml:space="preserve">公告上線年、</t>
    </r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公告上線月、</t>
    </r>
    <r>
      <rPr>
        <b val="true"/>
        <sz val="11"/>
        <rFont val="Cambria"/>
        <family val="0"/>
        <charset val="1"/>
      </rPr>
      <t xml:space="preserve">M </t>
    </r>
    <r>
      <rPr>
        <b val="true"/>
        <sz val="11"/>
        <rFont val="Noto Sans CJK SC"/>
        <family val="2"/>
      </rPr>
      <t xml:space="preserve">已知延遲〔月〕、</t>
    </r>
    <r>
      <rPr>
        <b val="true"/>
        <sz val="11"/>
        <rFont val="Cambria"/>
        <family val="0"/>
        <charset val="1"/>
      </rPr>
      <t xml:space="preserve">N </t>
    </r>
    <r>
      <rPr>
        <b val="true"/>
        <sz val="11"/>
        <rFont val="Noto Sans CJK SC"/>
        <family val="2"/>
      </rPr>
      <t xml:space="preserve">納入〔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＝計入〕、</t>
    </r>
    <r>
      <rPr>
        <b val="true"/>
        <sz val="11"/>
        <rFont val="Cambria"/>
        <family val="0"/>
        <charset val="1"/>
      </rPr>
      <t xml:space="preserve">O </t>
    </r>
    <r>
      <rPr>
        <b val="true"/>
        <sz val="11"/>
        <rFont val="Noto Sans CJK SC"/>
        <family val="2"/>
      </rPr>
      <t xml:space="preserve">已確保電力〔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＝是；</t>
    </r>
    <r>
      <rPr>
        <b val="true"/>
        <sz val="11"/>
        <rFont val="Cambria"/>
        <family val="0"/>
        <charset val="1"/>
      </rPr>
      <t xml:space="preserve">D2 </t>
    </r>
    <r>
      <rPr>
        <b val="true"/>
        <sz val="11"/>
        <rFont val="Noto Sans CJK SC"/>
        <family val="2"/>
      </rPr>
      <t xml:space="preserve">不適用〕）</t>
    </r>
  </si>
  <si>
    <t xml:space="preserve">園區</t>
  </si>
  <si>
    <t xml:space="preserve">上線年</t>
  </si>
  <si>
    <t xml:space="preserve">上線月</t>
  </si>
  <si>
    <t xml:space="preserve">已知延遲月</t>
  </si>
  <si>
    <t xml:space="preserve">納入</t>
  </si>
  <si>
    <t xml:space="preserve">已確保電力</t>
  </si>
  <si>
    <t xml:space="preserve">cp_msft_atl</t>
  </si>
  <si>
    <t xml:space="preserve">Fairwater Atlanta</t>
  </si>
  <si>
    <r>
      <rPr>
        <sz val="11"/>
        <color theme="1"/>
        <rFont val="Calibri"/>
        <family val="2"/>
        <charset val="1"/>
      </rPr>
      <t xml:space="preserve">A#15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</t>
    </r>
    <r>
      <rPr>
        <sz val="11"/>
        <color theme="1"/>
        <rFont val="Calibri"/>
        <family val="2"/>
        <charset val="1"/>
      </rPr>
      <t xml:space="preserve">Epoch B1–2 321 MW-IT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636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達成，增量 </t>
    </r>
    <r>
      <rPr>
        <sz val="11"/>
        <color theme="1"/>
        <rFont val="Calibri"/>
        <family val="2"/>
        <charset val="1"/>
      </rPr>
      <t xml:space="preserve">315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cp_msft_atl2</t>
    </r>
    <r>
      <rPr>
        <sz val="11"/>
        <color theme="1"/>
        <rFont val="Noto Sans CJK SC"/>
        <family val="2"/>
      </rPr>
      <t xml:space="preserve">）；公司 </t>
    </r>
    <r>
      <rPr>
        <sz val="11"/>
        <color theme="1"/>
        <rFont val="Calibri"/>
        <family val="2"/>
        <charset val="1"/>
      </rPr>
      <t xml:space="preserve">2025-11-12 </t>
    </r>
    <r>
      <rPr>
        <sz val="11"/>
        <color theme="1"/>
        <rFont val="Noto Sans CJK SC"/>
        <family val="2"/>
      </rPr>
      <t xml:space="preserve">宣布上線；使用者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等（不可分離）</t>
    </r>
  </si>
  <si>
    <t xml:space="preserve">cp_msft_wi1</t>
  </si>
  <si>
    <r>
      <rPr>
        <sz val="11"/>
        <color theme="1"/>
        <rFont val="Calibri"/>
        <family val="2"/>
        <charset val="1"/>
      </rPr>
      <t xml:space="preserve">Fairwater Wisconsin </t>
    </r>
    <r>
      <rPr>
        <sz val="11"/>
        <color theme="1"/>
        <rFont val="Noto Sans CJK SC"/>
        <family val="2"/>
      </rPr>
      <t xml:space="preserve">一期</t>
    </r>
  </si>
  <si>
    <r>
      <rPr>
        <sz val="11"/>
        <color theme="1"/>
        <rFont val="Calibri"/>
        <family val="2"/>
        <charset val="1"/>
      </rPr>
      <t xml:space="preserve">A#16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段核對：一期 </t>
    </r>
    <r>
      <rPr>
        <sz val="11"/>
        <color theme="1"/>
        <rFont val="Calibri"/>
        <family val="2"/>
        <charset val="1"/>
      </rPr>
      <t xml:space="preserve">2026-04-16 </t>
    </r>
    <r>
      <rPr>
        <sz val="11"/>
        <color theme="1"/>
        <rFont val="Noto Sans CJK SC"/>
        <family val="2"/>
      </rPr>
      <t xml:space="preserve">已上線，</t>
    </r>
    <r>
      <rPr>
        <sz val="11"/>
        <color theme="1"/>
        <rFont val="Calibri"/>
        <family val="2"/>
        <charset val="1"/>
      </rPr>
      <t xml:space="preserve">369 MW-IT </t>
    </r>
    <r>
      <rPr>
        <sz val="11"/>
        <color theme="1"/>
        <rFont val="Noto Sans CJK SC"/>
        <family val="2"/>
      </rPr>
      <t xml:space="preserve">屬實）；</t>
    </r>
    <r>
      <rPr>
        <sz val="11"/>
        <color theme="1"/>
        <rFont val="Calibri"/>
        <family val="2"/>
        <charset val="1"/>
      </rPr>
      <t xml:space="preserve">06 </t>
    </r>
    <r>
      <rPr>
        <sz val="11"/>
        <color theme="1"/>
        <rFont val="Noto Sans CJK SC"/>
        <family val="2"/>
      </rPr>
      <t xml:space="preserve">一期完工</t>
    </r>
  </si>
  <si>
    <t xml:space="preserve">cp_msft_wi2</t>
  </si>
  <si>
    <r>
      <rPr>
        <sz val="11"/>
        <color theme="1"/>
        <rFont val="Calibri"/>
        <family val="2"/>
        <charset val="1"/>
      </rPr>
      <t xml:space="preserve">Fairwater Wisconsin </t>
    </r>
    <r>
      <rPr>
        <sz val="11"/>
        <color theme="1"/>
        <rFont val="Noto Sans CJK SC"/>
        <family val="2"/>
      </rPr>
      <t xml:space="preserve">全站餘量（</t>
    </r>
    <r>
      <rPr>
        <sz val="11"/>
        <color theme="1"/>
        <rFont val="Calibri"/>
        <family val="2"/>
        <charset val="1"/>
      </rPr>
      <t xml:space="preserve">2,263 − 369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</si>
  <si>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A#17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2028-05-13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段：其中 </t>
    </r>
    <r>
      <rPr>
        <sz val="11"/>
        <color theme="1"/>
        <rFont val="Calibri"/>
        <family val="2"/>
        <charset val="1"/>
      </rPr>
      <t xml:space="preserve">368 MW-IT 2027-02 </t>
    </r>
    <r>
      <rPr>
        <sz val="11"/>
        <color theme="1"/>
        <rFont val="Noto Sans CJK SC"/>
        <family val="2"/>
      </rPr>
      <t xml:space="preserve">另列 </t>
    </r>
    <r>
      <rPr>
        <sz val="11"/>
        <color theme="1"/>
        <rFont val="Calibri"/>
        <family val="2"/>
        <charset val="1"/>
      </rPr>
      <t xml:space="preserve">cp_msft_wi2a</t>
    </r>
  </si>
  <si>
    <t xml:space="preserve">cp_msft_abl</t>
  </si>
  <si>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鄰近園區（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開發、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</t>
    </r>
  </si>
  <si>
    <r>
      <rPr>
        <sz val="11"/>
        <color theme="1"/>
        <rFont val="Calibri"/>
        <family val="2"/>
        <charset val="1"/>
      </rPr>
      <t xml:space="preserve">A#18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S#24–26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900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現場電廠；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段核對：兩棟 </t>
    </r>
    <r>
      <rPr>
        <sz val="11"/>
        <color theme="1"/>
        <rFont val="Calibri"/>
        <family val="2"/>
        <charset val="1"/>
      </rPr>
      <t xml:space="preserve">× 336 MW-IT</t>
    </r>
    <r>
      <rPr>
        <sz val="11"/>
        <color theme="1"/>
        <rFont val="Noto Sans CJK SC"/>
        <family val="2"/>
      </rPr>
      <t xml:space="preserve">，首棟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年中；第二棟見 </t>
    </r>
    <r>
      <rPr>
        <sz val="11"/>
        <color theme="1"/>
        <rFont val="Calibri"/>
        <family val="2"/>
        <charset val="1"/>
      </rPr>
      <t xml:space="preserve">cp_msft_abl2</t>
    </r>
    <r>
      <rPr>
        <sz val="11"/>
        <color theme="1"/>
        <rFont val="Noto Sans CJK SC"/>
        <family val="2"/>
      </rPr>
      <t xml:space="preserve">）</t>
    </r>
  </si>
  <si>
    <t xml:space="preserve">cp_amzn_nc1</t>
  </si>
  <si>
    <r>
      <rPr>
        <sz val="11"/>
        <color theme="1"/>
        <rFont val="Calibri"/>
        <family val="2"/>
        <charset val="1"/>
      </rPr>
      <t xml:space="preserve">New Carlisle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Rainier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2026-03→10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</si>
  <si>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A#41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910→1,037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2026-03→06 </t>
    </r>
    <r>
      <rPr>
        <sz val="11"/>
        <color theme="1"/>
        <rFont val="Noto Sans CJK SC"/>
        <family val="2"/>
      </rPr>
      <t xml:space="preserve">部分已含在觀測值，略重複（</t>
    </r>
    <r>
      <rPr>
        <sz val="11"/>
        <color theme="1"/>
        <rFont val="Calibri"/>
        <family val="2"/>
        <charset val="1"/>
      </rPr>
      <t xml:space="preserve">&lt; 0.08 GW</t>
    </r>
    <r>
      <rPr>
        <sz val="11"/>
        <color theme="1"/>
        <rFont val="Noto Sans CJK SC"/>
        <family val="2"/>
      </rPr>
      <t xml:space="preserve">）</t>
    </r>
  </si>
  <si>
    <t xml:space="preserve">cp_amzn_nc2</t>
  </si>
  <si>
    <r>
      <rPr>
        <sz val="11"/>
        <color theme="1"/>
        <rFont val="Calibri"/>
        <family val="2"/>
        <charset val="1"/>
      </rPr>
      <t xml:space="preserve">New Carlisle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1,925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</si>
  <si>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A#41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2028 </t>
    </r>
    <r>
      <rPr>
        <sz val="11"/>
        <color theme="1"/>
        <rFont val="Noto Sans CJK SC"/>
        <family val="2"/>
      </rPr>
      <t xml:space="preserve">預測；月份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</si>
  <si>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cp_meta_pro1</t>
  </si>
  <si>
    <r>
      <rPr>
        <sz val="11"/>
        <color theme="1"/>
        <rFont val="Calibri"/>
        <family val="2"/>
        <charset val="1"/>
      </rPr>
      <t xml:space="preserve">Prometheus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 Albany</t>
    </r>
    <r>
      <rPr>
        <sz val="11"/>
        <color theme="1"/>
        <rFont val="Noto Sans CJK SC"/>
        <family val="2"/>
      </rPr>
      <t xml:space="preserve">）至 </t>
    </r>
    <r>
      <rPr>
        <sz val="11"/>
        <color theme="1"/>
        <rFont val="Calibri"/>
        <family val="2"/>
        <charset val="1"/>
      </rPr>
      <t xml:space="preserve">2026-08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</si>
  <si>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</si>
  <si>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cp_meta_pro2</t>
  </si>
  <si>
    <r>
      <rPr>
        <sz val="11"/>
        <color theme="1"/>
        <rFont val="Calibri"/>
        <family val="2"/>
        <charset val="1"/>
      </rPr>
      <t xml:space="preserve">Prometheus 2026-11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</si>
  <si>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676</t>
    </r>
    <r>
      <rPr>
        <sz val="11"/>
        <color theme="1"/>
        <rFont val="Noto Sans CJK SC"/>
        <family val="2"/>
      </rPr>
      <t xml:space="preserve">）</t>
    </r>
  </si>
  <si>
    <t xml:space="preserve">cp_meta_pro3</t>
  </si>
  <si>
    <r>
      <rPr>
        <sz val="11"/>
        <color theme="1"/>
        <rFont val="Calibri"/>
        <family val="2"/>
        <charset val="1"/>
      </rPr>
      <t xml:space="preserve">Prometheus 2027-07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</si>
  <si>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868</t>
    </r>
    <r>
      <rPr>
        <sz val="11"/>
        <color theme="1"/>
        <rFont val="Noto Sans CJK SC"/>
        <family val="2"/>
      </rPr>
      <t xml:space="preserve">）；已確保電力：現場燃氣機組 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）＋既有電網</t>
    </r>
  </si>
  <si>
    <t xml:space="preserve">cp_meta_pro4</t>
  </si>
  <si>
    <r>
      <rPr>
        <sz val="11"/>
        <color theme="1"/>
        <rFont val="Calibri"/>
        <family val="2"/>
        <charset val="1"/>
      </rPr>
      <t xml:space="preserve">Prometheus 2028Q3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</si>
  <si>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1,022</t>
    </r>
    <r>
      <rPr>
        <sz val="11"/>
        <color theme="1"/>
        <rFont val="Noto Sans CJK SC"/>
        <family val="2"/>
      </rPr>
      <t xml:space="preserve">）；已確保電力：現場燃氣機組 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）＋既有電網</t>
    </r>
  </si>
  <si>
    <t xml:space="preserve">cp_meta_hyp1</t>
  </si>
  <si>
    <r>
      <rPr>
        <sz val="11"/>
        <color theme="1"/>
        <rFont val="Calibri"/>
        <family val="2"/>
        <charset val="1"/>
      </rPr>
      <t xml:space="preserve">Hyperion </t>
    </r>
    <r>
      <rPr>
        <sz val="11"/>
        <color theme="1"/>
        <rFont val="Noto Sans CJK SC"/>
        <family val="2"/>
      </rPr>
      <t xml:space="preserve">一期</t>
    </r>
  </si>
  <si>
    <r>
      <rPr>
        <sz val="11"/>
        <color theme="1"/>
        <rFont val="Calibri"/>
        <family val="2"/>
        <charset val="1"/>
      </rPr>
      <t xml:space="preserve">A#57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2028-01-01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80/20 </t>
    </r>
    <r>
      <rPr>
        <sz val="11"/>
        <color theme="1"/>
        <rFont val="Noto Sans CJK SC"/>
        <family val="2"/>
      </rPr>
      <t xml:space="preserve">合資，資本支出不在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帳上；已確保電力：</t>
    </r>
    <r>
      <rPr>
        <sz val="11"/>
        <color theme="1"/>
        <rFont val="Calibri"/>
        <family val="2"/>
        <charset val="1"/>
      </rPr>
      <t xml:space="preserve">Entergy 7 </t>
    </r>
    <r>
      <rPr>
        <sz val="11"/>
        <color theme="1"/>
        <rFont val="Noto Sans CJK SC"/>
        <family val="2"/>
      </rPr>
      <t xml:space="preserve">座燃氣電廠（</t>
    </r>
    <r>
      <rPr>
        <sz val="11"/>
        <color theme="1"/>
        <rFont val="Calibri"/>
        <family val="2"/>
        <charset val="1"/>
      </rPr>
      <t xml:space="preserve">A#58 </t>
    </r>
    <r>
      <rPr>
        <sz val="11"/>
        <color theme="1"/>
        <rFont val="Noto Sans CJK SC"/>
        <family val="2"/>
      </rPr>
      <t xml:space="preserve">更正）</t>
    </r>
  </si>
  <si>
    <t xml:space="preserve">cp_meta_hyp2</t>
  </si>
  <si>
    <r>
      <rPr>
        <sz val="11"/>
        <color theme="1"/>
        <rFont val="Calibri"/>
        <family val="2"/>
        <charset val="1"/>
      </rPr>
      <t xml:space="preserve">Hyperion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</si>
  <si>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Calibri"/>
        <family val="2"/>
        <charset val="1"/>
      </rPr>
      <t xml:space="preserve">A#58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段更正）：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發言人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前達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無完成日</t>
    </r>
  </si>
  <si>
    <t xml:space="preserve">cp_meta_elp</t>
  </si>
  <si>
    <r>
      <rPr>
        <sz val="11"/>
        <color theme="1"/>
        <rFont val="Calibri"/>
        <family val="2"/>
        <charset val="1"/>
      </rPr>
      <t xml:space="preserve">El Paso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BlackRock 80%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</si>
  <si>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A#59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compute capacity 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起分批）；整筆放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</si>
  <si>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t xml:space="preserve">cp_orcl_abl</t>
  </si>
  <si>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餘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棟（</t>
    </r>
    <r>
      <rPr>
        <sz val="11"/>
        <color theme="1"/>
        <rFont val="Calibri"/>
        <family val="2"/>
        <charset val="1"/>
      </rPr>
      <t xml:space="preserve">824 − 618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</si>
  <si>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A#69</t>
    </r>
    <r>
      <rPr>
        <sz val="11"/>
        <color theme="1"/>
        <rFont val="Noto Sans CJK SC"/>
        <family val="2"/>
      </rPr>
      <t xml:space="preserve">（屬實；全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棟 </t>
    </r>
    <r>
      <rPr>
        <sz val="11"/>
        <color theme="1"/>
        <rFont val="Calibri"/>
        <family val="2"/>
        <charset val="1"/>
      </rPr>
      <t xml:space="preserve">2026Q4</t>
    </r>
    <r>
      <rPr>
        <sz val="11"/>
        <color theme="1"/>
        <rFont val="Noto Sans CJK SC"/>
        <family val="2"/>
      </rPr>
      <t xml:space="preserve">）</t>
    </r>
  </si>
  <si>
    <t xml:space="preserve">cp_orcl_shk1</t>
  </si>
  <si>
    <r>
      <rPr>
        <sz val="11"/>
        <color theme="1"/>
        <rFont val="Calibri"/>
        <family val="2"/>
        <charset val="1"/>
      </rPr>
      <t xml:space="preserve">Shackelford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）首棟</t>
    </r>
  </si>
  <si>
    <r>
      <rPr>
        <sz val="11"/>
        <color theme="1"/>
        <rFont val="Calibri"/>
        <family val="2"/>
        <charset val="1"/>
      </rPr>
      <t xml:space="preserve">A#72</t>
    </r>
    <r>
      <rPr>
        <sz val="11"/>
        <color theme="1"/>
        <rFont val="Noto Sans CJK SC"/>
        <family val="2"/>
      </rPr>
      <t xml:space="preserve">（屬實，設施 </t>
    </r>
    <r>
      <rPr>
        <sz val="11"/>
        <color theme="1"/>
        <rFont val="Calibri"/>
        <family val="2"/>
        <charset val="1"/>
      </rPr>
      <t xml:space="preserve">2.0 GW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段更正首棟 </t>
    </r>
    <r>
      <rPr>
        <sz val="11"/>
        <color theme="1"/>
        <rFont val="Calibri"/>
        <family val="2"/>
        <charset val="1"/>
      </rPr>
      <t xml:space="preserve">2027-08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棟之 </t>
    </r>
    <r>
      <rPr>
        <sz val="11"/>
        <color theme="1"/>
        <rFont val="Calibri"/>
        <family val="2"/>
        <charset val="1"/>
      </rPr>
      <t xml:space="preserve">1 [Derived]</t>
    </r>
  </si>
  <si>
    <t xml:space="preserve">cp_orcl_shk2</t>
  </si>
  <si>
    <r>
      <rPr>
        <sz val="11"/>
        <color theme="1"/>
        <rFont val="Calibri"/>
        <family val="2"/>
        <charset val="1"/>
      </rPr>
      <t xml:space="preserve">Shackelford </t>
    </r>
    <r>
      <rPr>
        <sz val="11"/>
        <color theme="1"/>
        <rFont val="Noto Sans CJK SC"/>
        <family val="2"/>
      </rPr>
      <t xml:space="preserve">其餘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棟</t>
    </r>
  </si>
  <si>
    <r>
      <rPr>
        <sz val="11"/>
        <color theme="1"/>
        <rFont val="Calibri"/>
        <family val="2"/>
        <charset val="1"/>
      </rPr>
      <t xml:space="preserve">A#72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B#10 </t>
    </r>
    <r>
      <rPr>
        <sz val="11"/>
        <color theme="1"/>
        <rFont val="Noto Sans CJK SC"/>
        <family val="2"/>
      </rPr>
      <t xml:space="preserve">全站 </t>
    </r>
    <r>
      <rPr>
        <sz val="11"/>
        <color theme="1"/>
        <rFont val="Calibri"/>
        <family val="2"/>
        <charset val="1"/>
      </rPr>
      <t xml:space="preserve">2028-11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</si>
  <si>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cp_orcl_jup</t>
  </si>
  <si>
    <r>
      <rPr>
        <sz val="11"/>
        <color theme="1"/>
        <rFont val="Calibri"/>
        <family val="2"/>
        <charset val="1"/>
      </rPr>
      <t xml:space="preserve">Doña Ana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</si>
  <si>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A#73</t>
    </r>
    <r>
      <rPr>
        <sz val="11"/>
        <color theme="1"/>
        <rFont val="Noto Sans CJK SC"/>
        <family val="2"/>
      </rPr>
      <t xml:space="preserve">（屬實，設施）；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段核對：無來源支持『延遲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月』；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稱照時程，但天然氣管線晚約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個月、已發不可抗力通知（</t>
    </r>
    <r>
      <rPr>
        <sz val="11"/>
        <color theme="1"/>
        <rFont val="Calibri"/>
        <family val="2"/>
        <charset val="1"/>
      </rPr>
      <t xml:space="preserve">F#133</t>
    </r>
    <r>
      <rPr>
        <sz val="11"/>
        <color theme="1"/>
        <rFont val="Noto Sans CJK SC"/>
        <family val="2"/>
      </rPr>
      <t xml:space="preserve">）→ 已知延遲欄留空，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依一般比例</t>
    </r>
  </si>
  <si>
    <t xml:space="preserve">cp_orcl_pw</t>
  </si>
  <si>
    <r>
      <rPr>
        <sz val="11"/>
        <color theme="1"/>
        <rFont val="Calibri"/>
        <family val="2"/>
        <charset val="1"/>
      </rPr>
      <t xml:space="preserve">Port Washington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Lighthouse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</si>
  <si>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A#74</t>
    </r>
    <r>
      <rPr>
        <sz val="11"/>
        <color theme="1"/>
        <rFont val="Noto Sans CJK SC"/>
        <family val="2"/>
      </rPr>
      <t xml:space="preserve">（屬實，設施）</t>
    </r>
  </si>
  <si>
    <t xml:space="preserve">cp_orcl_sal</t>
  </si>
  <si>
    <r>
      <rPr>
        <sz val="11"/>
        <color theme="1"/>
        <rFont val="Calibri"/>
        <family val="2"/>
        <charset val="1"/>
      </rPr>
      <t xml:space="preserve">Saline Township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Barn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</si>
  <si>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A#75</t>
    </r>
    <r>
      <rPr>
        <sz val="11"/>
        <color theme="1"/>
        <rFont val="Noto Sans CJK SC"/>
        <family val="2"/>
      </rPr>
      <t xml:space="preserve">（屬實，設施）</t>
    </r>
  </si>
  <si>
    <t xml:space="preserve">cp_crwv_hel2</t>
  </si>
  <si>
    <r>
      <rPr>
        <sz val="11"/>
        <color theme="1"/>
        <rFont val="Calibri"/>
        <family val="2"/>
        <charset val="1"/>
      </rPr>
      <t xml:space="preserve">Helios Phase II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Galaxy </t>
    </r>
    <r>
      <rPr>
        <sz val="11"/>
        <color theme="1"/>
        <rFont val="Noto Sans CJK SC"/>
        <family val="2"/>
      </rPr>
      <t xml:space="preserve">房東）</t>
    </r>
  </si>
  <si>
    <r>
      <rPr>
        <sz val="11"/>
        <color theme="1"/>
        <rFont val="Calibri"/>
        <family val="2"/>
        <charset val="1"/>
      </rPr>
      <t xml:space="preserve">A#87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A#88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Phase II 2027H1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Phase III 133 MW </t>
    </r>
    <r>
      <rPr>
        <sz val="11"/>
        <color theme="1"/>
        <rFont val="Noto Sans CJK SC"/>
        <family val="2"/>
      </rPr>
      <t xml:space="preserve">時程未揭露</t>
    </r>
  </si>
  <si>
    <t xml:space="preserve">crwv</t>
  </si>
  <si>
    <t xml:space="preserve">cp_neo_iren</t>
  </si>
  <si>
    <r>
      <rPr>
        <sz val="11"/>
        <color theme="1"/>
        <rFont val="Calibri"/>
        <family val="2"/>
        <charset val="1"/>
      </rPr>
      <t xml:space="preserve">IREN Childress H3–4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</si>
  <si>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A#104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目標）；使用者＝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T1 al_neo_msft </t>
    </r>
    <r>
      <rPr>
        <sz val="11"/>
        <color theme="1"/>
        <rFont val="Noto Sans CJK SC"/>
        <family val="2"/>
      </rPr>
      <t xml:space="preserve">一致）</t>
    </r>
  </si>
  <si>
    <t xml:space="preserve">cp_neo_iren27</t>
  </si>
  <si>
    <r>
      <rPr>
        <sz val="11"/>
        <color theme="1"/>
        <rFont val="Calibri"/>
        <family val="2"/>
        <charset val="1"/>
      </rPr>
      <t xml:space="preserve">IREN 2027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0.8 GW </t>
    </r>
    <r>
      <rPr>
        <sz val="11"/>
        <color theme="1"/>
        <rFont val="Noto Sans CJK SC"/>
        <family val="2"/>
      </rPr>
      <t xml:space="preserve">目標增量</t>
    </r>
  </si>
  <si>
    <r>
      <rPr>
        <sz val="11"/>
        <color theme="1"/>
        <rFont val="Calibri"/>
        <family val="2"/>
        <charset val="1"/>
      </rPr>
      <t xml:space="preserve">A#105</t>
    </r>
    <r>
      <rPr>
        <sz val="11"/>
        <color theme="1"/>
        <rFont val="Noto Sans CJK SC"/>
        <family val="2"/>
      </rPr>
      <t xml:space="preserve">（屬實；累計交付目標 </t>
    </r>
    <r>
      <rPr>
        <sz val="11"/>
        <color theme="1"/>
        <rFont val="Calibri"/>
        <family val="2"/>
        <charset val="1"/>
      </rPr>
      <t xml:space="preserve">2026 0.3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0.8 GW IT</t>
    </r>
    <r>
      <rPr>
        <sz val="11"/>
        <color theme="1"/>
        <rFont val="Noto Sans CJK SC"/>
        <family val="2"/>
      </rPr>
      <t xml:space="preserve">）</t>
    </r>
  </si>
  <si>
    <t xml:space="preserve">cp_neo_twf1</t>
  </si>
  <si>
    <r>
      <rPr>
        <sz val="11"/>
        <color theme="1"/>
        <rFont val="Calibri"/>
        <family val="2"/>
        <charset val="1"/>
      </rPr>
      <t xml:space="preserve">TeraWulf Kentucky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）首期</t>
    </r>
  </si>
  <si>
    <r>
      <rPr>
        <sz val="11"/>
        <color theme="1"/>
        <rFont val="Calibri"/>
        <family val="2"/>
        <charset val="1"/>
      </rPr>
      <t xml:space="preserve">A#114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段更正：首期 </t>
    </r>
    <r>
      <rPr>
        <sz val="11"/>
        <color theme="1"/>
        <rFont val="Calibri"/>
        <family val="2"/>
        <charset val="1"/>
      </rPr>
      <t xml:space="preserve">2027H2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初全部）；首期規模 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約一半</t>
    </r>
  </si>
  <si>
    <t xml:space="preserve">cp_neo_twf2</t>
  </si>
  <si>
    <r>
      <rPr>
        <sz val="11"/>
        <color theme="1"/>
        <rFont val="Calibri"/>
        <family val="2"/>
        <charset val="1"/>
      </rPr>
      <t xml:space="preserve">TeraWulf Kentucky </t>
    </r>
    <r>
      <rPr>
        <sz val="11"/>
        <color theme="1"/>
        <rFont val="Noto Sans CJK SC"/>
        <family val="2"/>
      </rPr>
      <t xml:space="preserve">其餘</t>
    </r>
  </si>
  <si>
    <t xml:space="preserve">cp_oai_pp1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</si>
  <si>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段</t>
    </r>
  </si>
  <si>
    <r>
      <rPr>
        <sz val="11"/>
        <color theme="1"/>
        <rFont val="Calibri"/>
        <family val="2"/>
        <charset val="1"/>
      </rPr>
      <t xml:space="preserve">B#16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S#148–150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first 800 megawatts … 2028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SB Energy S-1/A 1–9 </t>
    </r>
    <r>
      <rPr>
        <sz val="11"/>
        <color theme="1"/>
        <rFont val="Noto Sans CJK SC"/>
        <family val="2"/>
      </rPr>
      <t xml:space="preserve">號樓 </t>
    </r>
    <r>
      <rPr>
        <sz val="11"/>
        <color theme="1"/>
        <rFont val="Calibri"/>
        <family val="2"/>
        <charset val="1"/>
      </rPr>
      <t xml:space="preserve">4</t>
    </r>
  </si>
  <si>
    <t xml:space="preserve">cp_oai_pp2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</si>
  <si>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段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</si>
  <si>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cp_oai_pp1</t>
    </r>
    <r>
      <rPr>
        <sz val="11"/>
        <color theme="1"/>
        <rFont val="Noto Sans CJK SC"/>
        <family val="2"/>
      </rPr>
      <t xml:space="preserve">；首批後餘 </t>
    </r>
    <r>
      <rPr>
        <sz val="11"/>
        <color theme="1"/>
        <rFont val="Calibri"/>
        <family val="2"/>
        <charset val="1"/>
      </rPr>
      <t xml:space="preserve">3</t>
    </r>
  </si>
  <si>
    <t xml:space="preserve">cp_oai_pp3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</si>
  <si>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段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</si>
  <si>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cp_oai_pp2</t>
    </r>
    <r>
      <rPr>
        <sz val="11"/>
        <color theme="1"/>
        <rFont val="Noto Sans CJK SC"/>
        <family val="2"/>
      </rPr>
      <t xml:space="preserve">；第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段見 </t>
    </r>
    <r>
      <rPr>
        <sz val="11"/>
        <color theme="1"/>
        <rFont val="Calibri"/>
        <family val="2"/>
        <charset val="1"/>
      </rPr>
      <t xml:space="preserve">cp_oai_pp4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2031</t>
    </r>
    <r>
      <rPr>
        <sz val="11"/>
        <color theme="1"/>
        <rFont val="Noto Sans CJK SC"/>
        <family val="2"/>
      </rPr>
      <t xml:space="preserve">）</t>
    </r>
  </si>
  <si>
    <t xml:space="preserve">cp_sov_hum1</t>
  </si>
  <si>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首期（</t>
    </r>
    <r>
      <rPr>
        <sz val="11"/>
        <color theme="1"/>
        <rFont val="Calibri"/>
        <family val="2"/>
        <charset val="1"/>
      </rPr>
      <t xml:space="preserve">Riyadh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100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</si>
  <si>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S#163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段核對：至 </t>
    </r>
    <r>
      <rPr>
        <sz val="11"/>
        <color theme="1"/>
        <rFont val="Calibri"/>
        <family val="2"/>
        <charset val="1"/>
      </rPr>
      <t xml:space="preserve">2026-09-27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Riyadh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運作確認；執行長稱年底前上線約 </t>
    </r>
    <r>
      <rPr>
        <sz val="11"/>
        <color theme="1"/>
        <rFont val="Calibri"/>
        <family val="2"/>
        <charset val="1"/>
      </rPr>
      <t xml:space="preserve">250 MW</t>
    </r>
    <r>
      <rPr>
        <sz val="11"/>
        <color theme="1"/>
        <rFont val="Noto Sans CJK SC"/>
        <family val="2"/>
      </rPr>
      <t xml:space="preserve">；保留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）</t>
    </r>
  </si>
  <si>
    <t xml:space="preserve">sov</t>
  </si>
  <si>
    <t xml:space="preserve">cp_sov_hum2</t>
  </si>
  <si>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1.9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</si>
  <si>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S#158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執行長稱全國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年達 </t>
    </r>
    <r>
      <rPr>
        <sz val="11"/>
        <color theme="1"/>
        <rFont val="Calibri"/>
        <family val="2"/>
        <charset val="1"/>
      </rPr>
      <t xml:space="preserve">1.7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Al Sa'ad </t>
    </r>
    <r>
      <rPr>
        <sz val="11"/>
        <color theme="1"/>
        <rFont val="Noto Sans CJK SC"/>
        <family val="2"/>
      </rPr>
      <t xml:space="preserve">一期 </t>
    </r>
    <r>
      <rPr>
        <sz val="11"/>
        <color theme="1"/>
        <rFont val="Calibri"/>
        <family val="2"/>
        <charset val="1"/>
      </rPr>
      <t xml:space="preserve">1 GW 2027 </t>
    </r>
    <r>
      <rPr>
        <sz val="11"/>
        <color theme="1"/>
        <rFont val="Noto Sans CJK SC"/>
        <family val="2"/>
      </rPr>
      <t xml:space="preserve">交付；</t>
    </r>
    <r>
      <rPr>
        <sz val="11"/>
        <color theme="1"/>
        <rFont val="Calibri"/>
        <family val="2"/>
        <charset val="1"/>
      </rPr>
      <t xml:space="preserve">1</t>
    </r>
  </si>
  <si>
    <t xml:space="preserve">cpx_nbis_lpr</t>
  </si>
  <si>
    <t xml:space="preserve">Nebius Lappeenranta</t>
  </si>
  <si>
    <r>
      <rPr>
        <sz val="11"/>
        <color rgb="FF808080"/>
        <rFont val="Cambria"/>
        <family val="0"/>
        <charset val="1"/>
      </rPr>
      <t xml:space="preserve">A#99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S#81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310 </t>
    </r>
    <r>
      <rPr>
        <sz val="11"/>
        <color rgb="FF808080"/>
        <rFont val="Noto Sans CJK SC"/>
        <family val="2"/>
      </rPr>
      <t xml:space="preserve">為完工容量，</t>
    </r>
    <r>
      <rPr>
        <sz val="11"/>
        <color rgb="FF808080"/>
        <rFont val="Cambria"/>
        <family val="0"/>
        <charset val="1"/>
      </rPr>
      <t xml:space="preserve">2027 </t>
    </r>
    <r>
      <rPr>
        <sz val="11"/>
        <color rgb="FF808080"/>
        <rFont val="Noto Sans CJK SC"/>
        <family val="2"/>
      </rPr>
      <t xml:space="preserve">只有首期、量未揭露）；不入</t>
    </r>
  </si>
  <si>
    <t xml:space="preserve">nbis</t>
  </si>
  <si>
    <t xml:space="preserve">cpx_nbis_mo</t>
  </si>
  <si>
    <t xml:space="preserve">Nebius Independence, Missouri</t>
  </si>
  <si>
    <r>
      <rPr>
        <sz val="11"/>
        <color rgb="FF808080"/>
        <rFont val="Cambria"/>
        <family val="0"/>
        <charset val="1"/>
      </rPr>
      <t xml:space="preserve">A#100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S#82–83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段：首棟 </t>
    </r>
    <r>
      <rPr>
        <sz val="11"/>
        <color rgb="FF808080"/>
        <rFont val="Cambria"/>
        <family val="0"/>
        <charset val="1"/>
      </rPr>
      <t xml:space="preserve">200 MW</t>
    </r>
    <r>
      <rPr>
        <sz val="11"/>
        <color rgb="FF808080"/>
        <rFont val="Noto Sans CJK SC"/>
        <family val="2"/>
      </rPr>
      <t xml:space="preserve">，時點未揭露最早 </t>
    </r>
    <r>
      <rPr>
        <sz val="11"/>
        <color rgb="FF808080"/>
        <rFont val="Cambria"/>
        <family val="0"/>
        <charset val="1"/>
      </rPr>
      <t xml:space="preserve">2027</t>
    </r>
    <r>
      <rPr>
        <sz val="11"/>
        <color rgb="FF808080"/>
        <rFont val="Noto Sans CJK SC"/>
        <family val="2"/>
      </rPr>
      <t xml:space="preserve">；其餘 </t>
    </r>
    <r>
      <rPr>
        <sz val="11"/>
        <color rgb="FF808080"/>
        <rFont val="Cambria"/>
        <family val="0"/>
        <charset val="1"/>
      </rPr>
      <t xml:space="preserve">1</t>
    </r>
  </si>
  <si>
    <t xml:space="preserve">cpx_nbis_pa</t>
  </si>
  <si>
    <t xml:space="preserve">Nebius Pennsylvania</t>
  </si>
  <si>
    <r>
      <rPr>
        <sz val="11"/>
        <color rgb="FF808080"/>
        <rFont val="Cambria"/>
        <family val="0"/>
        <charset val="1"/>
      </rPr>
      <t xml:space="preserve">A#101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</si>
  <si>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cpx_crwv_lan</t>
  </si>
  <si>
    <t xml:space="preserve">CoreWeave Lancaster PA</t>
  </si>
  <si>
    <r>
      <rPr>
        <sz val="11"/>
        <color rgb="FF808080"/>
        <rFont val="Cambria"/>
        <family val="0"/>
        <charset val="1"/>
      </rPr>
      <t xml:space="preserve">A#92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S#79–80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段：初期 </t>
    </r>
    <r>
      <rPr>
        <sz val="11"/>
        <color rgb="FF808080"/>
        <rFont val="Cambria"/>
        <family val="0"/>
        <charset val="1"/>
      </rPr>
      <t xml:space="preserve">100 MW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300 </t>
    </r>
    <r>
      <rPr>
        <sz val="11"/>
        <color rgb="FF808080"/>
        <rFont val="Noto Sans CJK SC"/>
        <family val="2"/>
      </rPr>
      <t xml:space="preserve">為擴充潛力無時程）；不入</t>
    </r>
  </si>
  <si>
    <t xml:space="preserve">cpx_amzn_cip</t>
  </si>
  <si>
    <r>
      <rPr>
        <sz val="11"/>
        <color rgb="FF808080"/>
        <rFont val="Cambria"/>
        <family val="0"/>
        <charset val="1"/>
      </rPr>
      <t xml:space="preserve">Cipher Black Pearl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Amazon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</si>
  <si>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A#48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S#42–43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段：約 </t>
    </r>
    <r>
      <rPr>
        <sz val="11"/>
        <color rgb="FF808080"/>
        <rFont val="Cambria"/>
        <family val="0"/>
        <charset val="1"/>
      </rPr>
      <t xml:space="preserve">300 MW gross</t>
    </r>
    <r>
      <rPr>
        <sz val="11"/>
        <color rgb="FF808080"/>
        <rFont val="Noto Sans CJK SC"/>
        <family val="2"/>
      </rPr>
      <t xml:space="preserve">（設施），首批 </t>
    </r>
    <r>
      <rPr>
        <sz val="11"/>
        <color rgb="FF808080"/>
        <rFont val="Cambria"/>
        <family val="0"/>
        <charset val="1"/>
      </rPr>
      <t xml:space="preserve">2026-08 </t>
    </r>
    <r>
      <rPr>
        <sz val="11"/>
        <color rgb="FF808080"/>
        <rFont val="Noto Sans CJK SC"/>
        <family val="2"/>
      </rPr>
      <t xml:space="preserve">提前交付、全站 </t>
    </r>
    <r>
      <rPr>
        <sz val="11"/>
        <color rgb="FF808080"/>
        <rFont val="Cambria"/>
        <family val="0"/>
        <charset val="1"/>
      </rPr>
      <t xml:space="preserve">2026Q4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216 IT </t>
    </r>
    <r>
      <rPr>
        <sz val="11"/>
        <color rgb="FF808080"/>
        <rFont val="Noto Sans CJK SC"/>
        <family val="2"/>
      </rPr>
      <t xml:space="preserve">只能標 </t>
    </r>
    <r>
      <rPr>
        <sz val="11"/>
        <color rgb="FF808080"/>
        <rFont val="Cambria"/>
        <family val="0"/>
        <charset val="1"/>
      </rPr>
      <t xml:space="preserve">Derived</t>
    </r>
    <r>
      <rPr>
        <sz val="11"/>
        <color rgb="FF808080"/>
        <rFont val="Noto Sans CJK SC"/>
        <family val="2"/>
      </rPr>
      <t xml:space="preserve">）；不入</t>
    </r>
  </si>
  <si>
    <t xml:space="preserve">cpx_googl_bx</t>
  </si>
  <si>
    <r>
      <rPr>
        <sz val="11"/>
        <color rgb="FF808080"/>
        <rFont val="Cambria"/>
        <family val="0"/>
        <charset val="1"/>
      </rPr>
      <t xml:space="preserve">Google–Blackstone TPU </t>
    </r>
    <r>
      <rPr>
        <sz val="11"/>
        <color rgb="FF808080"/>
        <rFont val="Noto Sans CJK SC"/>
        <family val="2"/>
      </rPr>
      <t xml:space="preserve">雲合資</t>
    </r>
  </si>
  <si>
    <r>
      <rPr>
        <sz val="11"/>
        <color rgb="FF808080"/>
        <rFont val="Cambria"/>
        <family val="0"/>
        <charset val="1"/>
      </rPr>
      <t xml:space="preserve">A#31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</si>
  <si>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cpx_oai_milam</t>
  </si>
  <si>
    <t xml:space="preserve">Stargate Milam County</t>
  </si>
  <si>
    <r>
      <rPr>
        <sz val="11"/>
        <color theme="1"/>
        <rFont val="Calibri"/>
        <family val="2"/>
        <charset val="1"/>
      </rPr>
      <t xml:space="preserve">B#14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S#142–144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</t>
    </r>
    <r>
      <rPr>
        <sz val="11"/>
        <color theme="1"/>
        <rFont val="Calibri"/>
        <family val="2"/>
        <charset val="1"/>
      </rPr>
      <t xml:space="preserve">SB Energy S-1/A Milam 1 308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Milam 2 445 MW-IT</t>
    </r>
    <r>
      <rPr>
        <sz val="11"/>
        <color theme="1"/>
        <rFont val="Noto Sans CJK SC"/>
        <family val="2"/>
      </rPr>
      <t xml:space="preserve">，最後 </t>
    </r>
    <r>
      <rPr>
        <sz val="11"/>
        <color theme="1"/>
        <rFont val="Calibri"/>
        <family val="2"/>
        <charset val="1"/>
      </rPr>
      <t xml:space="preserve">RFS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；全站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；上線月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Milam 2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cp_oai_milam2</t>
    </r>
  </si>
  <si>
    <t xml:space="preserve">cpx_oai_lord</t>
  </si>
  <si>
    <t xml:space="preserve">Stargate Lordstown</t>
  </si>
  <si>
    <r>
      <rPr>
        <sz val="11"/>
        <color rgb="FF808080"/>
        <rFont val="Cambria"/>
        <family val="0"/>
        <charset val="1"/>
      </rPr>
      <t xml:space="preserve">B#15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</si>
  <si>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cpx_neo_cer</t>
  </si>
  <si>
    <r>
      <rPr>
        <sz val="11"/>
        <color rgb="FF808080"/>
        <rFont val="Cambria"/>
        <family val="0"/>
        <charset val="1"/>
      </rPr>
      <t xml:space="preserve">Cerebras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OpenAI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</si>
  <si>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B#26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</si>
  <si>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cpx_sov_uae</t>
  </si>
  <si>
    <r>
      <rPr>
        <sz val="11"/>
        <color theme="1"/>
        <rFont val="Calibri"/>
        <family val="2"/>
        <charset val="1"/>
      </rPr>
      <t xml:space="preserve">Stargate UAE </t>
    </r>
    <r>
      <rPr>
        <sz val="11"/>
        <color theme="1"/>
        <rFont val="Noto Sans CJK SC"/>
        <family val="2"/>
      </rPr>
      <t xml:space="preserve">第一期</t>
    </r>
  </si>
  <si>
    <r>
      <rPr>
        <sz val="11"/>
        <color theme="1"/>
        <rFont val="Calibri"/>
        <family val="2"/>
        <charset val="1"/>
      </rPr>
      <t xml:space="preserve">B#27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200 MW 2026Q4</t>
    </r>
    <r>
      <rPr>
        <sz val="11"/>
        <color theme="1"/>
        <rFont val="Noto Sans CJK SC"/>
        <family val="2"/>
      </rPr>
      <t xml:space="preserve">；至 </t>
    </r>
    <r>
      <rPr>
        <sz val="11"/>
        <color theme="1"/>
        <rFont val="Calibri"/>
        <family val="2"/>
        <charset val="1"/>
      </rPr>
      <t xml:space="preserve">9-12 </t>
    </r>
    <r>
      <rPr>
        <sz val="11"/>
        <color theme="1"/>
        <rFont val="Noto Sans CJK SC"/>
        <family val="2"/>
      </rPr>
      <t xml:space="preserve">無試運轉公告，官方未改期）</t>
    </r>
  </si>
  <si>
    <t xml:space="preserve">cpx_sov_mis</t>
  </si>
  <si>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法國</t>
    </r>
  </si>
  <si>
    <r>
      <rPr>
        <sz val="11"/>
        <color theme="1"/>
        <rFont val="Calibri"/>
        <family val="2"/>
        <charset val="1"/>
      </rPr>
      <t xml:space="preserve">B#61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S#153–155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 </t>
    </r>
    <r>
      <rPr>
        <sz val="11"/>
        <color theme="1"/>
        <rFont val="Calibri"/>
        <family val="2"/>
        <charset val="1"/>
      </rPr>
      <t xml:space="preserve">Mistral 96 MW</t>
    </r>
    <r>
      <rPr>
        <sz val="11"/>
        <color theme="1"/>
        <rFont val="Noto Sans CJK SC"/>
        <family val="2"/>
      </rPr>
      <t xml:space="preserve">（可擴至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Phase 2 2030–2033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1</t>
    </r>
  </si>
  <si>
    <t xml:space="preserve">cpx_neo_nexus</t>
  </si>
  <si>
    <r>
      <rPr>
        <sz val="11"/>
        <color rgb="FF808080"/>
        <rFont val="Cambria"/>
        <family val="0"/>
        <charset val="1"/>
      </rPr>
      <t xml:space="preserve">Nexus Hubbard TX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Anthropic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</si>
  <si>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B#41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S#130–131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TDLR </t>
    </r>
    <r>
      <rPr>
        <sz val="11"/>
        <color rgb="FF808080"/>
        <rFont val="Noto Sans CJK SC"/>
        <family val="2"/>
      </rPr>
      <t xml:space="preserve">工期至 </t>
    </r>
    <r>
      <rPr>
        <sz val="11"/>
        <color rgb="FF808080"/>
        <rFont val="Cambria"/>
        <family val="0"/>
        <charset val="1"/>
      </rPr>
      <t xml:space="preserve">2027-10</t>
    </r>
    <r>
      <rPr>
        <sz val="11"/>
        <color rgb="FF808080"/>
        <rFont val="Noto Sans CJK SC"/>
        <family val="2"/>
      </rPr>
      <t xml:space="preserve">，首棟 </t>
    </r>
    <r>
      <rPr>
        <sz val="11"/>
        <color rgb="FF808080"/>
        <rFont val="Cambria"/>
        <family val="0"/>
        <charset val="1"/>
      </rPr>
      <t xml:space="preserve">2027 </t>
    </r>
    <r>
      <rPr>
        <sz val="11"/>
        <color rgb="FF808080"/>
        <rFont val="Noto Sans CJK SC"/>
        <family val="2"/>
      </rPr>
      <t xml:space="preserve">啟用；</t>
    </r>
    <r>
      <rPr>
        <sz val="11"/>
        <color rgb="FF808080"/>
        <rFont val="Cambria"/>
        <family val="0"/>
        <charset val="1"/>
      </rPr>
      <t xml:space="preserve">MW </t>
    </r>
    <r>
      <rPr>
        <sz val="11"/>
        <color rgb="FF808080"/>
        <rFont val="Noto Sans CJK SC"/>
        <family val="2"/>
      </rPr>
      <t xml:space="preserve">未揭露，</t>
    </r>
    <r>
      <rPr>
        <sz val="11"/>
        <color rgb="FF808080"/>
        <rFont val="Cambria"/>
        <family val="0"/>
        <charset val="1"/>
      </rPr>
      <t xml:space="preserve">500 </t>
    </r>
    <r>
      <rPr>
        <sz val="11"/>
        <color rgb="FF808080"/>
        <rFont val="Noto Sans CJK SC"/>
        <family val="2"/>
      </rPr>
      <t xml:space="preserve">為 </t>
    </r>
    <r>
      <rPr>
        <sz val="11"/>
        <color rgb="FF808080"/>
        <rFont val="Cambria"/>
        <family val="0"/>
        <charset val="1"/>
      </rPr>
      <t xml:space="preserve">FT </t>
    </r>
    <r>
      <rPr>
        <sz val="11"/>
        <color rgb="FF808080"/>
        <rFont val="Noto Sans CJK SC"/>
        <family val="2"/>
      </rPr>
      <t xml:space="preserve">轉述舊目標）；不入</t>
    </r>
  </si>
  <si>
    <t xml:space="preserve">cpx_neo_hut8</t>
  </si>
  <si>
    <r>
      <rPr>
        <sz val="11"/>
        <color rgb="FF808080"/>
        <rFont val="Cambria"/>
        <family val="0"/>
        <charset val="1"/>
      </rPr>
      <t xml:space="preserve">Hut 8 River Bend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Fluidstack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Anthropic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</si>
  <si>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B#35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</si>
  <si>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cpx_xai_c2</t>
  </si>
  <si>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1,531 MW-IT 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</si>
  <si>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B#47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S#134–135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Colossus 2 1</t>
    </r>
  </si>
  <si>
    <t xml:space="preserve">cp_msft_atl2</t>
  </si>
  <si>
    <r>
      <rPr>
        <sz val="11"/>
        <color theme="1"/>
        <rFont val="Calibri"/>
        <family val="2"/>
        <charset val="1"/>
      </rPr>
      <t xml:space="preserve">Fairwater Atlanta B3–4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636 − 321</t>
    </r>
    <r>
      <rPr>
        <sz val="11"/>
        <color theme="1"/>
        <rFont val="Noto Sans CJK SC"/>
        <family val="2"/>
      </rPr>
      <t xml:space="preserve">）</t>
    </r>
  </si>
  <si>
    <t xml:space="preserve">SRC_GL_206</t>
  </si>
  <si>
    <r>
      <rPr>
        <sz val="11"/>
        <color theme="1"/>
        <rFont val="Calibri"/>
        <family val="2"/>
        <charset val="1"/>
      </rPr>
      <t xml:space="preserve">S#5–6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Epoch 636 MW-IT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2026-06-14</t>
    </r>
    <r>
      <rPr>
        <sz val="11"/>
        <color theme="1"/>
        <rFont val="Noto Sans CJK SC"/>
        <family val="2"/>
      </rPr>
      <t xml:space="preserve">）；由 </t>
    </r>
    <r>
      <rPr>
        <sz val="11"/>
        <color theme="1"/>
        <rFont val="Calibri"/>
        <family val="2"/>
        <charset val="1"/>
      </rPr>
      <t xml:space="preserve">cp_msft_atl </t>
    </r>
    <r>
      <rPr>
        <sz val="11"/>
        <color theme="1"/>
        <rFont val="Noto Sans CJK SC"/>
        <family val="2"/>
      </rPr>
      <t xml:space="preserve">拆出</t>
    </r>
  </si>
  <si>
    <t xml:space="preserve">cp_msft_wi2a</t>
  </si>
  <si>
    <r>
      <rPr>
        <sz val="11"/>
        <color theme="1"/>
        <rFont val="Calibri"/>
        <family val="2"/>
        <charset val="1"/>
      </rPr>
      <t xml:space="preserve">Fairwater Wisconsin 2027-02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</si>
  <si>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S#12–17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時間線 </t>
    </r>
    <r>
      <rPr>
        <sz val="11"/>
        <color theme="1"/>
        <rFont val="Calibri"/>
        <family val="2"/>
        <charset val="1"/>
      </rPr>
      <t xml:space="preserve">368 MW-IT @2027-02</t>
    </r>
    <r>
      <rPr>
        <sz val="11"/>
        <color theme="1"/>
        <rFont val="Noto Sans CJK SC"/>
        <family val="2"/>
      </rPr>
      <t xml:space="preserve">）；由 </t>
    </r>
    <r>
      <rPr>
        <sz val="11"/>
        <color theme="1"/>
        <rFont val="Calibri"/>
        <family val="2"/>
        <charset val="1"/>
      </rPr>
      <t xml:space="preserve">cp_msft_wi2 </t>
    </r>
    <r>
      <rPr>
        <sz val="11"/>
        <color theme="1"/>
        <rFont val="Noto Sans CJK SC"/>
        <family val="2"/>
      </rPr>
      <t xml:space="preserve">拆出</t>
    </r>
  </si>
  <si>
    <t xml:space="preserve">cp_msft_abl2</t>
  </si>
  <si>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鄰近園區第二棟（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</t>
    </r>
  </si>
  <si>
    <r>
      <rPr>
        <sz val="11"/>
        <color theme="1"/>
        <rFont val="Calibri"/>
        <family val="2"/>
        <charset val="1"/>
      </rPr>
      <t xml:space="preserve">S#24–26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段：兩棟 </t>
    </r>
    <r>
      <rPr>
        <sz val="11"/>
        <color theme="1"/>
        <rFont val="Calibri"/>
        <family val="2"/>
        <charset val="1"/>
      </rPr>
      <t xml:space="preserve">× 336 MW-IT</t>
    </r>
    <r>
      <rPr>
        <sz val="11"/>
        <color theme="1"/>
        <rFont val="Noto Sans CJK SC"/>
        <family val="2"/>
      </rPr>
      <t xml:space="preserve">；第二棟時點未揭露，</t>
    </r>
    <r>
      <rPr>
        <sz val="11"/>
        <color theme="1"/>
        <rFont val="Calibri"/>
        <family val="2"/>
        <charset val="1"/>
      </rPr>
      <t xml:space="preserve">2027-12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</si>
  <si>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cp_oai_pp4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</si>
  <si>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段</t>
    </r>
  </si>
  <si>
    <r>
      <rPr>
        <sz val="11"/>
        <color theme="1"/>
        <rFont val="Calibri"/>
        <family val="2"/>
        <charset val="1"/>
      </rPr>
      <t xml:space="preserve">S#148–150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S-1/A 1–9 </t>
    </r>
    <r>
      <rPr>
        <sz val="11"/>
        <color theme="1"/>
        <rFont val="Noto Sans CJK SC"/>
        <family val="2"/>
      </rPr>
      <t xml:space="preserve">號樓 </t>
    </r>
    <r>
      <rPr>
        <sz val="11"/>
        <color theme="1"/>
        <rFont val="Calibri"/>
        <family val="2"/>
        <charset val="1"/>
      </rPr>
      <t xml:space="preserve">4,248 MW-IT </t>
    </r>
    <r>
      <rPr>
        <sz val="11"/>
        <color theme="1"/>
        <rFont val="Noto Sans CJK SC"/>
        <family val="2"/>
      </rPr>
      <t xml:space="preserve">最後 </t>
    </r>
    <r>
      <rPr>
        <sz val="11"/>
        <color theme="1"/>
        <rFont val="Calibri"/>
        <family val="2"/>
        <charset val="1"/>
      </rPr>
      <t xml:space="preserve">RFS 2031</t>
    </r>
    <r>
      <rPr>
        <sz val="11"/>
        <color theme="1"/>
        <rFont val="Noto Sans CJK SC"/>
        <family val="2"/>
      </rPr>
      <t xml:space="preserve">；均分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</si>
  <si>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cp_oai_milam2</t>
  </si>
  <si>
    <r>
      <rPr>
        <sz val="11"/>
        <color theme="1"/>
        <rFont val="Calibri"/>
        <family val="2"/>
        <charset val="1"/>
      </rPr>
      <t xml:space="preserve">Stargate Milam County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</si>
  <si>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S#142–144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</t>
    </r>
    <r>
      <rPr>
        <sz val="11"/>
        <color theme="1"/>
        <rFont val="Calibri"/>
        <family val="2"/>
        <charset val="1"/>
      </rPr>
      <t xml:space="preserve">SB Energy S-1/A Milam County 2 445 MW-IT</t>
    </r>
    <r>
      <rPr>
        <sz val="11"/>
        <color theme="1"/>
        <rFont val="Noto Sans CJK SC"/>
        <family val="2"/>
      </rPr>
      <t xml:space="preserve">，最後 </t>
    </r>
    <r>
      <rPr>
        <sz val="11"/>
        <color theme="1"/>
        <rFont val="Calibri"/>
        <family val="2"/>
        <charset val="1"/>
      </rPr>
      <t xml:space="preserve">RFS 2028</t>
    </r>
    <r>
      <rPr>
        <sz val="11"/>
        <color theme="1"/>
        <rFont val="Noto Sans CJK SC"/>
        <family val="2"/>
      </rPr>
      <t xml:space="preserve">）</t>
    </r>
  </si>
  <si>
    <t xml:space="preserve">cp_sov_hum3</t>
  </si>
  <si>
    <r>
      <rPr>
        <sz val="11"/>
        <color theme="1"/>
        <rFont val="Calibri"/>
        <family val="2"/>
        <charset val="1"/>
      </rPr>
      <t xml:space="preserve">Humain 2027→2030 </t>
    </r>
    <r>
      <rPr>
        <sz val="11"/>
        <color theme="1"/>
        <rFont val="Noto Sans CJK SC"/>
        <family val="2"/>
      </rPr>
      <t xml:space="preserve">餘量（至 </t>
    </r>
    <r>
      <rPr>
        <sz val="11"/>
        <color theme="1"/>
        <rFont val="Calibri"/>
        <family val="2"/>
        <charset val="1"/>
      </rPr>
      <t xml:space="preserve">1.9 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</si>
  <si>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B#58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達 </t>
    </r>
    <r>
      <rPr>
        <sz val="11"/>
        <color theme="1"/>
        <rFont val="Calibri"/>
        <family val="2"/>
        <charset val="1"/>
      </rPr>
      <t xml:space="preserve">1.9 GW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1.7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S#158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S#160 I </t>
    </r>
    <r>
      <rPr>
        <sz val="11"/>
        <color theme="1"/>
        <rFont val="Noto Sans CJK SC"/>
        <family val="2"/>
      </rPr>
      <t xml:space="preserve">段）；另有約 </t>
    </r>
    <r>
      <rPr>
        <sz val="11"/>
        <color theme="1"/>
        <rFont val="Calibri"/>
        <family val="2"/>
        <charset val="1"/>
      </rPr>
      <t xml:space="preserve">3 GW </t>
    </r>
    <r>
      <rPr>
        <sz val="11"/>
        <color theme="1"/>
        <rFont val="Noto Sans CJK SC"/>
        <family val="2"/>
      </rPr>
      <t xml:space="preserve">說法未核，不入</t>
    </r>
  </si>
  <si>
    <t xml:space="preserve">cp_amzn_rdg_b614</t>
  </si>
  <si>
    <r>
      <rPr>
        <sz val="11"/>
        <color theme="1"/>
        <rFont val="Calibri"/>
        <family val="2"/>
        <charset val="1"/>
      </rPr>
      <t xml:space="preserve">AWS Ridgeland B6–14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840 − 284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</si>
  <si>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S#36–37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840 MW-IT</t>
    </r>
    <r>
      <rPr>
        <sz val="11"/>
        <color theme="1"/>
        <rFont val="Noto Sans CJK SC"/>
        <family val="2"/>
      </rPr>
      <t xml:space="preserve">，扣 </t>
    </r>
    <r>
      <rPr>
        <sz val="11"/>
        <color theme="1"/>
        <rFont val="Calibri"/>
        <family val="2"/>
        <charset val="1"/>
      </rPr>
      <t xml:space="preserve">B1–5 284</t>
    </r>
    <r>
      <rPr>
        <sz val="11"/>
        <color theme="1"/>
        <rFont val="Noto Sans CJK SC"/>
        <family val="2"/>
      </rPr>
      <t xml:space="preserve">）</t>
    </r>
  </si>
  <si>
    <t xml:space="preserve">cp_amzn_ulsan1</t>
  </si>
  <si>
    <r>
      <rPr>
        <sz val="11"/>
        <color theme="1"/>
        <rFont val="Calibri"/>
        <family val="2"/>
        <charset val="1"/>
      </rPr>
      <t xml:space="preserve">SK–AWS </t>
    </r>
    <r>
      <rPr>
        <sz val="11"/>
        <color theme="1"/>
        <rFont val="Noto Sans CJK SC"/>
        <family val="2"/>
      </rPr>
      <t xml:space="preserve">蔚山 一期</t>
    </r>
  </si>
  <si>
    <r>
      <rPr>
        <sz val="11"/>
        <color theme="1"/>
        <rFont val="Calibri"/>
        <family val="2"/>
        <charset val="1"/>
      </rPr>
      <t xml:space="preserve">S#339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S#341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段確認）</t>
    </r>
  </si>
  <si>
    <t xml:space="preserve">cp_amzn_ulsan2</t>
  </si>
  <si>
    <r>
      <rPr>
        <sz val="11"/>
        <color theme="1"/>
        <rFont val="Calibri"/>
        <family val="2"/>
        <charset val="1"/>
      </rPr>
      <t xml:space="preserve">SK–AWS </t>
    </r>
    <r>
      <rPr>
        <sz val="11"/>
        <color theme="1"/>
        <rFont val="Noto Sans CJK SC"/>
        <family val="2"/>
      </rPr>
      <t xml:space="preserve">蔚山 至 </t>
    </r>
    <r>
      <rPr>
        <sz val="11"/>
        <color theme="1"/>
        <rFont val="Calibri"/>
        <family val="2"/>
        <charset val="1"/>
      </rPr>
      <t xml:space="preserve">103 MW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</si>
  <si>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S#340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段確認；</t>
    </r>
    <r>
      <rPr>
        <sz val="11"/>
        <color theme="1"/>
        <rFont val="Calibri"/>
        <family val="2"/>
        <charset val="1"/>
      </rPr>
      <t xml:space="preserve">103 − 41</t>
    </r>
    <r>
      <rPr>
        <sz val="11"/>
        <color theme="1"/>
        <rFont val="Noto Sans CJK SC"/>
        <family val="2"/>
      </rPr>
      <t xml:space="preserve">）</t>
    </r>
  </si>
  <si>
    <t xml:space="preserve">cp_neo_barber</t>
  </si>
  <si>
    <r>
      <rPr>
        <sz val="11"/>
        <color theme="1"/>
        <rFont val="Calibri"/>
        <family val="2"/>
        <charset val="1"/>
      </rPr>
      <t xml:space="preserve">Cipher Barber Lake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168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39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</si>
  <si>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S#243–245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段確認：最後一批資料廳 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</t>
    </r>
  </si>
  <si>
    <t xml:space="preserve">cp_neo_pf2</t>
  </si>
  <si>
    <t xml:space="preserve">Applied Digital Polaris Forge 2</t>
  </si>
  <si>
    <r>
      <rPr>
        <sz val="11"/>
        <color theme="1"/>
        <rFont val="Calibri"/>
        <family val="2"/>
        <charset val="1"/>
      </rPr>
      <t xml:space="preserve">S#246–249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段確認；承租方未證實）</t>
    </r>
  </si>
  <si>
    <t xml:space="preserve">cp_neo_monarch1</t>
  </si>
  <si>
    <r>
      <rPr>
        <sz val="11"/>
        <color theme="1"/>
        <rFont val="Calibri"/>
        <family val="2"/>
        <charset val="1"/>
      </rPr>
      <t xml:space="preserve">Nscale Monarch </t>
    </r>
    <r>
      <rPr>
        <sz val="11"/>
        <color theme="1"/>
        <rFont val="Noto Sans CJK SC"/>
        <family val="2"/>
      </rPr>
      <t xml:space="preserve">一期</t>
    </r>
  </si>
  <si>
    <r>
      <rPr>
        <sz val="11"/>
        <color theme="1"/>
        <rFont val="Calibri"/>
        <family val="2"/>
        <charset val="1"/>
      </rPr>
      <t xml:space="preserve">S#255–257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段確認：公司目標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初；已簽約部分未驗證）</t>
    </r>
  </si>
  <si>
    <t xml:space="preserve">cp_neo_bp1</t>
  </si>
  <si>
    <r>
      <rPr>
        <sz val="11"/>
        <color theme="1"/>
        <rFont val="Calibri"/>
        <family val="2"/>
        <charset val="1"/>
      </rPr>
      <t xml:space="preserve">Hut 8 Beacon 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Nueces County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</si>
  <si>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S#123–124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段部分確認：</t>
    </r>
    <r>
      <rPr>
        <sz val="11"/>
        <color theme="1"/>
        <rFont val="Calibri"/>
        <family val="2"/>
        <charset val="1"/>
      </rPr>
      <t xml:space="preserve">352 MW-IT 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2027Q3 </t>
    </r>
    <r>
      <rPr>
        <sz val="11"/>
        <color theme="1"/>
        <rFont val="Noto Sans CJK SC"/>
        <family val="2"/>
      </rPr>
      <t xml:space="preserve">只是首個資料廳，全量到位移至 </t>
    </r>
    <r>
      <rPr>
        <sz val="11"/>
        <color theme="1"/>
        <rFont val="Calibri"/>
        <family val="2"/>
        <charset val="1"/>
      </rPr>
      <t xml:space="preserve">2028-03 [Assumed]</t>
    </r>
    <r>
      <rPr>
        <sz val="11"/>
        <color theme="1"/>
        <rFont val="Noto Sans CJK SC"/>
        <family val="2"/>
      </rPr>
      <t xml:space="preserve">）</t>
    </r>
  </si>
  <si>
    <t xml:space="preserve">cpx_meta_hyp5</t>
  </si>
  <si>
    <r>
      <rPr>
        <sz val="11"/>
        <color rgb="FF808080"/>
        <rFont val="Cambria"/>
        <family val="0"/>
        <charset val="1"/>
      </rPr>
      <t xml:space="preserve">Hyperion 2→5 GW </t>
    </r>
    <r>
      <rPr>
        <sz val="11"/>
        <color rgb="FF808080"/>
        <rFont val="Noto Sans CJK SC"/>
        <family val="2"/>
      </rPr>
      <t xml:space="preserve">餘量</t>
    </r>
  </si>
  <si>
    <r>
      <rPr>
        <sz val="11"/>
        <color rgb="FF808080"/>
        <rFont val="Cambria"/>
        <family val="0"/>
        <charset val="1"/>
      </rPr>
      <t xml:space="preserve">S#48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S#50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MW </t>
    </r>
    <r>
      <rPr>
        <sz val="11"/>
        <color rgb="FF808080"/>
        <rFont val="Noto Sans CJK SC"/>
        <family val="2"/>
      </rPr>
      <t xml:space="preserve">確認；</t>
    </r>
    <r>
      <rPr>
        <sz val="11"/>
        <color rgb="FF808080"/>
        <rFont val="Cambria"/>
        <family val="0"/>
        <charset val="1"/>
      </rPr>
      <t xml:space="preserve">2032 </t>
    </r>
    <r>
      <rPr>
        <sz val="11"/>
        <color rgb="FF808080"/>
        <rFont val="Noto Sans CJK SC"/>
        <family val="2"/>
      </rPr>
      <t xml:space="preserve">只有一篇未標說話者的報導，另一篇稱無完成日）；判斷題 </t>
    </r>
    <r>
      <rPr>
        <sz val="11"/>
        <color rgb="FF808080"/>
        <rFont val="Cambria"/>
        <family val="0"/>
        <charset val="1"/>
      </rPr>
      <t xml:space="preserve">H1 </t>
    </r>
    <r>
      <rPr>
        <sz val="11"/>
        <color rgb="FF808080"/>
        <rFont val="Noto Sans CJK SC"/>
        <family val="2"/>
      </rPr>
      <t xml:space="preserve">預設不入主路徑，只列</t>
    </r>
  </si>
  <si>
    <t xml:space="preserve">cpx_oai_tmk</t>
  </si>
  <si>
    <r>
      <rPr>
        <sz val="11"/>
        <color rgb="FF808080"/>
        <rFont val="Cambria"/>
        <family val="0"/>
        <charset val="1"/>
      </rPr>
      <t xml:space="preserve">SoftBank </t>
    </r>
    <r>
      <rPr>
        <sz val="11"/>
        <color rgb="FF808080"/>
        <rFont val="Noto Sans CJK SC"/>
        <family val="2"/>
      </rPr>
      <t xml:space="preserve">北海道苫小牧</t>
    </r>
  </si>
  <si>
    <r>
      <rPr>
        <sz val="11"/>
        <color rgb="FF808080"/>
        <rFont val="Cambria"/>
        <family val="0"/>
        <charset val="1"/>
      </rPr>
      <t xml:space="preserve">S#333–334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段確認：</t>
    </r>
    <r>
      <rPr>
        <sz val="11"/>
        <color rgb="FF808080"/>
        <rFont val="Cambria"/>
        <family val="0"/>
        <charset val="1"/>
      </rPr>
      <t xml:space="preserve">50 MW </t>
    </r>
    <r>
      <rPr>
        <sz val="11"/>
        <color rgb="FF808080"/>
        <rFont val="Noto Sans CJK SC"/>
        <family val="2"/>
      </rPr>
      <t xml:space="preserve">受電 </t>
    </r>
    <r>
      <rPr>
        <sz val="11"/>
        <color rgb="FF808080"/>
        <rFont val="Cambria"/>
        <family val="0"/>
        <charset val="1"/>
      </rPr>
      <t xml:space="preserve">@2027-03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SoftBank </t>
    </r>
    <r>
      <rPr>
        <sz val="11"/>
        <color rgb="FF808080"/>
        <rFont val="Noto Sans CJK SC"/>
        <family val="2"/>
      </rPr>
      <t xml:space="preserve">自用與大學研究，非 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可用算力 → 判斷題 </t>
    </r>
    <r>
      <rPr>
        <sz val="11"/>
        <color rgb="FF808080"/>
        <rFont val="Cambria"/>
        <family val="0"/>
        <charset val="1"/>
      </rPr>
      <t xml:space="preserve">H2 </t>
    </r>
    <r>
      <rPr>
        <sz val="11"/>
        <color rgb="FF808080"/>
        <rFont val="Noto Sans CJK SC"/>
        <family val="2"/>
      </rPr>
      <t xml:space="preserve">預設歸其他、不入</t>
    </r>
  </si>
  <si>
    <t xml:space="preserve">oth</t>
  </si>
  <si>
    <t xml:space="preserve">cpx_nbis_oxa</t>
  </si>
  <si>
    <r>
      <rPr>
        <sz val="11"/>
        <color rgb="FF808080"/>
        <rFont val="Cambria"/>
        <family val="0"/>
        <charset val="1"/>
      </rPr>
      <t xml:space="preserve">DataVolt Oxagon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Nebius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50 MW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</si>
  <si>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S#271–272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段部分確認：初步框架協議、不具約束力；</t>
    </r>
    <r>
      <rPr>
        <sz val="11"/>
        <color rgb="FF808080"/>
        <rFont val="Cambria"/>
        <family val="0"/>
        <charset val="1"/>
      </rPr>
      <t xml:space="preserve">2027Q4 </t>
    </r>
    <r>
      <rPr>
        <sz val="11"/>
        <color rgb="FF808080"/>
        <rFont val="Noto Sans CJK SC"/>
        <family val="2"/>
      </rPr>
      <t xml:space="preserve">為分期開始）；不入</t>
    </r>
  </si>
  <si>
    <t xml:space="preserve">cpx_sov_ajm</t>
  </si>
  <si>
    <r>
      <rPr>
        <sz val="11"/>
        <color rgb="FF808080"/>
        <rFont val="Cambria"/>
        <family val="0"/>
        <charset val="1"/>
      </rPr>
      <t xml:space="preserve">Khazna Ajman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QAJ1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</si>
  <si>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S#268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段：無可取得來源）；不入</t>
    </r>
  </si>
  <si>
    <r>
      <rPr>
        <sz val="11"/>
        <color theme="1"/>
        <rFont val="Calibri"/>
        <family val="2"/>
        <charset val="1"/>
      </rPr>
      <t xml:space="preserve">TK_In — Tokenomics </t>
    </r>
    <r>
      <rPr>
        <sz val="11"/>
        <color theme="1"/>
        <rFont val="Noto Sans CJK SC"/>
        <family val="2"/>
      </rPr>
      <t xml:space="preserve">取數（只讀鏡像；權威在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commit 91d541f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）。同一份快照與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相同（</t>
    </r>
    <r>
      <rPr>
        <sz val="11"/>
        <color theme="1"/>
        <rFont val="Calibri"/>
        <family val="2"/>
        <charset val="1"/>
      </rPr>
      <t xml:space="preserve">siliconomics/data/tokenomics_snapshot_v21.7.json</t>
    </r>
    <r>
      <rPr>
        <sz val="11"/>
        <color theme="1"/>
        <rFont val="Noto Sans CJK SC"/>
        <family val="2"/>
      </rPr>
      <t xml:space="preserve">），不另抽；綠字不得修改</t>
    </r>
  </si>
  <si>
    <r>
      <rPr>
        <sz val="11"/>
        <color theme="1"/>
        <rFont val="Noto Sans CJK SC"/>
        <family val="2"/>
      </rPr>
      <t xml:space="preserve">快照註記：主值取「基準」成本情境；低成本／高成本只作敏感度。每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關鍵電力（</t>
    </r>
    <r>
      <rPr>
        <sz val="11"/>
        <color theme="1"/>
        <rFont val="Calibri"/>
        <family val="2"/>
        <charset val="1"/>
      </rPr>
      <t xml:space="preserve">Tokenomics 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列）。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</si>
  <si>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）</t>
    </r>
  </si>
  <si>
    <t xml:space="preserve">世代／項目</t>
  </si>
  <si>
    <t xml:space="preserve">本庫名稱</t>
  </si>
  <si>
    <t xml:space="preserve">低</t>
  </si>
  <si>
    <t xml:space="preserve">基準</t>
  </si>
  <si>
    <t xml:space="preserve">高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</si>
  <si>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位置</t>
    </r>
  </si>
  <si>
    <t xml:space="preserve">IF_RacksPerGW</t>
  </si>
  <si>
    <t xml:space="preserve">Hopper H100</t>
  </si>
  <si>
    <t xml:space="preserve">TK_RacksPerGW_H100</t>
  </si>
  <si>
    <t xml:space="preserve">架</t>
  </si>
  <si>
    <t xml:space="preserve">Interface!C6:Q6</t>
  </si>
  <si>
    <t xml:space="preserve">GB200 NVL72</t>
  </si>
  <si>
    <t xml:space="preserve">TK_RacksPerGW_GB200</t>
  </si>
  <si>
    <t xml:space="preserve">GB300 NVL72</t>
  </si>
  <si>
    <t xml:space="preserve">TK_RacksPerGW_GB300</t>
  </si>
  <si>
    <t xml:space="preserve">VR200 NVL72</t>
  </si>
  <si>
    <t xml:space="preserve">TK_RacksPerGW_VR200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</si>
  <si>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</si>
  <si>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t xml:space="preserve">TK_RacksPerGW_RU</t>
  </si>
  <si>
    <t xml:space="preserve">IF_GPUsPerGW</t>
  </si>
  <si>
    <t xml:space="preserve">TK_GPUsPerGW_H100</t>
  </si>
  <si>
    <t xml:space="preserve">顆</t>
  </si>
  <si>
    <t xml:space="preserve">Interface!C7:Q7</t>
  </si>
  <si>
    <t xml:space="preserve">TK_GPUsPerGW_GB200</t>
  </si>
  <si>
    <t xml:space="preserve">TK_GPUsPerGW_GB300</t>
  </si>
  <si>
    <t xml:space="preserve">TK_GPUsPerGW_VR200</t>
  </si>
  <si>
    <t xml:space="preserve">TK_GPUsPerGW_RU</t>
  </si>
  <si>
    <t xml:space="preserve">IF_CapexIT</t>
  </si>
  <si>
    <t xml:space="preserve">TK_CapexIT_H100</t>
  </si>
  <si>
    <t xml:space="preserve">Interface!C9:Q9</t>
  </si>
  <si>
    <t xml:space="preserve">TK_CapexIT_GB200</t>
  </si>
  <si>
    <t xml:space="preserve">TK_CapexIT_GB300</t>
  </si>
  <si>
    <t xml:space="preserve">TK_CapexIT_VR200</t>
  </si>
  <si>
    <t xml:space="preserve">TK_CapexIT_RU</t>
  </si>
  <si>
    <t xml:space="preserve">IF_CapexFacility</t>
  </si>
  <si>
    <t xml:space="preserve">TK_CapexFacility_H100</t>
  </si>
  <si>
    <t xml:space="preserve">Interface!C10:Q10</t>
  </si>
  <si>
    <t xml:space="preserve">TK_CapexFacility_GB200</t>
  </si>
  <si>
    <t xml:space="preserve">TK_CapexFacility_GB300</t>
  </si>
  <si>
    <t xml:space="preserve">TK_CapexFacility_VR200</t>
  </si>
  <si>
    <t xml:space="preserve">TK_CapexFacility_RU</t>
  </si>
  <si>
    <t xml:space="preserve">IF_CapexTotal</t>
  </si>
  <si>
    <t xml:space="preserve">TK_CapexTotal_H100</t>
  </si>
  <si>
    <t xml:space="preserve">Interface!C11:Q11</t>
  </si>
  <si>
    <t xml:space="preserve">TK_CapexTotal_GB200</t>
  </si>
  <si>
    <t xml:space="preserve">TK_CapexTotal_GB300</t>
  </si>
  <si>
    <t xml:space="preserve">TK_CapexTotal_VR200</t>
  </si>
  <si>
    <t xml:space="preserve">TK_CapexTotal_RU</t>
  </si>
  <si>
    <t xml:space="preserve">IF_RackPrice</t>
  </si>
  <si>
    <t xml:space="preserve">TK_RackPrice_H100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</si>
  <si>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</si>
  <si>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Interface!C364:Q364</t>
  </si>
  <si>
    <t xml:space="preserve">TK_RackPrice_GB200</t>
  </si>
  <si>
    <t xml:space="preserve">TK_RackPrice_GB300</t>
  </si>
  <si>
    <t xml:space="preserve">TK_RackPrice_VR200</t>
  </si>
  <si>
    <t xml:space="preserve">TK_RackPrice_RU</t>
  </si>
  <si>
    <t xml:space="preserve">IF_ScaleOutShare</t>
  </si>
  <si>
    <t xml:space="preserve">TK_ScaleOutShare_H100</t>
  </si>
  <si>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</t>
    </r>
  </si>
  <si>
    <t xml:space="preserve">Interface!C365:Q365</t>
  </si>
  <si>
    <t xml:space="preserve">TK_ScaleOutShare_GB200</t>
  </si>
  <si>
    <t xml:space="preserve">TK_ScaleOutShare_GB300</t>
  </si>
  <si>
    <t xml:space="preserve">TK_ScaleOutShare_VR200</t>
  </si>
  <si>
    <t xml:space="preserve">TK_ScaleOutShare_RU</t>
  </si>
  <si>
    <t xml:space="preserve">IF_StoragePerGPU</t>
  </si>
  <si>
    <t xml:space="preserve">TK_StoragePerGPU_H100</t>
  </si>
  <si>
    <t xml:space="preserve">$/GPU</t>
  </si>
  <si>
    <t xml:space="preserve">Interface!C366:Q366</t>
  </si>
  <si>
    <t xml:space="preserve">TK_StoragePerGPU_GB200</t>
  </si>
  <si>
    <t xml:space="preserve">TK_StoragePerGPU_GB300</t>
  </si>
  <si>
    <t xml:space="preserve">TK_StoragePerGPU_VR200</t>
  </si>
  <si>
    <t xml:space="preserve">TK_StoragePerGPU_RU</t>
  </si>
  <si>
    <t xml:space="preserve">IF_NonNV_Out_AMD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</si>
  <si>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</si>
  <si>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TK_NonNV_Out_AMD</t>
  </si>
  <si>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</si>
  <si>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t xml:space="preserve">Interface!C369:E369</t>
  </si>
  <si>
    <t xml:space="preserve">IF_NonNV_Out_TPU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</si>
  <si>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</si>
  <si>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TK_NonNV_Out_TPU</t>
  </si>
  <si>
    <t xml:space="preserve">Interface!C370:E370</t>
  </si>
  <si>
    <t xml:space="preserve">IF_NonNV_Out_Trn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</si>
  <si>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</si>
  <si>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TK_NonNV_Out_Trn</t>
  </si>
  <si>
    <t xml:space="preserve">Interface!C371:E371</t>
  </si>
  <si>
    <t xml:space="preserve">IF_NonNV_Out_CS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</si>
  <si>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</si>
  <si>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TK_NonNV_Out_CS</t>
  </si>
  <si>
    <t xml:space="preserve">Interface!C372:E372</t>
  </si>
  <si>
    <t xml:space="preserve">IF_NonNV_Out_OAI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</si>
  <si>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</si>
  <si>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TK_NonNV_Out_OAI</t>
  </si>
  <si>
    <t xml:space="preserve">Interface!C373:E373</t>
  </si>
  <si>
    <t xml:space="preserve">IF_NonNV_Out_Ascend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</si>
  <si>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</si>
  <si>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TK_NonNV_Out_Ascend</t>
  </si>
  <si>
    <t xml:space="preserve">Interface!C379:E379</t>
  </si>
  <si>
    <t xml:space="preserve">IF_NonNV_Out_Maia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</si>
  <si>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</si>
  <si>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TK_NonNV_Out_Maia</t>
  </si>
  <si>
    <t xml:space="preserve">Interface!C380:E380</t>
  </si>
  <si>
    <t xml:space="preserve">IF_NonNV_Hold_AMD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</si>
  <si>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</si>
  <si>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TK_NonNV_Hold_AMD</t>
  </si>
  <si>
    <t xml:space="preserve">Interface!C374:E374</t>
  </si>
  <si>
    <t xml:space="preserve">IF_NonNV_Hold_TPU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</si>
  <si>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</si>
  <si>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TK_NonNV_Hold_TPU</t>
  </si>
  <si>
    <t xml:space="preserve">Interface!C375:E375</t>
  </si>
  <si>
    <t xml:space="preserve">IF_NonNV_Hold_Trn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</si>
  <si>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</si>
  <si>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TK_NonNV_Hold_Trn</t>
  </si>
  <si>
    <t xml:space="preserve">Interface!C376:E376</t>
  </si>
  <si>
    <t xml:space="preserve">IF_NonNV_Hold_CS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</si>
  <si>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</si>
  <si>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TK_NonNV_Hold_CS</t>
  </si>
  <si>
    <t xml:space="preserve">Interface!C377:E377</t>
  </si>
  <si>
    <t xml:space="preserve">IF_NonNV_Hold_OAI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</si>
  <si>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</si>
  <si>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TK_NonNV_Hold_OAI</t>
  </si>
  <si>
    <t xml:space="preserve">Interface!C378:E378</t>
  </si>
  <si>
    <t xml:space="preserve">IF_NonNV_Hold_Ascend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</si>
  <si>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</si>
  <si>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TK_NonNV_Hold_Ascend</t>
  </si>
  <si>
    <t xml:space="preserve">Interface!C381:E381</t>
  </si>
  <si>
    <t xml:space="preserve">IF_NonNV_Hold_Maia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</si>
  <si>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</si>
  <si>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TK_NonNV_Hold_Maia</t>
  </si>
  <si>
    <t xml:space="preserve">Interface!C382:E382</t>
  </si>
  <si>
    <t xml:space="preserve">IF_FacilityGW</t>
  </si>
  <si>
    <t xml:space="preserve">TK_FacilityGW_H100</t>
  </si>
  <si>
    <r>
      <rPr>
        <sz val="11"/>
        <color theme="1"/>
        <rFont val="Calibri"/>
        <family val="2"/>
        <charset val="1"/>
      </rPr>
      <t xml:space="preserve">model/20261025_Tokenomics_v21.7.xlsx Interface!C8:Q8</t>
    </r>
    <r>
      <rPr>
        <sz val="11"/>
        <color theme="1"/>
        <rFont val="Noto Sans CJK SC"/>
        <family val="2"/>
      </rPr>
      <t xml:space="preserve">（快照未含；直接讀活頁簿，</t>
    </r>
    <r>
      <rPr>
        <sz val="11"/>
        <color theme="1"/>
        <rFont val="Calibri"/>
        <family val="2"/>
        <charset val="1"/>
      </rPr>
      <t xml:space="preserve">commit 730b6a5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SRC_GL_006</t>
    </r>
    <r>
      <rPr>
        <sz val="11"/>
        <color theme="1"/>
        <rFont val="Noto Sans CJK SC"/>
        <family val="2"/>
      </rPr>
      <t xml:space="preserve">）</t>
    </r>
  </si>
  <si>
    <t xml:space="preserve">TK_FacilityGW_GB200</t>
  </si>
  <si>
    <t xml:space="preserve">TK_FacilityGW_GB300</t>
  </si>
  <si>
    <t xml:space="preserve">TK_FacilityGW_VR200</t>
  </si>
  <si>
    <t xml:space="preserve">TK_FacilityGW_RU</t>
  </si>
  <si>
    <r>
      <rPr>
        <sz val="11"/>
        <color theme="1"/>
        <rFont val="Calibri"/>
        <family val="2"/>
        <charset val="1"/>
      </rPr>
      <t xml:space="preserve">SIL_In — Siliconomics </t>
    </r>
    <r>
      <rPr>
        <sz val="11"/>
        <color theme="1"/>
        <rFont val="Noto Sans CJK SC"/>
        <family val="2"/>
      </rPr>
      <t xml:space="preserve">取數（只讀鏡像；權威在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半導體）：</t>
    </r>
    <r>
      <rPr>
        <sz val="11"/>
        <color theme="1"/>
        <rFont val="Calibri"/>
        <family val="2"/>
        <charset val="1"/>
      </rPr>
      <t xml:space="preserve">20261028_Siliconomics_v0.8.3.xlsx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v0.8.3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sha256 86253373d4b3</t>
    </r>
    <r>
      <rPr>
        <sz val="11"/>
        <color theme="1"/>
        <rFont val="Noto Sans CJK SC"/>
        <family val="2"/>
      </rPr>
      <t xml:space="preserve">）。由 </t>
    </r>
    <r>
      <rPr>
        <sz val="11"/>
        <color theme="1"/>
        <rFont val="Calibri"/>
        <family val="2"/>
        <charset val="1"/>
      </rPr>
      <t xml:space="preserve">siliconomics/data/CURRENT_SNAPSHOT </t>
    </r>
    <r>
      <rPr>
        <sz val="11"/>
        <color theme="1"/>
        <rFont val="Noto Sans CJK SC"/>
        <family val="2"/>
      </rPr>
      <t xml:space="preserve">指向；綠字不得修改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</si>
  <si>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SIF_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</si>
  <si>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值（純量）／</t>
    </r>
    <r>
      <rPr>
        <b val="true"/>
        <sz val="11"/>
        <rFont val="Cambria"/>
        <family val="0"/>
        <charset val="1"/>
      </rPr>
      <t xml:space="preserve">2023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</si>
  <si>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純量</t>
    </r>
  </si>
  <si>
    <t xml:space="preserve">SIF_vr26</t>
  </si>
  <si>
    <t xml:space="preserve">SIL_vr26</t>
  </si>
  <si>
    <t xml:space="preserve">SIF_vr26_lo</t>
  </si>
  <si>
    <t xml:space="preserve">SIL_vr26_lo</t>
  </si>
  <si>
    <t xml:space="preserve">SIF_vr26_hi</t>
  </si>
  <si>
    <t xml:space="preserve">SIL_vr26_hi</t>
  </si>
  <si>
    <t xml:space="preserve">SIF_it_GB</t>
  </si>
  <si>
    <t xml:space="preserve">SIL_it_GB</t>
  </si>
  <si>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</t>
    </r>
  </si>
  <si>
    <t xml:space="preserve">SIF_it_VR</t>
  </si>
  <si>
    <t xml:space="preserve">SIL_it_VR</t>
  </si>
  <si>
    <t xml:space="preserve">SIF_it_RU</t>
  </si>
  <si>
    <t xml:space="preserve">SIL_it_RU</t>
  </si>
  <si>
    <t xml:space="preserve">SIF_it_HP</t>
  </si>
  <si>
    <t xml:space="preserve">SIL_it_HP</t>
  </si>
  <si>
    <t xml:space="preserve">SIF_it_AMD8</t>
  </si>
  <si>
    <t xml:space="preserve">SIL_it_AMD8</t>
  </si>
  <si>
    <t xml:space="preserve">SIF_it_AMDR</t>
  </si>
  <si>
    <t xml:space="preserve">SIL_it_AMDR</t>
  </si>
  <si>
    <t xml:space="preserve">SIF_it_TPU</t>
  </si>
  <si>
    <t xml:space="preserve">SIL_it_TPU</t>
  </si>
  <si>
    <t xml:space="preserve">SIF_it_TRN</t>
  </si>
  <si>
    <t xml:space="preserve">SIL_it_TRN</t>
  </si>
  <si>
    <t xml:space="preserve">SIF_it_ASIC</t>
  </si>
  <si>
    <t xml:space="preserve">SIL_it_ASIC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</si>
  <si>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年度（欄 </t>
    </r>
    <r>
      <rPr>
        <b val="true"/>
        <sz val="11"/>
        <rFont val="Cambria"/>
        <family val="0"/>
        <charset val="1"/>
      </rPr>
      <t xml:space="preserve">D–M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2023–2032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只到 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）</t>
    </r>
  </si>
  <si>
    <t xml:space="preserve">SIF_UnitsPlat_bw</t>
  </si>
  <si>
    <t xml:space="preserve">百萬顆</t>
  </si>
  <si>
    <t xml:space="preserve">SIF_UnitsPlat_rb</t>
  </si>
  <si>
    <t xml:space="preserve">SIF_UnitsPlat_ru</t>
  </si>
  <si>
    <t xml:space="preserve">SIF_UnitsPlat_hp</t>
  </si>
  <si>
    <t xml:space="preserve">SIF_UnitsPlat_amd</t>
  </si>
  <si>
    <t xml:space="preserve">SIF_UnitsPlat_tpu</t>
  </si>
  <si>
    <t xml:space="preserve">SIF_UnitsPlat_trn</t>
  </si>
  <si>
    <t xml:space="preserve">SIF_UnitsPlat_oth</t>
  </si>
  <si>
    <t xml:space="preserve">SIF_UnitsCoef_A</t>
  </si>
  <si>
    <t xml:space="preserve">SIF_UnitsCoef_B</t>
  </si>
  <si>
    <t xml:space="preserve">SIF_UnitsCoef_C</t>
  </si>
  <si>
    <t xml:space="preserve">SIF_DeployGW_A</t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</si>
  <si>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（成本等值）</t>
    </r>
  </si>
  <si>
    <t xml:space="preserve">SIF_DeployGW_B</t>
  </si>
  <si>
    <t xml:space="preserve">SIF_DeployGW_C</t>
  </si>
  <si>
    <t xml:space="preserve">SIF_AIITCapex_A</t>
  </si>
  <si>
    <t xml:space="preserve">SIF_AIITCapex_B</t>
  </si>
  <si>
    <t xml:space="preserve">SIF_AIITCapex_C</t>
  </si>
  <si>
    <t xml:space="preserve">SIF_ITCapexPerGW</t>
  </si>
  <si>
    <t xml:space="preserve">US$B/GW</t>
  </si>
  <si>
    <r>
      <rPr>
        <sz val="11"/>
        <color theme="1"/>
        <rFont val="Calibri"/>
        <family val="2"/>
        <charset val="1"/>
      </rPr>
      <t xml:space="preserve">Players — </t>
    </r>
    <r>
      <rPr>
        <sz val="11"/>
        <color theme="1"/>
        <rFont val="Noto Sans CJK SC"/>
        <family val="2"/>
      </rPr>
      <t xml:space="preserve">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2023–2032</t>
    </r>
    <r>
      <rPr>
        <sz val="11"/>
        <color theme="1"/>
        <rFont val="Noto Sans CJK SC"/>
        <family val="2"/>
      </rPr>
      <t xml:space="preserve">）年底上線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；甲：公告路徑；營運者口徑）。已知值優先序：</t>
    </r>
    <r>
      <rPr>
        <sz val="11"/>
        <color theme="1"/>
        <rFont val="Calibri"/>
        <family val="2"/>
        <charset val="1"/>
      </rPr>
      <t xml:space="preserve">In Y1 </t>
    </r>
    <r>
      <rPr>
        <sz val="11"/>
        <color theme="1"/>
        <rFont val="Noto Sans CJK SC"/>
        <family val="2"/>
      </rPr>
      <t xml:space="preserve">輸入（設施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Y0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 → </t>
    </r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觀測＋觀測後至年底的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園區上線量；兩已知值間線性內插；最後已知值後＝前年＋當年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園區（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）；第一個已知值前留空（</t>
    </r>
    <r>
      <rPr>
        <sz val="11"/>
        <color theme="1"/>
        <rFont val="Calibri"/>
        <family val="2"/>
        <charset val="1"/>
      </rPr>
      <t xml:space="preserve">GL01-03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</si>
  <si>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旗標：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輸入／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晶片換算／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觀測／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內插／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園區延伸／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未知。年新增＝年底差（第一個已知年為『新納入存量』，不計新增）。低／高列：晶片換算用 </t>
    </r>
    <r>
      <rPr>
        <sz val="11"/>
        <color theme="1"/>
        <rFont val="Calibri"/>
        <family val="2"/>
        <charset val="1"/>
      </rPr>
      <t xml:space="preserve">k_chip2it </t>
    </r>
    <r>
      <rPr>
        <sz val="11"/>
        <color theme="1"/>
        <rFont val="Noto Sans CJK SC"/>
        <family val="2"/>
      </rPr>
      <t xml:space="preserve">區間或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段區間，其餘＝基準</t>
    </r>
  </si>
  <si>
    <r>
      <rPr>
        <b val="true"/>
        <sz val="11"/>
        <rFont val="Noto Sans CJK SC"/>
        <family val="2"/>
      </rPr>
      <t xml:space="preserve">世代組合（新增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內部占比）與換算係數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</si>
  <si>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</si>
  <si>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GB200 NVL72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</si>
  <si>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GB300 NVL72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</si>
  <si>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VR200 NVL72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</si>
  <si>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Rubin Ultra</t>
    </r>
  </si>
  <si>
    <r>
      <rPr>
        <sz val="11"/>
        <color theme="1"/>
        <rFont val="Noto Sans CJK SC"/>
        <family val="2"/>
      </rPr>
      <t xml:space="preserve">世代占比合計（須＝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</si>
  <si>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Units ÷ TK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數）</t>
    </r>
  </si>
  <si>
    <r>
      <rPr>
        <sz val="11"/>
        <color theme="1"/>
        <rFont val="Noto Sans CJK SC"/>
        <family val="2"/>
      </rPr>
      <t xml:space="preserve">工作單：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比例讀 </t>
    </r>
    <r>
      <rPr>
        <sz val="11"/>
        <color theme="1"/>
        <rFont val="Calibri"/>
        <family val="2"/>
        <charset val="1"/>
      </rPr>
      <t xml:space="preserve">Siliconomics Units</t>
    </r>
    <r>
      <rPr>
        <sz val="11"/>
        <color theme="1"/>
        <rFont val="Noto Sans CJK SC"/>
        <family val="2"/>
      </rPr>
      <t xml:space="preserve">；以每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數換成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GL01-11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 Blackwell 2.4M </t>
    </r>
    <r>
      <rPr>
        <sz val="11"/>
        <color theme="1"/>
        <rFont val="Noto Sans CJK SC"/>
        <family val="2"/>
      </rPr>
      <t xml:space="preserve">顆不計（工作單：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</si>
  <si>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</si>
  <si>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Siliconomics Units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占比（工作單第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（待決）、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</si>
  <si>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對應設施電力（</t>
    </r>
    <r>
      <rPr>
        <sz val="11"/>
        <color theme="1"/>
        <rFont val="Calibri"/>
        <family val="2"/>
        <charset val="1"/>
      </rPr>
      <t xml:space="preserve">TK IF_FacilityGW</t>
    </r>
    <r>
      <rPr>
        <sz val="11"/>
        <color theme="1"/>
        <rFont val="Noto Sans CJK SC"/>
        <family val="2"/>
      </rPr>
      <t xml:space="preserve">，世代加權）</t>
    </r>
  </si>
  <si>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v21.7 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列；快照未含，直接讀活頁簿，</t>
    </r>
    <r>
      <rPr>
        <sz val="11"/>
        <color theme="1"/>
        <rFont val="Calibri"/>
        <family val="2"/>
        <charset val="1"/>
      </rPr>
      <t xml:space="preserve">SRC_GL_006</t>
    </r>
    <r>
      <rPr>
        <sz val="11"/>
        <color theme="1"/>
        <rFont val="Noto Sans CJK SC"/>
        <family val="2"/>
      </rPr>
      <t xml:space="preserve">）；非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世代加權近似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</si>
  <si>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</t>
    </r>
  </si>
  <si>
    <t xml:space="preserve">mult_msft</t>
  </si>
  <si>
    <r>
      <rPr>
        <sz val="11"/>
        <color theme="1"/>
        <rFont val="Calibri"/>
        <family val="2"/>
        <charset val="1"/>
      </rPr>
      <t xml:space="preserve">k_chip2it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</si>
  <si>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</si>
  <si>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t xml:space="preserve">mult_googl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</si>
  <si>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更正值 </t>
    </r>
    <r>
      <rPr>
        <sz val="11"/>
        <color theme="1"/>
        <rFont val="Calibri"/>
        <family val="2"/>
        <charset val="1"/>
      </rPr>
      <t xml:space="preserve">ovr25_googl ÷ 2025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</si>
  <si>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</si>
  <si>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t xml:space="preserve">mult_amzn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</si>
  <si>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更正值 </t>
    </r>
    <r>
      <rPr>
        <sz val="11"/>
        <color theme="1"/>
        <rFont val="Calibri"/>
        <family val="2"/>
        <charset val="1"/>
      </rPr>
      <t xml:space="preserve">ovr25_amzn ÷ 2025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</si>
  <si>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Meta</t>
    </r>
  </si>
  <si>
    <t xml:space="preserve">mult_meta</t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</si>
  <si>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</t>
    </r>
  </si>
  <si>
    <t xml:space="preserve">mult_orcl</t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</si>
  <si>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</t>
    </r>
  </si>
  <si>
    <t xml:space="preserve">mult_xai</t>
  </si>
  <si>
    <r>
      <rPr>
        <b val="true"/>
        <sz val="11"/>
        <rFont val="Cambria"/>
        <family val="0"/>
        <charset val="1"/>
      </rPr>
      <t xml:space="preserve">Microsoft</t>
    </r>
    <r>
      <rPr>
        <b val="true"/>
        <sz val="11"/>
        <rFont val="Noto Sans CJK SC"/>
        <family val="2"/>
      </rPr>
      <t xml:space="preserve">（自有＋融資租賃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在役）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</si>
  <si>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108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In!C108</t>
    </r>
  </si>
  <si>
    <r>
      <rPr>
        <sz val="11"/>
        <color theme="1"/>
        <rFont val="Noto Sans CJK SC"/>
        <family val="2"/>
      </rPr>
      <t xml:space="preserve">　輸入（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</si>
  <si>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msft_in</t>
  </si>
  <si>
    <r>
      <rPr>
        <sz val="11"/>
        <color theme="1"/>
        <rFont val="Noto Sans CJK SC"/>
        <family val="2"/>
      </rPr>
      <t xml:space="preserve">　晶片換算 </t>
    </r>
    <r>
      <rPr>
        <sz val="11"/>
        <color theme="1"/>
        <rFont val="Calibri"/>
        <family val="2"/>
        <charset val="1"/>
      </rPr>
      <t xml:space="preserve">IT GW</t>
    </r>
  </si>
  <si>
    <t xml:space="preserve">msft_chip</t>
  </si>
  <si>
    <t xml:space="preserve">　已知值</t>
  </si>
  <si>
    <t xml:space="preserve">msft_k</t>
  </si>
  <si>
    <t xml:space="preserve">　前一已知值</t>
  </si>
  <si>
    <t xml:space="preserve">msft_L</t>
  </si>
  <si>
    <t xml:space="preserve">　前一已知年</t>
  </si>
  <si>
    <t xml:space="preserve">msft_LY</t>
  </si>
  <si>
    <t xml:space="preserve">　下一已知值</t>
  </si>
  <si>
    <t xml:space="preserve">msft_N</t>
  </si>
  <si>
    <t xml:space="preserve">　下一已知年</t>
  </si>
  <si>
    <t xml:space="preserve">msft_NY</t>
  </si>
  <si>
    <r>
      <rPr>
        <sz val="11"/>
        <color theme="1"/>
        <rFont val="Noto Sans CJK SC"/>
        <family val="2"/>
      </rPr>
      <t xml:space="preserve">　當年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園區上線（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</t>
    </r>
  </si>
  <si>
    <t xml:space="preserve">msft_cp</t>
  </si>
  <si>
    <r>
      <rPr>
        <sz val="11"/>
        <color theme="1"/>
        <rFont val="Noto Sans CJK SC"/>
        <family val="2"/>
      </rPr>
      <t xml:space="preserve">　年底上線 </t>
    </r>
    <r>
      <rPr>
        <sz val="11"/>
        <color theme="1"/>
        <rFont val="Calibri"/>
        <family val="2"/>
        <charset val="1"/>
      </rPr>
      <t xml:space="preserve">IT GW</t>
    </r>
  </si>
  <si>
    <t xml:space="preserve">msft_tk</t>
  </si>
  <si>
    <t xml:space="preserve">　旗標</t>
  </si>
  <si>
    <t xml:space="preserve">msft_f</t>
  </si>
  <si>
    <r>
      <rPr>
        <sz val="11"/>
        <color theme="1"/>
        <rFont val="Noto Sans CJK SC"/>
        <family val="2"/>
      </rPr>
      <t xml:space="preserve">　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：低</t>
    </r>
  </si>
  <si>
    <t xml:space="preserve">msft_lo</t>
  </si>
  <si>
    <r>
      <rPr>
        <sz val="11"/>
        <color theme="1"/>
        <rFont val="Noto Sans CJK SC"/>
        <family val="2"/>
      </rPr>
      <t xml:space="preserve">　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：高</t>
    </r>
  </si>
  <si>
    <t xml:space="preserve">msft_hi</t>
  </si>
  <si>
    <r>
      <rPr>
        <sz val="11"/>
        <color theme="1"/>
        <rFont val="Noto Sans CJK SC"/>
        <family val="2"/>
      </rPr>
      <t xml:space="preserve">　另讀（口徑未說明者讀為設施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</si>
  <si>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msft_alt</t>
  </si>
  <si>
    <r>
      <rPr>
        <sz val="11"/>
        <color theme="1"/>
        <rFont val="Noto Sans CJK SC"/>
        <family val="2"/>
      </rPr>
      <t xml:space="preserve">　年平均 </t>
    </r>
    <r>
      <rPr>
        <sz val="11"/>
        <color theme="1"/>
        <rFont val="Calibri"/>
        <family val="2"/>
        <charset val="1"/>
      </rPr>
      <t xml:space="preserve">IT GW</t>
    </r>
  </si>
  <si>
    <t xml:space="preserve">msft_avg</t>
  </si>
  <si>
    <r>
      <rPr>
        <sz val="11"/>
        <color theme="1"/>
        <rFont val="Noto Sans CJK SC"/>
        <family val="2"/>
      </rPr>
      <t xml:space="preserve">　年新增 </t>
    </r>
    <r>
      <rPr>
        <sz val="11"/>
        <color theme="1"/>
        <rFont val="Calibri"/>
        <family val="2"/>
        <charset val="1"/>
      </rPr>
      <t xml:space="preserve">IT GW</t>
    </r>
  </si>
  <si>
    <t xml:space="preserve">msft_add</t>
  </si>
  <si>
    <r>
      <rPr>
        <sz val="11"/>
        <color theme="1"/>
        <rFont val="Noto Sans CJK SC"/>
        <family val="2"/>
      </rPr>
      <t xml:space="preserve">　新納入存量 </t>
    </r>
    <r>
      <rPr>
        <sz val="11"/>
        <color theme="1"/>
        <rFont val="Calibri"/>
        <family val="2"/>
        <charset val="1"/>
      </rPr>
      <t xml:space="preserve">IT GW</t>
    </r>
  </si>
  <si>
    <t xml:space="preserve">msft_stk</t>
  </si>
  <si>
    <r>
      <rPr>
        <sz val="11"/>
        <color theme="1"/>
        <rFont val="Noto Sans CJK SC"/>
        <family val="2"/>
      </rPr>
      <t xml:space="preserve">　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</si>
  <si>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t xml:space="preserve">msft_nnv</t>
  </si>
  <si>
    <r>
      <rPr>
        <b val="true"/>
        <sz val="11"/>
        <rFont val="Cambria"/>
        <family val="0"/>
        <charset val="1"/>
      </rPr>
      <t xml:space="preserve">Alphabet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TPU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</si>
  <si>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109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In!C109</t>
    </r>
  </si>
  <si>
    <t xml:space="preserve">googl_in</t>
  </si>
  <si>
    <t xml:space="preserve">googl_chip</t>
  </si>
  <si>
    <t xml:space="preserve">googl_k</t>
  </si>
  <si>
    <t xml:space="preserve">googl_L</t>
  </si>
  <si>
    <t xml:space="preserve">googl_LY</t>
  </si>
  <si>
    <t xml:space="preserve">googl_N</t>
  </si>
  <si>
    <t xml:space="preserve">googl_NY</t>
  </si>
  <si>
    <t xml:space="preserve">googl_cp</t>
  </si>
  <si>
    <t xml:space="preserve">googl_tk</t>
  </si>
  <si>
    <t xml:space="preserve">googl_f</t>
  </si>
  <si>
    <t xml:space="preserve">googl_lo</t>
  </si>
  <si>
    <t xml:space="preserve">googl_hi</t>
  </si>
  <si>
    <t xml:space="preserve">googl_alt</t>
  </si>
  <si>
    <t xml:space="preserve">googl_avg</t>
  </si>
  <si>
    <t xml:space="preserve">googl_add</t>
  </si>
  <si>
    <t xml:space="preserve">googl_stk</t>
  </si>
  <si>
    <t xml:space="preserve">googl_nnv</t>
  </si>
  <si>
    <r>
      <rPr>
        <b val="true"/>
        <sz val="11"/>
        <rFont val="Cambria"/>
        <family val="0"/>
        <charset val="1"/>
      </rPr>
      <t xml:space="preserve">Amazon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AWS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Trainium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</si>
  <si>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In!C110</t>
    </r>
  </si>
  <si>
    <t xml:space="preserve">amzn_in</t>
  </si>
  <si>
    <t xml:space="preserve">amzn_chip</t>
  </si>
  <si>
    <t xml:space="preserve">amzn_k</t>
  </si>
  <si>
    <t xml:space="preserve">amzn_L</t>
  </si>
  <si>
    <t xml:space="preserve">amzn_LY</t>
  </si>
  <si>
    <t xml:space="preserve">amzn_N</t>
  </si>
  <si>
    <t xml:space="preserve">amzn_NY</t>
  </si>
  <si>
    <t xml:space="preserve">amzn_cp</t>
  </si>
  <si>
    <t xml:space="preserve">amzn_tk</t>
  </si>
  <si>
    <t xml:space="preserve">amzn_f</t>
  </si>
  <si>
    <t xml:space="preserve">amzn_lo</t>
  </si>
  <si>
    <t xml:space="preserve">amzn_hi</t>
  </si>
  <si>
    <t xml:space="preserve">amzn_alt</t>
  </si>
  <si>
    <t xml:space="preserve">amzn_avg</t>
  </si>
  <si>
    <t xml:space="preserve">amzn_add</t>
  </si>
  <si>
    <t xml:space="preserve">amzn_stk</t>
  </si>
  <si>
    <t xml:space="preserve">amzn_nnv</t>
  </si>
  <si>
    <t xml:space="preserve">Meta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</si>
  <si>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111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In!C111</t>
    </r>
  </si>
  <si>
    <t xml:space="preserve">meta_in</t>
  </si>
  <si>
    <t xml:space="preserve">meta_chip</t>
  </si>
  <si>
    <t xml:space="preserve">meta_k</t>
  </si>
  <si>
    <t xml:space="preserve">meta_L</t>
  </si>
  <si>
    <t xml:space="preserve">meta_LY</t>
  </si>
  <si>
    <t xml:space="preserve">meta_N</t>
  </si>
  <si>
    <t xml:space="preserve">meta_NY</t>
  </si>
  <si>
    <t xml:space="preserve">meta_cp</t>
  </si>
  <si>
    <t xml:space="preserve">meta_tk</t>
  </si>
  <si>
    <t xml:space="preserve">meta_f</t>
  </si>
  <si>
    <t xml:space="preserve">meta_lo</t>
  </si>
  <si>
    <t xml:space="preserve">meta_hi</t>
  </si>
  <si>
    <t xml:space="preserve">meta_alt</t>
  </si>
  <si>
    <t xml:space="preserve">meta_avg</t>
  </si>
  <si>
    <t xml:space="preserve">meta_add</t>
  </si>
  <si>
    <t xml:space="preserve">meta_stk</t>
  </si>
  <si>
    <t xml:space="preserve">meta_nnv</t>
  </si>
  <si>
    <r>
      <rPr>
        <b val="true"/>
        <sz val="11"/>
        <rFont val="Cambria"/>
        <family val="0"/>
        <charset val="1"/>
      </rPr>
      <t xml:space="preserve">Oracle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OCI</t>
    </r>
    <r>
      <rPr>
        <b val="true"/>
        <sz val="11"/>
        <rFont val="Noto Sans CJK SC"/>
        <family val="2"/>
      </rPr>
      <t xml:space="preserve">；含承租 </t>
    </r>
    <r>
      <rPr>
        <b val="true"/>
        <sz val="11"/>
        <rFont val="Cambria"/>
        <family val="0"/>
        <charset val="1"/>
      </rPr>
      <t xml:space="preserve">Stargate </t>
    </r>
    <r>
      <rPr>
        <b val="true"/>
        <sz val="11"/>
        <rFont val="Noto Sans CJK SC"/>
        <family val="2"/>
      </rPr>
      <t xml:space="preserve">站點）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</si>
  <si>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112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In!C112</t>
    </r>
  </si>
  <si>
    <t xml:space="preserve">orcl_in</t>
  </si>
  <si>
    <t xml:space="preserve">orcl_chip</t>
  </si>
  <si>
    <t xml:space="preserve">orcl_k</t>
  </si>
  <si>
    <t xml:space="preserve">orcl_L</t>
  </si>
  <si>
    <t xml:space="preserve">orcl_LY</t>
  </si>
  <si>
    <t xml:space="preserve">orcl_N</t>
  </si>
  <si>
    <t xml:space="preserve">orcl_NY</t>
  </si>
  <si>
    <t xml:space="preserve">orcl_cp</t>
  </si>
  <si>
    <t xml:space="preserve">orcl_tk</t>
  </si>
  <si>
    <t xml:space="preserve">orcl_f</t>
  </si>
  <si>
    <t xml:space="preserve">orcl_lo</t>
  </si>
  <si>
    <t xml:space="preserve">orcl_hi</t>
  </si>
  <si>
    <t xml:space="preserve">orcl_alt</t>
  </si>
  <si>
    <t xml:space="preserve">orcl_avg</t>
  </si>
  <si>
    <t xml:space="preserve">orcl_add</t>
  </si>
  <si>
    <t xml:space="preserve">orcl_stk</t>
  </si>
  <si>
    <t xml:space="preserve">orcl_nnv</t>
  </si>
  <si>
    <t xml:space="preserve">CoreWeave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</si>
  <si>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113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In!C113</t>
    </r>
  </si>
  <si>
    <t xml:space="preserve">crwv_in</t>
  </si>
  <si>
    <t xml:space="preserve">crwv_chip</t>
  </si>
  <si>
    <t xml:space="preserve">crwv_k</t>
  </si>
  <si>
    <t xml:space="preserve">crwv_L</t>
  </si>
  <si>
    <t xml:space="preserve">crwv_LY</t>
  </si>
  <si>
    <t xml:space="preserve">crwv_N</t>
  </si>
  <si>
    <t xml:space="preserve">crwv_NY</t>
  </si>
  <si>
    <t xml:space="preserve">crwv_cp</t>
  </si>
  <si>
    <t xml:space="preserve">crwv_tk</t>
  </si>
  <si>
    <t xml:space="preserve">crwv_f</t>
  </si>
  <si>
    <t xml:space="preserve">crwv_lo</t>
  </si>
  <si>
    <t xml:space="preserve">crwv_hi</t>
  </si>
  <si>
    <t xml:space="preserve">crwv_alt</t>
  </si>
  <si>
    <t xml:space="preserve">crwv_avg</t>
  </si>
  <si>
    <t xml:space="preserve">crwv_add</t>
  </si>
  <si>
    <t xml:space="preserve">crwv_stk</t>
  </si>
  <si>
    <t xml:space="preserve">crwv_nnv</t>
  </si>
  <si>
    <t xml:space="preserve">Nebius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</si>
  <si>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114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In!C114</t>
    </r>
  </si>
  <si>
    <t xml:space="preserve">nbis_in</t>
  </si>
  <si>
    <t xml:space="preserve">nbis_chip</t>
  </si>
  <si>
    <t xml:space="preserve">nbis_k</t>
  </si>
  <si>
    <t xml:space="preserve">nbis_L</t>
  </si>
  <si>
    <t xml:space="preserve">nbis_LY</t>
  </si>
  <si>
    <t xml:space="preserve">nbis_N</t>
  </si>
  <si>
    <t xml:space="preserve">nbis_NY</t>
  </si>
  <si>
    <t xml:space="preserve">nbis_cp</t>
  </si>
  <si>
    <t xml:space="preserve">nbis_tk</t>
  </si>
  <si>
    <t xml:space="preserve">nbis_f</t>
  </si>
  <si>
    <t xml:space="preserve">nbis_lo</t>
  </si>
  <si>
    <t xml:space="preserve">nbis_hi</t>
  </si>
  <si>
    <t xml:space="preserve">nbis_alt</t>
  </si>
  <si>
    <t xml:space="preserve">nbis_avg</t>
  </si>
  <si>
    <t xml:space="preserve">nbis_add</t>
  </si>
  <si>
    <t xml:space="preserve">nbis_stk</t>
  </si>
  <si>
    <t xml:space="preserve">nbis_nnv</t>
  </si>
  <si>
    <r>
      <rPr>
        <b val="true"/>
        <sz val="11"/>
        <rFont val="Cambria"/>
        <family val="0"/>
        <charset val="1"/>
      </rPr>
      <t xml:space="preserve">WhiteFiber</t>
    </r>
    <r>
      <rPr>
        <b val="true"/>
        <sz val="11"/>
        <rFont val="Noto Sans CJK SC"/>
        <family val="2"/>
      </rPr>
      <t xml:space="preserve">（雲端）</t>
    </r>
  </si>
  <si>
    <t xml:space="preserve">wyfi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</si>
  <si>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115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In!C115</t>
    </r>
  </si>
  <si>
    <t xml:space="preserve">wyfi_in</t>
  </si>
  <si>
    <t xml:space="preserve">wyfi_chip</t>
  </si>
  <si>
    <t xml:space="preserve">wyfi_k</t>
  </si>
  <si>
    <t xml:space="preserve">wyfi_L</t>
  </si>
  <si>
    <t xml:space="preserve">wyfi_LY</t>
  </si>
  <si>
    <t xml:space="preserve">wyfi_N</t>
  </si>
  <si>
    <t xml:space="preserve">wyfi_NY</t>
  </si>
  <si>
    <t xml:space="preserve">wyfi_cp</t>
  </si>
  <si>
    <t xml:space="preserve">wyfi_tk</t>
  </si>
  <si>
    <t xml:space="preserve">wyfi_f</t>
  </si>
  <si>
    <t xml:space="preserve">wyfi_lo</t>
  </si>
  <si>
    <t xml:space="preserve">wyfi_hi</t>
  </si>
  <si>
    <t xml:space="preserve">wyfi_alt</t>
  </si>
  <si>
    <t xml:space="preserve">wyfi_avg</t>
  </si>
  <si>
    <t xml:space="preserve">wyfi_add</t>
  </si>
  <si>
    <t xml:space="preserve">wyfi_stk</t>
  </si>
  <si>
    <t xml:space="preserve">wyfi_nnv</t>
  </si>
  <si>
    <r>
      <rPr>
        <b val="true"/>
        <sz val="11"/>
        <rFont val="Cambria"/>
        <family val="0"/>
        <charset val="1"/>
      </rPr>
      <t xml:space="preserve">SpaceX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xAI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Colossus</t>
    </r>
    <r>
      <rPr>
        <b val="true"/>
        <sz val="11"/>
        <rFont val="Noto Sans CJK SC"/>
        <family val="2"/>
      </rPr>
      <t xml:space="preserve">；兼出租）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</si>
  <si>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116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In!C116</t>
    </r>
  </si>
  <si>
    <t xml:space="preserve">xai_in</t>
  </si>
  <si>
    <t xml:space="preserve">xai_chip</t>
  </si>
  <si>
    <t xml:space="preserve">xai_k</t>
  </si>
  <si>
    <t xml:space="preserve">xai_L</t>
  </si>
  <si>
    <t xml:space="preserve">xai_LY</t>
  </si>
  <si>
    <t xml:space="preserve">xai_N</t>
  </si>
  <si>
    <t xml:space="preserve">xai_NY</t>
  </si>
  <si>
    <t xml:space="preserve">xai_cp</t>
  </si>
  <si>
    <t xml:space="preserve">xai_tk</t>
  </si>
  <si>
    <t xml:space="preserve">xai_f</t>
  </si>
  <si>
    <t xml:space="preserve">xai_lo</t>
  </si>
  <si>
    <t xml:space="preserve">xai_hi</t>
  </si>
  <si>
    <t xml:space="preserve">xai_alt</t>
  </si>
  <si>
    <t xml:space="preserve">xai_avg</t>
  </si>
  <si>
    <t xml:space="preserve">xai_add</t>
  </si>
  <si>
    <t xml:space="preserve">xai_stk</t>
  </si>
  <si>
    <t xml:space="preserve">xai_nnv</t>
  </si>
  <si>
    <r>
      <rPr>
        <b val="true"/>
        <sz val="11"/>
        <rFont val="Cambria"/>
        <family val="0"/>
        <charset val="1"/>
      </rPr>
      <t xml:space="preserve">OpenAI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Stargate </t>
    </r>
    <r>
      <rPr>
        <b val="true"/>
        <sz val="11"/>
        <rFont val="Noto Sans CJK SC"/>
        <family val="2"/>
      </rPr>
      <t xml:space="preserve">自建（</t>
    </r>
    <r>
      <rPr>
        <b val="true"/>
        <sz val="11"/>
        <rFont val="Cambria"/>
        <family val="0"/>
        <charset val="1"/>
      </rPr>
      <t xml:space="preserve">SoftBank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SB Energy </t>
    </r>
    <r>
      <rPr>
        <b val="true"/>
        <sz val="11"/>
        <rFont val="Noto Sans CJK SC"/>
        <family val="2"/>
      </rPr>
      <t xml:space="preserve">營運）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</si>
  <si>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117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In!C117</t>
    </r>
  </si>
  <si>
    <t xml:space="preserve">oai_in</t>
  </si>
  <si>
    <t xml:space="preserve">oai_chip</t>
  </si>
  <si>
    <t xml:space="preserve">oai_k</t>
  </si>
  <si>
    <t xml:space="preserve">oai_L</t>
  </si>
  <si>
    <t xml:space="preserve">oai_LY</t>
  </si>
  <si>
    <t xml:space="preserve">oai_N</t>
  </si>
  <si>
    <t xml:space="preserve">oai_NY</t>
  </si>
  <si>
    <t xml:space="preserve">oai_cp</t>
  </si>
  <si>
    <t xml:space="preserve">oai_tk</t>
  </si>
  <si>
    <t xml:space="preserve">oai_f</t>
  </si>
  <si>
    <t xml:space="preserve">oai_lo</t>
  </si>
  <si>
    <t xml:space="preserve">oai_hi</t>
  </si>
  <si>
    <t xml:space="preserve">oai_alt</t>
  </si>
  <si>
    <t xml:space="preserve">oai_avg</t>
  </si>
  <si>
    <t xml:space="preserve">oai_add</t>
  </si>
  <si>
    <t xml:space="preserve">oai_stk</t>
  </si>
  <si>
    <t xml:space="preserve">oai_nnv</t>
  </si>
  <si>
    <r>
      <rPr>
        <b val="true"/>
        <sz val="11"/>
        <rFont val="Cambria"/>
        <family val="0"/>
        <charset val="1"/>
      </rPr>
      <t xml:space="preserve">Anthropic </t>
    </r>
    <r>
      <rPr>
        <b val="true"/>
        <sz val="11"/>
        <rFont val="Noto Sans CJK SC"/>
        <family val="2"/>
      </rPr>
      <t xml:space="preserve">自建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</si>
  <si>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118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In!C118</t>
    </r>
  </si>
  <si>
    <t xml:space="preserve">ant_in</t>
  </si>
  <si>
    <t xml:space="preserve">ant_chip</t>
  </si>
  <si>
    <t xml:space="preserve">ant_k</t>
  </si>
  <si>
    <t xml:space="preserve">ant_L</t>
  </si>
  <si>
    <t xml:space="preserve">ant_LY</t>
  </si>
  <si>
    <t xml:space="preserve">ant_N</t>
  </si>
  <si>
    <t xml:space="preserve">ant_NY</t>
  </si>
  <si>
    <t xml:space="preserve">ant_cp</t>
  </si>
  <si>
    <t xml:space="preserve">ant_tk</t>
  </si>
  <si>
    <t xml:space="preserve">ant_f</t>
  </si>
  <si>
    <t xml:space="preserve">ant_lo</t>
  </si>
  <si>
    <t xml:space="preserve">ant_hi</t>
  </si>
  <si>
    <t xml:space="preserve">ant_alt</t>
  </si>
  <si>
    <t xml:space="preserve">ant_avg</t>
  </si>
  <si>
    <t xml:space="preserve">ant_add</t>
  </si>
  <si>
    <t xml:space="preserve">ant_stk</t>
  </si>
  <si>
    <t xml:space="preserve">ant_nnv</t>
  </si>
  <si>
    <r>
      <rPr>
        <b val="true"/>
        <sz val="11"/>
        <rFont val="Noto Sans CJK SC"/>
        <family val="2"/>
      </rPr>
      <t xml:space="preserve">其他新雲合計（</t>
    </r>
    <r>
      <rPr>
        <b val="true"/>
        <sz val="11"/>
        <rFont val="Cambria"/>
        <family val="0"/>
        <charset val="1"/>
      </rPr>
      <t xml:space="preserve">IREN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TeraWulf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Lambda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Nscale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Crusoe </t>
    </r>
    <r>
      <rPr>
        <b val="true"/>
        <sz val="11"/>
        <rFont val="Noto Sans CJK SC"/>
        <family val="2"/>
      </rPr>
      <t xml:space="preserve">雲等）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</si>
  <si>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119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In!C119</t>
    </r>
  </si>
  <si>
    <t xml:space="preserve">neo_in</t>
  </si>
  <si>
    <t xml:space="preserve">neo_chip</t>
  </si>
  <si>
    <t xml:space="preserve">neo_k</t>
  </si>
  <si>
    <t xml:space="preserve">neo_L</t>
  </si>
  <si>
    <t xml:space="preserve">neo_LY</t>
  </si>
  <si>
    <t xml:space="preserve">neo_N</t>
  </si>
  <si>
    <t xml:space="preserve">neo_NY</t>
  </si>
  <si>
    <t xml:space="preserve">neo_cp</t>
  </si>
  <si>
    <t xml:space="preserve">neo_tk</t>
  </si>
  <si>
    <t xml:space="preserve">neo_f</t>
  </si>
  <si>
    <t xml:space="preserve">neo_lo</t>
  </si>
  <si>
    <t xml:space="preserve">neo_hi</t>
  </si>
  <si>
    <t xml:space="preserve">neo_alt</t>
  </si>
  <si>
    <t xml:space="preserve">neo_avg</t>
  </si>
  <si>
    <t xml:space="preserve">neo_add</t>
  </si>
  <si>
    <t xml:space="preserve">neo_stk</t>
  </si>
  <si>
    <t xml:space="preserve">neo_nnv</t>
  </si>
  <si>
    <r>
      <rPr>
        <b val="true"/>
        <sz val="11"/>
        <rFont val="Noto Sans CJK SC"/>
        <family val="2"/>
      </rPr>
      <t xml:space="preserve">主權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（中國以外；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只含 </t>
    </r>
    <r>
      <rPr>
        <b val="true"/>
        <sz val="11"/>
        <rFont val="Cambria"/>
        <family val="0"/>
        <charset val="1"/>
      </rPr>
      <t xml:space="preserve">Humain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</si>
  <si>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In!C120</t>
    </r>
  </si>
  <si>
    <t xml:space="preserve">sov_in</t>
  </si>
  <si>
    <t xml:space="preserve">sov_chip</t>
  </si>
  <si>
    <t xml:space="preserve">sov_k</t>
  </si>
  <si>
    <t xml:space="preserve">sov_L</t>
  </si>
  <si>
    <t xml:space="preserve">sov_LY</t>
  </si>
  <si>
    <t xml:space="preserve">sov_N</t>
  </si>
  <si>
    <t xml:space="preserve">sov_NY</t>
  </si>
  <si>
    <t xml:space="preserve">sov_cp</t>
  </si>
  <si>
    <t xml:space="preserve">sov_tk</t>
  </si>
  <si>
    <t xml:space="preserve">sov_f</t>
  </si>
  <si>
    <t xml:space="preserve">sov_lo</t>
  </si>
  <si>
    <t xml:space="preserve">sov_hi</t>
  </si>
  <si>
    <t xml:space="preserve">sov_alt</t>
  </si>
  <si>
    <t xml:space="preserve">sov_avg</t>
  </si>
  <si>
    <t xml:space="preserve">sov_add</t>
  </si>
  <si>
    <t xml:space="preserve">sov_stk</t>
  </si>
  <si>
    <t xml:space="preserve">sov_nnv</t>
  </si>
  <si>
    <r>
      <rPr>
        <b val="true"/>
        <sz val="11"/>
        <rFont val="Noto Sans CJK SC"/>
        <family val="2"/>
      </rPr>
      <t xml:space="preserve">中國合計（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Rystad </t>
    </r>
    <r>
      <rPr>
        <b val="true"/>
        <sz val="11"/>
        <rFont val="Noto Sans CJK SC"/>
        <family val="2"/>
      </rPr>
      <t xml:space="preserve">容量 </t>
    </r>
    <r>
      <rPr>
        <b val="true"/>
        <sz val="11"/>
        <rFont val="Cambria"/>
        <family val="0"/>
        <charset val="1"/>
      </rPr>
      <t xml:space="preserve">× AI </t>
    </r>
    <r>
      <rPr>
        <b val="true"/>
        <sz val="1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</si>
  <si>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121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In!C121</t>
    </r>
  </si>
  <si>
    <t xml:space="preserve">cn_in</t>
  </si>
  <si>
    <t xml:space="preserve">cn_chip</t>
  </si>
  <si>
    <t xml:space="preserve">cn_k</t>
  </si>
  <si>
    <t xml:space="preserve">cn_L</t>
  </si>
  <si>
    <t xml:space="preserve">cn_LY</t>
  </si>
  <si>
    <t xml:space="preserve">cn_N</t>
  </si>
  <si>
    <t xml:space="preserve">cn_NY</t>
  </si>
  <si>
    <t xml:space="preserve">cn_cp</t>
  </si>
  <si>
    <t xml:space="preserve">cn_tk</t>
  </si>
  <si>
    <t xml:space="preserve">cn_f</t>
  </si>
  <si>
    <t xml:space="preserve">cn_lo</t>
  </si>
  <si>
    <t xml:space="preserve">cn_hi</t>
  </si>
  <si>
    <t xml:space="preserve">cn_alt</t>
  </si>
  <si>
    <t xml:space="preserve">cn_avg</t>
  </si>
  <si>
    <t xml:space="preserve">cn_add</t>
  </si>
  <si>
    <t xml:space="preserve">cn_stk</t>
  </si>
  <si>
    <t xml:space="preserve">cn_nnv</t>
  </si>
  <si>
    <r>
      <rPr>
        <b val="true"/>
        <sz val="11"/>
        <rFont val="Noto Sans CJK SC"/>
        <family val="2"/>
      </rPr>
      <t xml:space="preserve">其他（主權、企業、學研；</t>
    </r>
    <r>
      <rPr>
        <b val="true"/>
        <sz val="11"/>
        <rFont val="Cambria"/>
        <family val="0"/>
        <charset val="1"/>
      </rPr>
      <t xml:space="preserve">Epoch Other </t>
    </r>
    <r>
      <rPr>
        <b val="true"/>
        <sz val="11"/>
        <rFont val="Noto Sans CJK SC"/>
        <family val="2"/>
      </rPr>
      <t xml:space="preserve">扣新雲）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</si>
  <si>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122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In!C122</t>
    </r>
  </si>
  <si>
    <t xml:space="preserve">oth_in</t>
  </si>
  <si>
    <t xml:space="preserve">oth_chip</t>
  </si>
  <si>
    <t xml:space="preserve">oth_k</t>
  </si>
  <si>
    <t xml:space="preserve">oth_L</t>
  </si>
  <si>
    <t xml:space="preserve">oth_LY</t>
  </si>
  <si>
    <t xml:space="preserve">oth_N</t>
  </si>
  <si>
    <t xml:space="preserve">oth_NY</t>
  </si>
  <si>
    <t xml:space="preserve">oth_cp</t>
  </si>
  <si>
    <t xml:space="preserve">oth_tk</t>
  </si>
  <si>
    <t xml:space="preserve">oth_f</t>
  </si>
  <si>
    <t xml:space="preserve">oth_lo</t>
  </si>
  <si>
    <t xml:space="preserve">oth_hi</t>
  </si>
  <si>
    <t xml:space="preserve">oth_alt</t>
  </si>
  <si>
    <t xml:space="preserve">oth_avg</t>
  </si>
  <si>
    <t xml:space="preserve">oth_add</t>
  </si>
  <si>
    <t xml:space="preserve">oth_stk</t>
  </si>
  <si>
    <t xml:space="preserve">oth_nnv</t>
  </si>
  <si>
    <r>
      <rPr>
        <b val="true"/>
        <sz val="11"/>
        <rFont val="Noto Sans CJK SC"/>
        <family val="2"/>
      </rPr>
      <t xml:space="preserve">市場合計（</t>
    </r>
    <r>
      <rPr>
        <b val="true"/>
        <sz val="11"/>
        <rFont val="Cambria"/>
        <family val="0"/>
        <charset val="1"/>
      </rPr>
      <t xml:space="preserve">Σ </t>
    </r>
    <r>
      <rPr>
        <b val="true"/>
        <sz val="11"/>
        <rFont val="Noto Sans CJK SC"/>
        <family val="2"/>
      </rPr>
      <t xml:space="preserve">營運者；主要玩家＋其他）</t>
    </r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</si>
  <si>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）</t>
    </r>
  </si>
  <si>
    <t xml:space="preserve">mkt_ye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</si>
  <si>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：低</t>
    </r>
  </si>
  <si>
    <t xml:space="preserve">mkt_lo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</si>
  <si>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：高</t>
    </r>
  </si>
  <si>
    <t xml:space="preserve">mkt_hi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</si>
  <si>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（另讀：口徑未說明者讀為設施）</t>
    </r>
  </si>
  <si>
    <t xml:space="preserve">mkt_alt</t>
  </si>
  <si>
    <r>
      <rPr>
        <sz val="11"/>
        <color theme="1"/>
        <rFont val="Noto Sans CJK SC"/>
        <family val="2"/>
      </rPr>
      <t xml:space="preserve">年底上線 設施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× IF_FacilityGW</t>
    </r>
    <r>
      <rPr>
        <sz val="11"/>
        <color theme="1"/>
        <rFont val="Noto Sans CJK SC"/>
        <family val="2"/>
      </rPr>
      <t xml:space="preserve">）</t>
    </r>
  </si>
  <si>
    <t xml:space="preserve">mkt_fac</t>
  </si>
  <si>
    <r>
      <rPr>
        <sz val="11"/>
        <color theme="1"/>
        <rFont val="Noto Sans CJK SC"/>
        <family val="2"/>
      </rPr>
      <t xml:space="preserve">年平均 </t>
    </r>
    <r>
      <rPr>
        <sz val="11"/>
        <color theme="1"/>
        <rFont val="Calibri"/>
        <family val="2"/>
        <charset val="1"/>
      </rPr>
      <t xml:space="preserve">IT GW</t>
    </r>
  </si>
  <si>
    <t xml:space="preserve">mkt_avg</t>
  </si>
  <si>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</si>
  <si>
    <t xml:space="preserve">mkt_add</t>
  </si>
  <si>
    <r>
      <rPr>
        <sz val="11"/>
        <color theme="1"/>
        <rFont val="Noto Sans CJK SC"/>
        <family val="2"/>
      </rPr>
      <t xml:space="preserve">新納入存量 </t>
    </r>
    <r>
      <rPr>
        <sz val="11"/>
        <color theme="1"/>
        <rFont val="Calibri"/>
        <family val="2"/>
        <charset val="1"/>
      </rPr>
      <t xml:space="preserve">IT GW</t>
    </r>
  </si>
  <si>
    <t xml:space="preserve">mkt_stk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</si>
  <si>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（不含中國）</t>
    </r>
  </si>
  <si>
    <t xml:space="preserve">mkt_cnx</t>
  </si>
  <si>
    <t xml:space="preserve">有值玩家數</t>
  </si>
  <si>
    <t xml:space="preserve">mkt_cnt</t>
  </si>
  <si>
    <r>
      <rPr>
        <sz val="11"/>
        <color theme="1"/>
        <rFont val="Calibri"/>
        <family val="2"/>
        <charset val="1"/>
      </rPr>
      <t xml:space="preserve">Matrix — </t>
    </r>
    <r>
      <rPr>
        <sz val="11"/>
        <color theme="1"/>
        <rFont val="Noto Sans CJK SC"/>
        <family val="2"/>
      </rPr>
      <t xml:space="preserve">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使用者（年底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）。列＝營運者（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年底值），欄＝使用者：</t>
    </r>
    <r>
      <rPr>
        <sz val="11"/>
        <color theme="1"/>
        <rFont val="Calibri"/>
        <family val="2"/>
        <charset val="1"/>
      </rPr>
      <t xml:space="preserve">In T1 </t>
    </r>
    <r>
      <rPr>
        <sz val="11"/>
        <color theme="1"/>
        <rFont val="Noto Sans CJK SC"/>
        <family val="2"/>
      </rPr>
      <t xml:space="preserve">每筆分配（比＝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＝絕對值）加總；『未分配』＝列和缺口（無揭露者；</t>
    </r>
    <r>
      <rPr>
        <sz val="11"/>
        <color theme="1"/>
        <rFont val="Calibri"/>
        <family val="2"/>
        <charset val="1"/>
      </rPr>
      <t xml:space="preserve">Decisions GL01-15</t>
    </r>
    <r>
      <rPr>
        <sz val="11"/>
        <color theme="1"/>
        <rFont val="Noto Sans CJK SC"/>
        <family val="2"/>
      </rPr>
      <t xml:space="preserve">）。列和＝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；欄和合計＝總量（市場總量只按營運者加總一次）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</si>
  <si>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年底</t>
    </r>
  </si>
  <si>
    <t xml:space="preserve">自用</t>
  </si>
  <si>
    <t xml:space="preserve">OpenAI</t>
  </si>
  <si>
    <t xml:space="preserve">Anthropic</t>
  </si>
  <si>
    <t xml:space="preserve">xAI</t>
  </si>
  <si>
    <r>
      <rPr>
        <b val="true"/>
        <sz val="11"/>
        <rFont val="Cambria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（租用）</t>
    </r>
  </si>
  <si>
    <r>
      <rPr>
        <b val="true"/>
        <sz val="11"/>
        <rFont val="Cambria"/>
        <family val="0"/>
        <charset val="1"/>
      </rPr>
      <t xml:space="preserve">Microsoft</t>
    </r>
    <r>
      <rPr>
        <b val="true"/>
        <sz val="11"/>
        <rFont val="Noto Sans CJK SC"/>
        <family val="2"/>
      </rPr>
      <t xml:space="preserve">（租用）</t>
    </r>
  </si>
  <si>
    <t xml:space="preserve">其他</t>
  </si>
  <si>
    <t xml:space="preserve">未分配</t>
  </si>
  <si>
    <t xml:space="preserve">列和</t>
  </si>
  <si>
    <t xml:space="preserve">Players</t>
  </si>
  <si>
    <t xml:space="preserve">差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</si>
  <si>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</t>
    </r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</si>
  <si>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</si>
  <si>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</si>
  <si>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</t>
    </r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</si>
  <si>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</t>
    </r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</si>
  <si>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</t>
    </r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</si>
  <si>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</si>
  <si>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</t>
    </r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</si>
  <si>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</t>
    </r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</si>
  <si>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只含 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</si>
  <si>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</si>
  <si>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</t>
    </r>
  </si>
  <si>
    <t xml:space="preserve">欄和（使用者合計）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</si>
  <si>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usr_oai </t>
    </r>
    <r>
      <rPr>
        <sz val="11"/>
        <color theme="1"/>
        <rFont val="Noto Sans CJK SC"/>
        <family val="2"/>
      </rPr>
      <t xml:space="preserve">報導值（口徑 </t>
    </r>
    <r>
      <rPr>
        <sz val="11"/>
        <color theme="1"/>
        <rFont val="Calibri"/>
        <family val="2"/>
        <charset val="1"/>
      </rPr>
      <t xml:space="preserve">In!C156</t>
    </r>
    <r>
      <rPr>
        <sz val="11"/>
        <color theme="1"/>
        <rFont val="Noto Sans CJK SC"/>
        <family val="2"/>
      </rPr>
      <t xml:space="preserve">；未說明讀為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</si>
  <si>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← 矩陣欄和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&lt; 1</t>
    </r>
    <r>
      <rPr>
        <sz val="11"/>
        <color theme="1"/>
        <rFont val="Noto Sans CJK SC"/>
        <family val="2"/>
      </rPr>
      <t xml:space="preserve">＝揭露不足，差額在『未分配』）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</si>
  <si>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usr_ant </t>
    </r>
    <r>
      <rPr>
        <sz val="11"/>
        <color theme="1"/>
        <rFont val="Noto Sans CJK SC"/>
        <family val="2"/>
      </rPr>
      <t xml:space="preserve">報導值（口徑 </t>
    </r>
    <r>
      <rPr>
        <sz val="11"/>
        <color theme="1"/>
        <rFont val="Calibri"/>
        <family val="2"/>
        <charset val="1"/>
      </rPr>
      <t xml:space="preserve">In!C157</t>
    </r>
    <r>
      <rPr>
        <sz val="11"/>
        <color theme="1"/>
        <rFont val="Noto Sans CJK SC"/>
        <family val="2"/>
      </rPr>
      <t xml:space="preserve">；未說明讀為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</si>
  <si>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年底</t>
    </r>
  </si>
  <si>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</si>
  <si>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Pipeline — </t>
    </r>
    <r>
      <rPr>
        <sz val="11"/>
        <color theme="1"/>
        <rFont val="Noto Sans CJK SC"/>
        <family val="2"/>
      </rPr>
      <t xml:space="preserve">上線事件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延遲情景（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）。事件＝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園區（</t>
    </r>
    <r>
      <rPr>
        <sz val="11"/>
        <color theme="1"/>
        <rFont val="Calibri"/>
        <family val="2"/>
        <charset val="1"/>
      </rPr>
      <t xml:space="preserve">In T2</t>
    </r>
    <r>
      <rPr>
        <sz val="11"/>
        <color theme="1"/>
        <rFont val="Noto Sans CJK SC"/>
        <family val="2"/>
      </rPr>
      <t xml:space="preserve">，有上線年月且納入＝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各玩家各年『未分園區殘差』＝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 − 該年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園區；＋新納入存量（不延遲）。時間為小數年（年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底＝</t>
    </r>
    <r>
      <rPr>
        <sz val="11"/>
        <color theme="1"/>
        <rFont val="Calibri"/>
        <family val="2"/>
        <charset val="1"/>
      </rPr>
      <t xml:space="preserve">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M/12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）。延遲只作用於評價時點 </t>
    </r>
    <r>
      <rPr>
        <sz val="11"/>
        <color theme="1"/>
        <rFont val="Calibri"/>
        <family val="2"/>
        <charset val="1"/>
      </rPr>
      <t xml:space="preserve">asof </t>
    </r>
    <r>
      <rPr>
        <sz val="11"/>
        <color theme="1"/>
        <rFont val="Noto Sans CJK SC"/>
        <family val="2"/>
      </rPr>
      <t xml:space="preserve">之後：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＝每筆排定量的 </t>
    </r>
    <r>
      <rPr>
        <sz val="11"/>
        <color theme="1"/>
        <rFont val="Calibri"/>
        <family val="2"/>
        <charset val="1"/>
      </rPr>
      <t xml:space="preserve">dly_d1_s </t>
    </r>
    <r>
      <rPr>
        <sz val="11"/>
        <color theme="1"/>
        <rFont val="Noto Sans CJK SC"/>
        <family val="2"/>
      </rPr>
      <t xml:space="preserve">延 </t>
    </r>
    <r>
      <rPr>
        <sz val="11"/>
        <color theme="1"/>
        <rFont val="Calibri"/>
        <family val="2"/>
        <charset val="1"/>
      </rPr>
      <t xml:space="preserve">dly_d1_m </t>
    </r>
    <r>
      <rPr>
        <sz val="11"/>
        <color theme="1"/>
        <rFont val="Noto Sans CJK SC"/>
        <family val="2"/>
      </rPr>
      <t xml:space="preserve">月（園區有已知延遲者全額延已知月數）；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之上，原排定年在 </t>
    </r>
    <r>
      <rPr>
        <sz val="11"/>
        <color theme="1"/>
        <rFont val="Calibri"/>
        <family val="2"/>
        <charset val="1"/>
      </rPr>
      <t xml:space="preserve">dly_d2_y0–dly_d2_y1 </t>
    </r>
    <r>
      <rPr>
        <sz val="11"/>
        <color theme="1"/>
        <rFont val="Noto Sans CJK SC"/>
        <family val="2"/>
      </rPr>
      <t xml:space="preserve">且未確保電力者，</t>
    </r>
    <r>
      <rPr>
        <sz val="11"/>
        <color theme="1"/>
        <rFont val="Calibri"/>
        <family val="2"/>
        <charset val="1"/>
      </rPr>
      <t xml:space="preserve">dly_d2_bind </t>
    </r>
    <r>
      <rPr>
        <sz val="11"/>
        <color theme="1"/>
        <rFont val="Noto Sans CJK SC"/>
        <family val="2"/>
      </rPr>
      <t xml:space="preserve">再延 </t>
    </r>
    <r>
      <rPr>
        <sz val="11"/>
        <color theme="1"/>
        <rFont val="Calibri"/>
        <family val="2"/>
        <charset val="1"/>
      </rPr>
      <t xml:space="preserve">dly_d2_m </t>
    </r>
    <r>
      <rPr>
        <sz val="11"/>
        <color theme="1"/>
        <rFont val="Noto Sans CJK SC"/>
        <family val="2"/>
      </rPr>
      <t xml:space="preserve">月（殘差視為未確保電力）。殘差在年內均勻上線（觀測年在觀測時點前已上線）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</si>
  <si>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園區（</t>
    </r>
    <r>
      <rPr>
        <b val="true"/>
        <sz val="11"/>
        <rFont val="Cambria"/>
        <family val="0"/>
        <charset val="1"/>
      </rPr>
      <t xml:space="preserve">In T2 </t>
    </r>
    <r>
      <rPr>
        <b val="true"/>
        <sz val="11"/>
        <rFont val="Noto Sans CJK SC"/>
        <family val="2"/>
      </rPr>
      <t xml:space="preserve">鏡像與上線時點）</t>
    </r>
  </si>
  <si>
    <t xml:space="preserve">園區鍵</t>
  </si>
  <si>
    <t xml:space="preserve">名稱</t>
  </si>
  <si>
    <r>
      <rPr>
        <b val="true"/>
        <sz val="11"/>
        <rFont val="Cambria"/>
        <family val="0"/>
        <charset val="1"/>
      </rPr>
      <t xml:space="preserve">t </t>
    </r>
    <r>
      <rPr>
        <b val="true"/>
        <sz val="11"/>
        <rFont val="Noto Sans CJK SC"/>
        <family val="2"/>
      </rPr>
      <t xml:space="preserve">公告</t>
    </r>
  </si>
  <si>
    <t xml:space="preserve">IT GW</t>
  </si>
  <si>
    <t xml:space="preserve">t D0</t>
  </si>
  <si>
    <r>
      <rPr>
        <b val="true"/>
        <sz val="11"/>
        <rFont val="Cambria"/>
        <family val="0"/>
        <charset val="1"/>
      </rPr>
      <t xml:space="preserve">t D1 </t>
    </r>
    <r>
      <rPr>
        <b val="true"/>
        <sz val="11"/>
        <rFont val="Noto Sans CJK SC"/>
        <family val="2"/>
      </rPr>
      <t xml:space="preserve">未延</t>
    </r>
  </si>
  <si>
    <r>
      <rPr>
        <b val="true"/>
        <sz val="11"/>
        <rFont val="Cambria"/>
        <family val="0"/>
        <charset val="1"/>
      </rPr>
      <t xml:space="preserve">t D1 </t>
    </r>
    <r>
      <rPr>
        <b val="true"/>
        <sz val="11"/>
        <rFont val="Noto Sans CJK SC"/>
        <family val="2"/>
      </rPr>
      <t xml:space="preserve">延後</t>
    </r>
  </si>
  <si>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上線年</t>
    </r>
  </si>
  <si>
    <t xml:space="preserve">有效納入</t>
  </si>
  <si>
    <r>
      <rPr>
        <b val="true"/>
        <sz val="11"/>
        <rFont val="Cambria"/>
        <family val="0"/>
        <charset val="1"/>
      </rPr>
      <t xml:space="preserve">D2 </t>
    </r>
    <r>
      <rPr>
        <b val="true"/>
        <sz val="11"/>
        <rFont val="Noto Sans CJK SC"/>
        <family val="2"/>
      </rPr>
      <t xml:space="preserve">適用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</si>
  <si>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未分園區殘差（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年新增 − 該營運者該年 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上線的 </t>
    </r>
    <r>
      <rPr>
        <b val="true"/>
        <sz val="11"/>
        <rFont val="Cambria"/>
        <family val="0"/>
        <charset val="1"/>
      </rPr>
      <t xml:space="preserve">T2 </t>
    </r>
    <r>
      <rPr>
        <b val="true"/>
        <sz val="11"/>
        <rFont val="Noto Sans CJK SC"/>
        <family val="2"/>
      </rPr>
      <t xml:space="preserve">園區）</t>
    </r>
  </si>
  <si>
    <t xml:space="preserve">玩家</t>
  </si>
  <si>
    <t xml:space="preserve">類別</t>
  </si>
  <si>
    <t xml:space="preserve">殘差合計</t>
  </si>
  <si>
    <t xml:space="preserve">觀測型（不延遲）</t>
  </si>
  <si>
    <t xml:space="preserve">均勻型（延遲適用）</t>
  </si>
  <si>
    <t xml:space="preserve">觀測型殘差合計</t>
  </si>
  <si>
    <t xml:space="preserve">均勻型殘差合計</t>
  </si>
  <si>
    <r>
      <rPr>
        <b val="true"/>
        <sz val="11"/>
        <rFont val="Noto Sans CJK SC"/>
        <family val="2"/>
      </rPr>
      <t xml:space="preserve">園區（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上線年）合計</t>
    </r>
  </si>
  <si>
    <r>
      <rPr>
        <b val="true"/>
        <sz val="11"/>
        <rFont val="Noto Sans CJK SC"/>
        <family val="2"/>
      </rPr>
      <t xml:space="preserve">新納入存量（</t>
    </r>
    <r>
      <rPr>
        <b val="true"/>
        <sz val="11"/>
        <rFont val="Cambria"/>
        <family val="0"/>
        <charset val="1"/>
      </rPr>
      <t xml:space="preserve">Players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</si>
  <si>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殘差＋園區（須＝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年新增）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</si>
  <si>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均勻型事件的年底上線比例矩陣（列＝年底 </t>
    </r>
    <r>
      <rPr>
        <b val="true"/>
        <sz val="11"/>
        <rFont val="Cambria"/>
        <family val="0"/>
        <charset val="1"/>
      </rPr>
      <t xml:space="preserve">z</t>
    </r>
    <r>
      <rPr>
        <b val="true"/>
        <sz val="11"/>
        <rFont val="Noto Sans CJK SC"/>
        <family val="2"/>
      </rPr>
      <t xml:space="preserve">，欄＝事件年 </t>
    </r>
    <r>
      <rPr>
        <b val="true"/>
        <sz val="11"/>
        <rFont val="Cambria"/>
        <family val="0"/>
        <charset val="1"/>
      </rPr>
      <t xml:space="preserve">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asof </t>
    </r>
    <r>
      <rPr>
        <b val="true"/>
        <sz val="11"/>
        <rFont val="Noto Sans CJK SC"/>
        <family val="2"/>
      </rPr>
      <t xml:space="preserve">前部分不延遲，</t>
    </r>
    <r>
      <rPr>
        <b val="true"/>
        <sz val="11"/>
        <rFont val="Cambria"/>
        <family val="0"/>
        <charset val="1"/>
      </rPr>
      <t xml:space="preserve">asof </t>
    </r>
    <r>
      <rPr>
        <b val="true"/>
        <sz val="11"/>
        <rFont val="Noto Sans CJK SC"/>
        <family val="2"/>
      </rPr>
      <t xml:space="preserve">後部分依情景延後）</t>
    </r>
  </si>
  <si>
    <r>
      <rPr>
        <b val="true"/>
        <sz val="11"/>
        <rFont val="Noto Sans CJK SC"/>
        <family val="2"/>
      </rPr>
      <t xml:space="preserve">延遲情景 </t>
    </r>
    <r>
      <rPr>
        <b val="true"/>
        <sz val="11"/>
        <rFont val="Cambria"/>
        <family val="0"/>
        <charset val="1"/>
      </rPr>
      <t xml:space="preserve">D0</t>
    </r>
  </si>
  <si>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z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</si>
  <si>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</si>
  <si>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</si>
  <si>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</si>
  <si>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</si>
  <si>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</si>
  <si>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</si>
  <si>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</si>
  <si>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</si>
  <si>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</si>
  <si>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</si>
  <si>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Noto Sans CJK SC"/>
        <family val="2"/>
      </rPr>
      <t xml:space="preserve">延遲情景 </t>
    </r>
    <r>
      <rPr>
        <b val="true"/>
        <sz val="11"/>
        <rFont val="Cambria"/>
        <family val="0"/>
        <charset val="1"/>
      </rPr>
      <t xml:space="preserve">D1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</si>
  <si>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</si>
  <si>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</si>
  <si>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</si>
  <si>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</si>
  <si>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</si>
  <si>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</si>
  <si>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</si>
  <si>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</si>
  <si>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</si>
  <si>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</si>
  <si>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Noto Sans CJK SC"/>
        <family val="2"/>
      </rPr>
      <t xml:space="preserve">延遲情景 </t>
    </r>
    <r>
      <rPr>
        <b val="true"/>
        <sz val="11"/>
        <rFont val="Cambria"/>
        <family val="0"/>
        <charset val="1"/>
      </rPr>
      <t xml:space="preserve">D2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</si>
  <si>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</si>
  <si>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</si>
  <si>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</si>
  <si>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</si>
  <si>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</si>
  <si>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</si>
  <si>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</si>
  <si>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</si>
  <si>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</si>
  <si>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</si>
  <si>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年底上線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（延遲情景）</t>
    </r>
  </si>
  <si>
    <t xml:space="preserve">情景</t>
  </si>
  <si>
    <t xml:space="preserve">新納入存量累計</t>
  </si>
  <si>
    <t xml:space="preserve">觀測型殘差累計（不延遲）</t>
  </si>
  <si>
    <t xml:space="preserve">均勻型殘差（延遲後）</t>
  </si>
  <si>
    <t xml:space="preserve">D0</t>
  </si>
  <si>
    <t xml:space="preserve">D1</t>
  </si>
  <si>
    <t xml:space="preserve">D2</t>
  </si>
  <si>
    <t xml:space="preserve">園區（延遲後）</t>
  </si>
  <si>
    <r>
      <rPr>
        <b val="true"/>
        <sz val="11"/>
        <rFont val="Noto Sans CJK SC"/>
        <family val="2"/>
      </rPr>
      <t xml:space="preserve">年底上線 </t>
    </r>
    <r>
      <rPr>
        <b val="true"/>
        <sz val="11"/>
        <rFont val="Cambria"/>
        <family val="0"/>
        <charset val="1"/>
      </rPr>
      <t xml:space="preserve">IT GW</t>
    </r>
  </si>
  <si>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（淨，不含新納入存量）</t>
    </r>
  </si>
  <si>
    <r>
      <rPr>
        <sz val="11"/>
        <color theme="1"/>
        <rFont val="Noto Sans CJK SC"/>
        <family val="2"/>
      </rPr>
      <t xml:space="preserve">已出貨未上線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（相對 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</si>
  <si>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CapexGW —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：資本支出推得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AMZN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</t>
    </r>
    <r>
      <rPr>
        <sz val="11"/>
        <color theme="1"/>
        <rFont val="Noto Sans CJK SC"/>
        <family val="2"/>
      </rPr>
      <t xml:space="preserve">）。財年資本支出（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；個股模型 </t>
    </r>
    <r>
      <rPr>
        <sz val="11"/>
        <color theme="1"/>
        <rFont val="Calibri"/>
        <family val="2"/>
        <charset val="1"/>
      </rPr>
      <t xml:space="preserve">annualEstimates</t>
    </r>
    <r>
      <rPr>
        <sz val="11"/>
        <color theme="1"/>
        <rFont val="Noto Sans CJK SC"/>
        <family val="2"/>
      </rPr>
      <t xml:space="preserve">／指引，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讀現行檔：</t>
    </r>
    <r>
      <rPr>
        <sz val="11"/>
        <color theme="1"/>
        <rFont val="Calibri"/>
        <family val="2"/>
        <charset val="1"/>
      </rPr>
      <t xml:space="preserve">microsoft 2026-10-11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2026-10-09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amazon 2026-10-08 </t>
    </r>
    <r>
      <rPr>
        <sz val="11"/>
        <color theme="1"/>
        <rFont val="Noto Sans CJK SC"/>
        <family val="2"/>
      </rPr>
      <t xml:space="preserve">版，</t>
    </r>
    <r>
      <rPr>
        <sz val="11"/>
        <color theme="1"/>
        <rFont val="Calibri"/>
        <family val="2"/>
        <charset val="1"/>
      </rPr>
      <t xml:space="preserve">PR #190 </t>
    </r>
    <r>
      <rPr>
        <sz val="11"/>
        <color theme="1"/>
        <rFont val="Noto Sans CJK SC"/>
        <family val="2"/>
      </rPr>
      <t xml:space="preserve">未合併）→ 補值（最早已知年之前不回填，留空並跳過該年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；最後年後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cap_g_ext</t>
    </r>
    <r>
      <rPr>
        <sz val="11"/>
        <color theme="1"/>
        <rFont val="Noto Sans CJK SC"/>
        <family val="2"/>
      </rPr>
      <t xml:space="preserve">））→ 曆年（財年結束月拆分）→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→ 當年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資金＝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當年＋廠房占比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w0 </t>
    </r>
    <r>
      <rPr>
        <sz val="11"/>
        <color theme="1"/>
        <rFont val="Noto Sans CJK SC"/>
        <family val="2"/>
      </rPr>
      <t xml:space="preserve">當年＋</t>
    </r>
    <r>
      <rPr>
        <sz val="11"/>
        <color theme="1"/>
        <rFont val="Calibri"/>
        <family val="2"/>
        <charset val="1"/>
      </rPr>
      <t xml:space="preserve">w1 </t>
    </r>
    <r>
      <rPr>
        <sz val="11"/>
        <color theme="1"/>
        <rFont val="Noto Sans CJK SC"/>
        <family val="2"/>
      </rPr>
      <t xml:space="preserve">前一年＋</t>
    </r>
    <r>
      <rPr>
        <sz val="11"/>
        <color theme="1"/>
        <rFont val="Calibri"/>
        <family val="2"/>
        <charset val="1"/>
      </rPr>
      <t xml:space="preserve">w2 </t>
    </r>
    <r>
      <rPr>
        <sz val="11"/>
        <color theme="1"/>
        <rFont val="Noto Sans CJK SC"/>
        <family val="2"/>
      </rPr>
      <t xml:space="preserve">前兩年；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合計資本支出（</t>
    </r>
    <r>
      <rPr>
        <sz val="11"/>
        <color theme="1"/>
        <rFont val="Calibri"/>
        <family val="2"/>
        <charset val="1"/>
      </rPr>
      <t xml:space="preserve">TK IF_CapexTotal </t>
    </r>
    <r>
      <rPr>
        <sz val="11"/>
        <color theme="1"/>
        <rFont val="Noto Sans CJK SC"/>
        <family val="2"/>
      </rPr>
      <t xml:space="preserve">世代加權；</t>
    </r>
    <r>
      <rPr>
        <sz val="11"/>
        <color theme="1"/>
        <rFont val="Calibri"/>
        <family val="2"/>
        <charset val="1"/>
      </rPr>
      <t xml:space="preserve">NonNV × </t>
    </r>
    <r>
      <rPr>
        <sz val="11"/>
        <color theme="1"/>
        <rFont val="Noto Sans CJK SC"/>
        <family val="2"/>
      </rPr>
      <t xml:space="preserve">持有比 </t>
    </r>
    <r>
      <rPr>
        <sz val="11"/>
        <color theme="1"/>
        <rFont val="Calibri"/>
        <family val="2"/>
        <charset val="1"/>
      </rPr>
      <t xml:space="preserve">× VR200</t>
    </r>
    <r>
      <rPr>
        <sz val="11"/>
        <color theme="1"/>
        <rFont val="Noto Sans CJK SC"/>
        <family val="2"/>
      </rPr>
      <t xml:space="preserve">）＝年新增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；輸入為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／共識</t>
    </r>
  </si>
  <si>
    <r>
      <rPr>
        <sz val="11"/>
        <color theme="1"/>
        <rFont val="Noto Sans CJK SC"/>
        <family val="2"/>
      </rPr>
      <t xml:space="preserve">主路徑：</t>
    </r>
    <r>
      <rPr>
        <sz val="11"/>
        <color theme="1"/>
        <rFont val="Calibri"/>
        <family val="2"/>
        <charset val="1"/>
      </rPr>
      <t xml:space="preserve">2024–2026 </t>
    </r>
    <r>
      <rPr>
        <sz val="11"/>
        <color theme="1"/>
        <rFont val="Noto Sans CJK SC"/>
        <family val="2"/>
      </rPr>
      <t xml:space="preserve">用 甲（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：園區＋實測）；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起本頁七家改用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，其餘玩家仍用 甲。</t>
    </r>
    <r>
      <rPr>
        <sz val="11"/>
        <color theme="1"/>
        <rFont val="Calibri"/>
        <family val="2"/>
        <charset val="1"/>
      </rPr>
      <t xml:space="preserve">Decisions GL01-19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GL01-21</t>
    </r>
    <r>
      <rPr>
        <sz val="11"/>
        <color theme="1"/>
        <rFont val="Noto Sans CJK SC"/>
        <family val="2"/>
      </rPr>
      <t xml:space="preserve">（廠房多由房東出資者可能低估）</t>
    </r>
  </si>
  <si>
    <r>
      <rPr>
        <sz val="11"/>
        <color theme="1"/>
        <rFont val="Noto Sans CJK SC"/>
        <family val="2"/>
      </rPr>
      <t xml:space="preserve">廠房提前入帳權重 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</si>
  <si>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敏感度：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lag_bldg_lo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</si>
  <si>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敏感度：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lag_bldg_hi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</si>
  <si>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（世代加權）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</si>
  <si>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（世代加權）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</si>
  <si>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124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fye_msft</t>
    </r>
  </si>
  <si>
    <r>
      <rPr>
        <sz val="11"/>
        <color theme="1"/>
        <rFont val="Noto Sans CJK SC"/>
        <family val="2"/>
      </rPr>
      <t xml:space="preserve">　財年資本支出（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</si>
  <si>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t xml:space="preserve">　　已知值累計個數</t>
  </si>
  <si>
    <t xml:space="preserve">msft_cnt</t>
  </si>
  <si>
    <t xml:space="preserve">　　下一已知值</t>
  </si>
  <si>
    <t xml:space="preserve">　財年資本支出（補值）</t>
  </si>
  <si>
    <t xml:space="preserve">msft_fy</t>
  </si>
  <si>
    <t xml:space="preserve">　曆年資本支出</t>
  </si>
  <si>
    <t xml:space="preserve">msft_cy</t>
  </si>
  <si>
    <r>
      <rPr>
        <sz val="11"/>
        <color theme="1"/>
        <rFont val="Noto Sans CJK SC"/>
        <family val="2"/>
      </rPr>
      <t xml:space="preserve">　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</si>
  <si>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msft_ai</t>
  </si>
  <si>
    <r>
      <rPr>
        <sz val="11"/>
        <color theme="1"/>
        <rFont val="Noto Sans CJK SC"/>
        <family val="2"/>
      </rPr>
      <t xml:space="preserve">　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</si>
  <si>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msft_pit</t>
  </si>
  <si>
    <r>
      <rPr>
        <sz val="11"/>
        <color theme="1"/>
        <rFont val="Noto Sans CJK SC"/>
        <family val="2"/>
      </rPr>
      <t xml:space="preserve">　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</si>
  <si>
    <t xml:space="preserve">msft_pfac</t>
  </si>
  <si>
    <r>
      <rPr>
        <sz val="11"/>
        <color theme="1"/>
        <rFont val="Noto Sans CJK SC"/>
        <family val="2"/>
      </rPr>
      <t xml:space="preserve">　當年上線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的資金（廠房提前入帳）</t>
    </r>
  </si>
  <si>
    <t xml:space="preserve">msft_fund</t>
  </si>
  <si>
    <r>
      <rPr>
        <sz val="11"/>
        <color theme="1"/>
        <rFont val="Noto Sans CJK SC"/>
        <family val="2"/>
      </rPr>
      <t xml:space="preserve">　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</si>
  <si>
    <t xml:space="preserve">msft_gw</t>
  </si>
  <si>
    <r>
      <rPr>
        <sz val="11"/>
        <color theme="1"/>
        <rFont val="Noto Sans CJK SC"/>
        <family val="2"/>
      </rPr>
      <t xml:space="preserve">　甲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）</t>
    </r>
  </si>
  <si>
    <t xml:space="preserve">msft_site</t>
  </si>
  <si>
    <r>
      <rPr>
        <sz val="11"/>
        <color theme="1"/>
        <rFont val="Noto Sans CJK SC"/>
        <family val="2"/>
      </rPr>
      <t xml:space="preserve">　主路徑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起＝甲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</si>
  <si>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t xml:space="preserve">msft_main</t>
  </si>
  <si>
    <r>
      <rPr>
        <sz val="11"/>
        <color theme="1"/>
        <rFont val="Noto Sans CJK SC"/>
        <family val="2"/>
      </rPr>
      <t xml:space="preserve">　主路徑 年底 </t>
    </r>
    <r>
      <rPr>
        <sz val="11"/>
        <color theme="1"/>
        <rFont val="Calibri"/>
        <family val="2"/>
        <charset val="1"/>
      </rPr>
      <t xml:space="preserve">IT GW</t>
    </r>
  </si>
  <si>
    <t xml:space="preserve">msft_ye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</si>
  <si>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低）</t>
    </r>
  </si>
  <si>
    <t xml:space="preserve">msft_s_ailo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</si>
  <si>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高）</t>
    </r>
  </si>
  <si>
    <t xml:space="preserve">msft_s_aihi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</si>
  <si>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低）</t>
    </r>
  </si>
  <si>
    <t xml:space="preserve">msft_s_laglo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</si>
  <si>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高）</t>
    </r>
  </si>
  <si>
    <t xml:space="preserve">msft_s_laghi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</si>
  <si>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125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fye_googl</t>
    </r>
  </si>
  <si>
    <t xml:space="preserve">googl_cnt</t>
  </si>
  <si>
    <t xml:space="preserve">googl_fy</t>
  </si>
  <si>
    <t xml:space="preserve">googl_cy</t>
  </si>
  <si>
    <t xml:space="preserve">googl_ai</t>
  </si>
  <si>
    <t xml:space="preserve">googl_pit</t>
  </si>
  <si>
    <t xml:space="preserve">googl_pfac</t>
  </si>
  <si>
    <t xml:space="preserve">googl_fund</t>
  </si>
  <si>
    <t xml:space="preserve">googl_gw</t>
  </si>
  <si>
    <t xml:space="preserve">googl_site</t>
  </si>
  <si>
    <t xml:space="preserve">googl_main</t>
  </si>
  <si>
    <t xml:space="preserve">googl_ye</t>
  </si>
  <si>
    <t xml:space="preserve">googl_s_ailo</t>
  </si>
  <si>
    <t xml:space="preserve">googl_s_aihi</t>
  </si>
  <si>
    <t xml:space="preserve">googl_s_laglo</t>
  </si>
  <si>
    <t xml:space="preserve">googl_s_laghi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</si>
  <si>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126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ai_amzn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fye_amzn</t>
    </r>
  </si>
  <si>
    <t xml:space="preserve">amzn_cnt</t>
  </si>
  <si>
    <t xml:space="preserve">amzn_fy</t>
  </si>
  <si>
    <t xml:space="preserve">amzn_cy</t>
  </si>
  <si>
    <t xml:space="preserve">amzn_ai</t>
  </si>
  <si>
    <t xml:space="preserve">amzn_pit</t>
  </si>
  <si>
    <t xml:space="preserve">amzn_pfac</t>
  </si>
  <si>
    <t xml:space="preserve">amzn_fund</t>
  </si>
  <si>
    <t xml:space="preserve">amzn_gw</t>
  </si>
  <si>
    <t xml:space="preserve">amzn_site</t>
  </si>
  <si>
    <t xml:space="preserve">amzn_main</t>
  </si>
  <si>
    <t xml:space="preserve">amzn_ye</t>
  </si>
  <si>
    <t xml:space="preserve">amzn_s_ailo</t>
  </si>
  <si>
    <t xml:space="preserve">amzn_s_aihi</t>
  </si>
  <si>
    <t xml:space="preserve">amzn_s_laglo</t>
  </si>
  <si>
    <t xml:space="preserve">amzn_s_laghi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</si>
  <si>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127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fye_meta</t>
    </r>
  </si>
  <si>
    <t xml:space="preserve">meta_cnt</t>
  </si>
  <si>
    <t xml:space="preserve">meta_fy</t>
  </si>
  <si>
    <t xml:space="preserve">meta_cy</t>
  </si>
  <si>
    <t xml:space="preserve">meta_ai</t>
  </si>
  <si>
    <t xml:space="preserve">meta_pit</t>
  </si>
  <si>
    <t xml:space="preserve">meta_pfac</t>
  </si>
  <si>
    <t xml:space="preserve">meta_fund</t>
  </si>
  <si>
    <t xml:space="preserve">meta_gw</t>
  </si>
  <si>
    <t xml:space="preserve">meta_site</t>
  </si>
  <si>
    <t xml:space="preserve">meta_main</t>
  </si>
  <si>
    <t xml:space="preserve">meta_ye</t>
  </si>
  <si>
    <t xml:space="preserve">meta_s_ailo</t>
  </si>
  <si>
    <t xml:space="preserve">meta_s_aihi</t>
  </si>
  <si>
    <t xml:space="preserve">meta_s_laglo</t>
  </si>
  <si>
    <t xml:space="preserve">meta_s_laghi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</si>
  <si>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128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fye_orcl</t>
    </r>
  </si>
  <si>
    <t xml:space="preserve">orcl_cnt</t>
  </si>
  <si>
    <t xml:space="preserve">orcl_fy</t>
  </si>
  <si>
    <t xml:space="preserve">orcl_cy</t>
  </si>
  <si>
    <t xml:space="preserve">orcl_ai</t>
  </si>
  <si>
    <t xml:space="preserve">orcl_pit</t>
  </si>
  <si>
    <t xml:space="preserve">orcl_pfac</t>
  </si>
  <si>
    <t xml:space="preserve">orcl_fund</t>
  </si>
  <si>
    <t xml:space="preserve">orcl_gw</t>
  </si>
  <si>
    <t xml:space="preserve">orcl_site</t>
  </si>
  <si>
    <t xml:space="preserve">orcl_main</t>
  </si>
  <si>
    <t xml:space="preserve">orcl_ye</t>
  </si>
  <si>
    <t xml:space="preserve">orcl_s_ailo</t>
  </si>
  <si>
    <t xml:space="preserve">orcl_s_aihi</t>
  </si>
  <si>
    <t xml:space="preserve">orcl_s_laglo</t>
  </si>
  <si>
    <t xml:space="preserve">orcl_s_laghi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</si>
  <si>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129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fye_crwv</t>
    </r>
  </si>
  <si>
    <t xml:space="preserve">crwv_cnt</t>
  </si>
  <si>
    <t xml:space="preserve">crwv_fy</t>
  </si>
  <si>
    <t xml:space="preserve">crwv_cy</t>
  </si>
  <si>
    <t xml:space="preserve">crwv_ai</t>
  </si>
  <si>
    <t xml:space="preserve">crwv_pit</t>
  </si>
  <si>
    <t xml:space="preserve">crwv_pfac</t>
  </si>
  <si>
    <t xml:space="preserve">crwv_fund</t>
  </si>
  <si>
    <t xml:space="preserve">crwv_gw</t>
  </si>
  <si>
    <t xml:space="preserve">crwv_site</t>
  </si>
  <si>
    <t xml:space="preserve">crwv_main</t>
  </si>
  <si>
    <t xml:space="preserve">crwv_ye</t>
  </si>
  <si>
    <t xml:space="preserve">crwv_s_ailo</t>
  </si>
  <si>
    <t xml:space="preserve">crwv_s_aihi</t>
  </si>
  <si>
    <t xml:space="preserve">crwv_s_laglo</t>
  </si>
  <si>
    <t xml:space="preserve">crwv_s_laghi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</si>
  <si>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130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fye_nbis</t>
    </r>
  </si>
  <si>
    <t xml:space="preserve">nbis_cnt</t>
  </si>
  <si>
    <t xml:space="preserve">nbis_fy</t>
  </si>
  <si>
    <t xml:space="preserve">nbis_cy</t>
  </si>
  <si>
    <t xml:space="preserve">nbis_ai</t>
  </si>
  <si>
    <t xml:space="preserve">nbis_pit</t>
  </si>
  <si>
    <t xml:space="preserve">nbis_pfac</t>
  </si>
  <si>
    <t xml:space="preserve">nbis_fund</t>
  </si>
  <si>
    <t xml:space="preserve">nbis_gw</t>
  </si>
  <si>
    <t xml:space="preserve">nbis_site</t>
  </si>
  <si>
    <t xml:space="preserve">nbis_main</t>
  </si>
  <si>
    <t xml:space="preserve">nbis_ye</t>
  </si>
  <si>
    <t xml:space="preserve">nbis_s_ailo</t>
  </si>
  <si>
    <t xml:space="preserve">nbis_s_aihi</t>
  </si>
  <si>
    <t xml:space="preserve">nbis_s_laglo</t>
  </si>
  <si>
    <t xml:space="preserve">nbis_s_laghi</t>
  </si>
  <si>
    <t xml:space="preserve">七家合計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</si>
  <si>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（缺值以 甲 代入）</t>
    </r>
  </si>
  <si>
    <r>
      <rPr>
        <sz val="11"/>
        <color theme="1"/>
        <rFont val="Noto Sans CJK SC"/>
        <family val="2"/>
      </rPr>
      <t xml:space="preserve">甲 年新增 </t>
    </r>
    <r>
      <rPr>
        <sz val="11"/>
        <color theme="1"/>
        <rFont val="Calibri"/>
        <family val="2"/>
        <charset val="1"/>
      </rPr>
      <t xml:space="preserve">IT GW</t>
    </r>
  </si>
  <si>
    <r>
      <rPr>
        <sz val="11"/>
        <color theme="1"/>
        <rFont val="Noto Sans CJK SC"/>
        <family val="2"/>
      </rPr>
      <t xml:space="preserve">主路徑調整（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：甲</t>
    </r>
    <r>
      <rPr>
        <sz val="11"/>
        <color theme="1"/>
        <rFont val="Calibri"/>
        <family val="2"/>
        <charset val="1"/>
      </rPr>
      <t xml:space="preserve">2 − </t>
    </r>
    <r>
      <rPr>
        <sz val="11"/>
        <color theme="1"/>
        <rFont val="Noto Sans CJK SC"/>
        <family val="2"/>
      </rPr>
      <t xml:space="preserve">甲）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</si>
  <si>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低）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</si>
  <si>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高）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</si>
  <si>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</si>
  <si>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高）</t>
    </r>
  </si>
  <si>
    <r>
      <rPr>
        <sz val="11"/>
        <color theme="1"/>
        <rFont val="Calibri"/>
        <family val="2"/>
        <charset val="1"/>
      </rPr>
      <t xml:space="preserve">Deploy — </t>
    </r>
    <r>
      <rPr>
        <sz val="11"/>
        <color theme="1"/>
        <rFont val="Noto Sans CJK SC"/>
        <family val="2"/>
      </rPr>
      <t xml:space="preserve">市場總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（年底、年平均、年新增）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需求情景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延遲 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。主路徑：</t>
    </r>
    <r>
      <rPr>
        <sz val="11"/>
        <color theme="1"/>
        <rFont val="Calibri"/>
        <family val="2"/>
        <charset val="1"/>
      </rPr>
      <t xml:space="preserve">2024–2026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Pipeline</t>
    </r>
    <r>
      <rPr>
        <sz val="11"/>
        <color theme="1"/>
        <rFont val="Noto Sans CJK SC"/>
        <family val="2"/>
      </rPr>
      <t xml:space="preserve">（甲：園區＋實測）；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七家改用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，差額視為年內均勻上線並套用 </t>
    </r>
    <r>
      <rPr>
        <sz val="11"/>
        <color theme="1"/>
        <rFont val="Calibri"/>
        <family val="2"/>
        <charset val="1"/>
      </rPr>
      <t xml:space="preserve">Pipeline C </t>
    </r>
    <r>
      <rPr>
        <sz val="11"/>
        <color theme="1"/>
        <rFont val="Noto Sans CJK SC"/>
        <family val="2"/>
      </rPr>
      <t xml:space="preserve">節延遲比例）；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＝只有 甲。需求情景：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× SIF_UnitsCoef_*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年新增＝前年年底 </t>
    </r>
    <r>
      <rPr>
        <sz val="11"/>
        <color theme="1"/>
        <rFont val="Calibri"/>
        <family val="2"/>
        <charset val="1"/>
      </rPr>
      <t xml:space="preserve">× 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年增率由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值線性收斂到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GL01-07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</si>
  <si>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下游取用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年後數值前看覆蓋率（</t>
    </r>
    <r>
      <rPr>
        <sz val="11"/>
        <color theme="1"/>
        <rFont val="Calibri"/>
        <family val="2"/>
        <charset val="1"/>
      </rPr>
      <t xml:space="preserve">WIF_Coverage_&lt;yyyy&gt;</t>
    </r>
    <r>
      <rPr>
        <sz val="11"/>
        <color theme="1"/>
        <rFont val="Noto Sans CJK SC"/>
        <family val="2"/>
      </rPr>
      <t xml:space="preserve">：有證據支撐的新增 </t>
    </r>
    <r>
      <rPr>
        <sz val="11"/>
        <color theme="1"/>
        <rFont val="Calibri"/>
        <family val="2"/>
        <charset val="1"/>
      </rPr>
      <t xml:space="preserve">GW ÷ </t>
    </r>
    <r>
      <rPr>
        <sz val="11"/>
        <color theme="1"/>
        <rFont val="Noto Sans CJK SC"/>
        <family val="2"/>
      </rPr>
      <t xml:space="preserve">主路徑新增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&lt; 0.5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Checks WARN</t>
    </r>
    <r>
      <rPr>
        <sz val="11"/>
        <color theme="1"/>
        <rFont val="Noto Sans CJK SC"/>
        <family val="2"/>
      </rPr>
      <t xml:space="preserve">）</t>
    </r>
  </si>
  <si>
    <t xml:space="preserve">延遲</t>
  </si>
  <si>
    <r>
      <rPr>
        <sz val="11"/>
        <color theme="1"/>
        <rFont val="Calibri"/>
        <family val="2"/>
        <charset val="1"/>
      </rPr>
      <t xml:space="preserve">Pipeline D0 </t>
    </r>
    <r>
      <rPr>
        <sz val="11"/>
        <color theme="1"/>
        <rFont val="Noto Sans CJK SC"/>
        <family val="2"/>
      </rPr>
      <t xml:space="preserve">年新增（淨；甲）</t>
    </r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</si>
  <si>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調整（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</t>
    </r>
  </si>
  <si>
    <t xml:space="preserve">新納入存量</t>
  </si>
  <si>
    <t xml:space="preserve">■ 主路徑</t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</si>
  <si>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（主路徑）</t>
    </r>
  </si>
  <si>
    <r>
      <rPr>
        <sz val="11"/>
        <color theme="1"/>
        <rFont val="Noto Sans CJK SC"/>
        <family val="2"/>
      </rPr>
      <t xml:space="preserve">年新增（需求情景，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</si>
  <si>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A</t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</si>
  <si>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年增率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＝情景年新增 </t>
    </r>
    <r>
      <rPr>
        <sz val="11"/>
        <color theme="1"/>
        <rFont val="Calibri"/>
        <family val="2"/>
        <charset val="1"/>
      </rPr>
      <t xml:space="preserve">÷ 2028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</si>
  <si>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差額（相對 </t>
    </r>
    <r>
      <rPr>
        <sz val="11"/>
        <color theme="1"/>
        <rFont val="Calibri"/>
        <family val="2"/>
        <charset val="1"/>
      </rPr>
      <t xml:space="preserve">Pipeline D0 </t>
    </r>
    <r>
      <rPr>
        <sz val="11"/>
        <color theme="1"/>
        <rFont val="Noto Sans CJK SC"/>
        <family val="2"/>
      </rPr>
      <t xml:space="preserve">年新增；均勻上線）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</si>
  <si>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（主路徑）</t>
    </r>
  </si>
  <si>
    <t xml:space="preserve">B</t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</si>
  <si>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（主路徑）</t>
    </r>
  </si>
  <si>
    <t xml:space="preserve">C</t>
  </si>
  <si>
    <r>
      <rPr>
        <b val="true"/>
        <sz val="12"/>
        <rFont val="Cambria"/>
        <family val="0"/>
        <charset val="1"/>
      </rPr>
      <t xml:space="preserve">■ SiteOnly</t>
    </r>
    <r>
      <rPr>
        <b val="true"/>
        <sz val="12"/>
        <rFont val="Noto Sans CJK SC"/>
        <family val="2"/>
      </rPr>
      <t xml:space="preserve">（只有 甲）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</si>
  <si>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（只有 甲））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</si>
  <si>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（只有 甲））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</si>
  <si>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（只有 甲））</t>
    </r>
  </si>
  <si>
    <r>
      <rPr>
        <b val="true"/>
        <sz val="11"/>
        <rFont val="Noto Sans CJK SC"/>
        <family val="2"/>
      </rPr>
      <t xml:space="preserve">覆蓋率（有證據支撐的年新增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主路徑年新增；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MIN 1</t>
    </r>
    <r>
      <rPr>
        <b val="true"/>
        <sz val="11"/>
        <rFont val="Noto Sans CJK SC"/>
        <family val="2"/>
      </rPr>
      <t xml:space="preserve">；主路徑 ≤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時＝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</si>
  <si>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對外發布：</t>
    </r>
    <r>
      <rPr>
        <b val="true"/>
        <sz val="11"/>
        <rFont val="Cambria"/>
        <family val="0"/>
        <charset val="1"/>
      </rPr>
      <t xml:space="preserve">A-D0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B-D1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C-D2 </t>
    </r>
    <r>
      <rPr>
        <b val="true"/>
        <sz val="11"/>
        <rFont val="Noto Sans CJK SC"/>
        <family val="2"/>
      </rPr>
      <t xml:space="preserve">三條與基準 </t>
    </r>
    <r>
      <rPr>
        <b val="true"/>
        <sz val="11"/>
        <rFont val="Cambria"/>
        <family val="0"/>
        <charset val="1"/>
      </rPr>
      <t xml:space="preserve">A-D1</t>
    </r>
    <r>
      <rPr>
        <b val="true"/>
        <sz val="11"/>
        <rFont val="Noto Sans CJK SC"/>
        <family val="2"/>
      </rPr>
      <t xml:space="preserve">（規劃書第 </t>
    </r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節）；</t>
    </r>
    <r>
      <rPr>
        <b val="true"/>
        <sz val="11"/>
        <rFont val="Cambria"/>
        <family val="0"/>
        <charset val="1"/>
      </rPr>
      <t xml:space="preserve">Interface </t>
    </r>
    <r>
      <rPr>
        <b val="true"/>
        <sz val="11"/>
        <rFont val="Noto Sans CJK SC"/>
        <family val="2"/>
      </rPr>
      <t xml:space="preserve">主路徑與 </t>
    </r>
    <r>
      <rPr>
        <b val="true"/>
        <sz val="11"/>
        <rFont val="Cambria"/>
        <family val="0"/>
        <charset val="1"/>
      </rPr>
      <t xml:space="preserve">SiteOnly </t>
    </r>
    <r>
      <rPr>
        <b val="true"/>
        <sz val="11"/>
        <rFont val="Noto Sans CJK SC"/>
        <family val="2"/>
      </rPr>
      <t xml:space="preserve">各 </t>
    </r>
    <r>
      <rPr>
        <b val="true"/>
        <sz val="11"/>
        <rFont val="Cambria"/>
        <family val="0"/>
        <charset val="1"/>
      </rPr>
      <t xml:space="preserve">9 </t>
    </r>
    <r>
      <rPr>
        <b val="true"/>
        <sz val="11"/>
        <rFont val="Noto Sans CJK SC"/>
        <family val="2"/>
      </rPr>
      <t xml:space="preserve">組皆輸出</t>
    </r>
  </si>
  <si>
    <r>
      <rPr>
        <sz val="11"/>
        <color theme="1"/>
        <rFont val="Calibri"/>
        <family val="2"/>
        <charset val="1"/>
      </rPr>
      <t xml:space="preserve">C0 — </t>
    </r>
    <r>
      <rPr>
        <sz val="11"/>
        <color theme="1"/>
        <rFont val="Noto Sans CJK SC"/>
        <family val="2"/>
      </rPr>
      <t xml:space="preserve">市場總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：由下而上（</t>
    </r>
    <r>
      <rPr>
        <sz val="11"/>
        <color theme="1"/>
        <rFont val="Calibri"/>
        <family val="2"/>
        <charset val="1"/>
      </rPr>
      <t xml:space="preserve">Pipeline D0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營運者，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第三方總量（設施 </t>
    </r>
    <r>
      <rPr>
        <sz val="11"/>
        <color theme="1"/>
        <rFont val="Calibri"/>
        <family val="2"/>
        <charset val="1"/>
      </rPr>
      <t xml:space="preserve">÷ IF_FacilityGW </t>
    </r>
    <r>
      <rPr>
        <sz val="11"/>
        <color theme="1"/>
        <rFont val="Noto Sans CJK SC"/>
        <family val="2"/>
      </rPr>
      <t xml:space="preserve">換成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）。兩讀並列：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由下而上含中國；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不含中國（假設 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』已含中國買家晶片，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）。第三方只作佐證、不校準；雙方皆 </t>
    </r>
    <r>
      <rPr>
        <sz val="11"/>
        <color theme="1"/>
        <rFont val="Calibri"/>
        <family val="2"/>
        <charset val="1"/>
      </rPr>
      <t xml:space="preserve">Verified </t>
    </r>
    <r>
      <rPr>
        <sz val="11"/>
        <color theme="1"/>
        <rFont val="Noto Sans CJK SC"/>
        <family val="2"/>
      </rPr>
      <t xml:space="preserve">才判『對得上／偏差』，否則『證據不足（帶內／帶外）』</t>
    </r>
  </si>
  <si>
    <r>
      <rPr>
        <sz val="11"/>
        <color theme="1"/>
        <rFont val="Noto Sans CJK SC"/>
        <family val="2"/>
      </rPr>
      <t xml:space="preserve">注意（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由晶片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到設施；本庫晶片 </t>
    </r>
    <r>
      <rPr>
        <sz val="11"/>
        <color theme="1"/>
        <rFont val="Calibri"/>
        <family val="2"/>
        <charset val="1"/>
      </rPr>
      <t xml:space="preserve">× k_chip2it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1.85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1.2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2.22</t>
    </r>
    <r>
      <rPr>
        <sz val="11"/>
        <color theme="1"/>
        <rFont val="Noto Sans CJK SC"/>
        <family val="2"/>
      </rPr>
      <t xml:space="preserve">。倍數未統一前，比值接近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不代表由下而上與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吻合。晶片合約（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）不入 </t>
    </r>
    <r>
      <rPr>
        <sz val="11"/>
        <color theme="1"/>
        <rFont val="Calibri"/>
        <family val="2"/>
        <charset val="1"/>
      </rPr>
      <t xml:space="preserve">C0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Requests R4</t>
    </r>
    <r>
      <rPr>
        <sz val="11"/>
        <color theme="1"/>
        <rFont val="Noto Sans CJK SC"/>
        <family val="2"/>
      </rPr>
      <t xml:space="preserve">）</t>
    </r>
  </si>
  <si>
    <t xml:space="preserve">來源鍵</t>
  </si>
  <si>
    <r>
      <rPr>
        <b val="true"/>
        <sz val="11"/>
        <rFont val="Cambria"/>
        <family val="0"/>
        <charset val="1"/>
      </rPr>
      <t xml:space="preserve">(a) </t>
    </r>
    <r>
      <rPr>
        <b val="true"/>
        <sz val="11"/>
        <rFont val="Noto Sans CJK SC"/>
        <family val="2"/>
      </rPr>
      <t xml:space="preserve">由下而上 年底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（含中國；</t>
    </r>
    <r>
      <rPr>
        <b val="true"/>
        <sz val="11"/>
        <rFont val="Cambria"/>
        <family val="0"/>
        <charset val="1"/>
      </rPr>
      <t xml:space="preserve">Pipeline D0</t>
    </r>
    <r>
      <rPr>
        <b val="true"/>
        <sz val="11"/>
        <rFont val="Noto Sans CJK SC"/>
        <family val="2"/>
      </rPr>
      <t xml:space="preserve">）</t>
    </r>
  </si>
  <si>
    <t xml:space="preserve">BUa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</si>
  <si>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低列合計）</t>
    </r>
  </si>
  <si>
    <t xml:space="preserve">BUalo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</si>
  <si>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高列合計）</t>
    </r>
  </si>
  <si>
    <t xml:space="preserve">BUahi</t>
  </si>
  <si>
    <r>
      <rPr>
        <b val="true"/>
        <sz val="11"/>
        <rFont val="Cambria"/>
        <family val="0"/>
        <charset val="1"/>
      </rPr>
      <t xml:space="preserve">(b) </t>
    </r>
    <r>
      <rPr>
        <b val="true"/>
        <sz val="11"/>
        <rFont val="Noto Sans CJK SC"/>
        <family val="2"/>
      </rPr>
      <t xml:space="preserve">由下而上 年底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（不含中國）</t>
    </r>
  </si>
  <si>
    <t xml:space="preserve">BUb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</si>
  <si>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低</t>
    </r>
  </si>
  <si>
    <t xml:space="preserve">BUblo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</si>
  <si>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高</t>
    </r>
  </si>
  <si>
    <t xml:space="preserve">BUbhi</t>
  </si>
  <si>
    <r>
      <rPr>
        <sz val="11"/>
        <color theme="1"/>
        <rFont val="Noto Sans CJK SC"/>
        <family val="2"/>
      </rPr>
      <t xml:space="preserve">有值玩家數（共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列）</t>
    </r>
  </si>
  <si>
    <r>
      <rPr>
        <b val="true"/>
        <sz val="11"/>
        <rFont val="Cambria"/>
        <family val="0"/>
        <charset val="1"/>
      </rPr>
      <t xml:space="preserve">Epoch AI </t>
    </r>
    <r>
      <rPr>
        <b val="true"/>
        <sz val="11"/>
        <rFont val="Noto Sans CJK SC"/>
        <family val="2"/>
      </rPr>
      <t xml:space="preserve">全球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資料中心容量（設施；晶片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2.5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</si>
  <si>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原值（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</si>
  <si>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換算後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</si>
  <si>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比值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含中國（由下而上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第三方；括號＝低–高）</t>
    </r>
  </si>
  <si>
    <r>
      <rPr>
        <sz val="11"/>
        <color theme="1"/>
        <rFont val="Noto Sans CJK SC"/>
        <family val="2"/>
      </rPr>
      <t xml:space="preserve">　比值區間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含中國</t>
    </r>
  </si>
  <si>
    <r>
      <rPr>
        <sz val="11"/>
        <color theme="1"/>
        <rFont val="Noto Sans CJK SC"/>
        <family val="2"/>
      </rPr>
      <t xml:space="preserve">　狀態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含中國</t>
    </r>
  </si>
  <si>
    <r>
      <rPr>
        <sz val="11"/>
        <color theme="1"/>
        <rFont val="Noto Sans CJK SC"/>
        <family val="2"/>
      </rPr>
      <t xml:space="preserve">由下而上為混合標記（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一律不判『對得上』</t>
    </r>
  </si>
  <si>
    <r>
      <rPr>
        <sz val="11"/>
        <color theme="1"/>
        <rFont val="Noto Sans CJK SC"/>
        <family val="2"/>
      </rPr>
      <t xml:space="preserve">　比值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不含中國（由下而上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第三方；括號＝低–高）</t>
    </r>
  </si>
  <si>
    <r>
      <rPr>
        <sz val="11"/>
        <color theme="1"/>
        <rFont val="Noto Sans CJK SC"/>
        <family val="2"/>
      </rPr>
      <t xml:space="preserve">　比值區間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</t>
    </r>
  </si>
  <si>
    <r>
      <rPr>
        <sz val="11"/>
        <color theme="1"/>
        <rFont val="Noto Sans CJK SC"/>
        <family val="2"/>
      </rPr>
      <t xml:space="preserve">　狀態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</t>
    </r>
  </si>
  <si>
    <r>
      <rPr>
        <b val="true"/>
        <sz val="11"/>
        <rFont val="Cambria"/>
        <family val="0"/>
        <charset val="1"/>
      </rPr>
      <t xml:space="preserve">McKinsey AI </t>
    </r>
    <r>
      <rPr>
        <b val="true"/>
        <sz val="11"/>
        <rFont val="Noto Sans CJK SC"/>
        <family val="2"/>
      </rPr>
      <t xml:space="preserve">資料中心容量需求（第二來源）</t>
    </r>
  </si>
  <si>
    <r>
      <rPr>
        <sz val="11"/>
        <color theme="1"/>
        <rFont val="Calibri"/>
        <family val="2"/>
        <charset val="1"/>
      </rPr>
      <t xml:space="preserve">C1 — </t>
    </r>
    <r>
      <rPr>
        <sz val="11"/>
        <color theme="1"/>
        <rFont val="Noto Sans CJK SC"/>
        <family val="2"/>
      </rPr>
      <t xml:space="preserve">資本支出對帳：瓦帳推算＝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世代 新增 </t>
    </r>
    <r>
      <rPr>
        <sz val="11"/>
        <color theme="1"/>
        <rFont val="Calibri"/>
        <family val="2"/>
        <charset val="1"/>
      </rPr>
      <t xml:space="preserve">IT GW × TK IF_CapexIT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；上線年入帳）＋ </t>
    </r>
    <r>
      <rPr>
        <sz val="11"/>
        <color theme="1"/>
        <rFont val="Calibri"/>
        <family val="2"/>
        <charset val="1"/>
      </rPr>
      <t xml:space="preserve">IF_CapexFacility</t>
    </r>
    <r>
      <rPr>
        <sz val="11"/>
        <color theme="1"/>
        <rFont val="Noto Sans CJK SC"/>
        <family val="2"/>
      </rPr>
      <t xml:space="preserve">（提前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月入帳）；非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部分＝持有比 </t>
    </r>
    <r>
      <rPr>
        <sz val="11"/>
        <color theme="1"/>
        <rFont val="Calibri"/>
        <family val="2"/>
        <charset val="1"/>
      </rPr>
      <t xml:space="preserve">IF_NonNV_Hold_* × 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Y3</t>
    </r>
    <r>
      <rPr>
        <sz val="11"/>
        <color theme="1"/>
        <rFont val="Noto Sans CJK SC"/>
        <family val="2"/>
      </rPr>
      <t xml:space="preserve">）；曆年按財年結束月換算成財年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個股模型（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）。第一個已知年的存量不計資本支出；</t>
    </r>
    <r>
      <rPr>
        <sz val="11"/>
        <color theme="1"/>
        <rFont val="Calibri"/>
        <family val="2"/>
        <charset val="1"/>
      </rPr>
      <t xml:space="preserve">2031–32 </t>
    </r>
    <r>
      <rPr>
        <sz val="11"/>
        <color theme="1"/>
        <rFont val="Noto Sans CJK SC"/>
        <family val="2"/>
      </rPr>
      <t xml:space="preserve">廠房缺次年上線量，偏低</t>
    </r>
  </si>
  <si>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AMZN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 2027 </t>
    </r>
    <r>
      <rPr>
        <sz val="11"/>
        <color theme="1"/>
        <rFont val="Noto Sans CJK SC"/>
        <family val="2"/>
      </rPr>
      <t xml:space="preserve">起標『同源（不對帳）』：主路徑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起的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由同一份資本支出推得（</t>
    </r>
    <r>
      <rPr>
        <sz val="11"/>
        <color theme="1"/>
        <rFont val="Calibri"/>
        <family val="2"/>
        <charset val="1"/>
      </rPr>
      <t xml:space="preserve">CapexGW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），再與資本支出比對是循環；只有 </t>
    </r>
    <r>
      <rPr>
        <sz val="11"/>
        <color theme="1"/>
        <rFont val="Calibri"/>
        <family val="2"/>
        <charset val="1"/>
      </rPr>
      <t xml:space="preserve">2024–2026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來自園區與實測）做真對帳。本頁比值仍以 甲（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）計算，供參考</t>
    </r>
  </si>
  <si>
    <t xml:space="preserve">可能原因／說明</t>
  </si>
  <si>
    <r>
      <rPr>
        <b val="true"/>
        <sz val="11"/>
        <rFont val="Noto Sans CJK SC"/>
        <family val="2"/>
      </rPr>
      <t xml:space="preserve">廠房提前入帳權重（</t>
    </r>
    <r>
      <rPr>
        <b val="true"/>
        <sz val="11"/>
        <rFont val="Cambria"/>
        <family val="0"/>
        <charset val="1"/>
      </rPr>
      <t xml:space="preserve">lag_bldg </t>
    </r>
    <r>
      <rPr>
        <b val="true"/>
        <sz val="11"/>
        <rFont val="Noto Sans CJK SC"/>
        <family val="2"/>
      </rPr>
      <t xml:space="preserve">月 → 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＝月</t>
    </r>
    <r>
      <rPr>
        <b val="true"/>
        <sz val="11"/>
        <rFont val="Cambria"/>
        <family val="0"/>
        <charset val="1"/>
      </rPr>
      <t xml:space="preserve">/12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0≤l≤2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</si>
  <si>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（上線當年）</t>
    </r>
  </si>
  <si>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（前一年）</t>
    </r>
  </si>
  <si>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（前兩年）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</si>
  <si>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（世代加權，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</si>
  <si>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（世代加權，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</si>
  <si>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未含融資租賃（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另計）；租用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容量（約 </t>
    </r>
    <r>
      <rPr>
        <sz val="11"/>
        <color theme="1"/>
        <rFont val="Calibri"/>
        <family val="2"/>
        <charset val="1"/>
      </rPr>
      <t xml:space="preserve">1.1 GW</t>
    </r>
    <r>
      <rPr>
        <sz val="11"/>
        <color theme="1"/>
        <rFont val="Noto Sans CJK SC"/>
        <family val="2"/>
      </rPr>
      <t xml:space="preserve">）不在資本支出；非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待證據；財年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置於曆年（</t>
    </r>
    <r>
      <rPr>
        <sz val="11"/>
        <color theme="1"/>
        <rFont val="Calibri"/>
        <family val="2"/>
        <charset val="1"/>
      </rPr>
      <t xml:space="preserve">GL01-04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</si>
  <si>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資本支出（上線年）</t>
    </r>
  </si>
  <si>
    <t xml:space="preserve">　廠房資本支出（按上線年）</t>
  </si>
  <si>
    <r>
      <rPr>
        <sz val="11"/>
        <color theme="1"/>
        <rFont val="Noto Sans CJK SC"/>
        <family val="2"/>
      </rPr>
      <t xml:space="preserve">　廠房資本支出（入帳曆年，提前 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</si>
  <si>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瓦帳推算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資本支出（曆年）</t>
    </r>
  </si>
  <si>
    <r>
      <rPr>
        <sz val="11"/>
        <color theme="1"/>
        <rFont val="Noto Sans CJK SC"/>
        <family val="2"/>
      </rPr>
      <t xml:space="preserve">　瓦帳推算資本支出（財年；含非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</si>
  <si>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個股模型資本支出（財年；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</si>
  <si>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比值（瓦帳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個股模型）</t>
    </r>
  </si>
  <si>
    <t xml:space="preserve">　狀態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</si>
  <si>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成本以持有比近似；含非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（搜尋、</t>
    </r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等）；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推估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</si>
  <si>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資本支出含零售物流（非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成本以持有比近似</t>
    </r>
  </si>
  <si>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 Paso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80/20 </t>
    </r>
    <r>
      <rPr>
        <sz val="11"/>
        <color theme="1"/>
        <rFont val="Noto Sans CJK SC"/>
        <family val="2"/>
      </rPr>
      <t xml:space="preserve">合資，資本支出不在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帳上；含融資租賃本金；租用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不在資本支出</t>
    </r>
  </si>
  <si>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站點多為承租（房東資本支出）；財年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為模型路徑</t>
    </r>
  </si>
  <si>
    <r>
      <rPr>
        <sz val="11"/>
        <color theme="1"/>
        <rFont val="Noto Sans CJK SC"/>
        <family val="2"/>
      </rPr>
      <t xml:space="preserve">建物多為房東（</t>
    </r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Galaxy</t>
    </r>
    <r>
      <rPr>
        <sz val="11"/>
        <color theme="1"/>
        <rFont val="Noto Sans CJK SC"/>
        <family val="2"/>
      </rPr>
      <t xml:space="preserve">）承租；公司資本支出含預付</t>
    </r>
  </si>
  <si>
    <r>
      <rPr>
        <sz val="11"/>
        <color theme="1"/>
        <rFont val="Noto Sans CJK SC"/>
        <family val="2"/>
      </rPr>
      <t xml:space="preserve">自建＋承租混合；</t>
    </r>
    <r>
      <rPr>
        <sz val="11"/>
        <color theme="1"/>
        <rFont val="Calibri"/>
        <family val="2"/>
        <charset val="1"/>
      </rPr>
      <t xml:space="preserve">connected </t>
    </r>
    <r>
      <rPr>
        <sz val="11"/>
        <color theme="1"/>
        <rFont val="Noto Sans CJK SC"/>
        <family val="2"/>
      </rPr>
      <t xml:space="preserve">口徑未說明</t>
    </r>
  </si>
  <si>
    <t xml:space="preserve">共識資本支出未取得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</si>
  <si>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合併報表未取得；表後發電資本支出另計</t>
    </r>
  </si>
  <si>
    <t xml:space="preserve">個股模型待證據</t>
  </si>
  <si>
    <r>
      <rPr>
        <b val="true"/>
        <sz val="11"/>
        <rFont val="Cambria"/>
        <family val="0"/>
        <charset val="1"/>
      </rPr>
      <t xml:space="preserve">C1b. </t>
    </r>
    <r>
      <rPr>
        <b val="true"/>
        <sz val="11"/>
        <rFont val="Noto Sans CJK SC"/>
        <family val="2"/>
      </rPr>
      <t xml:space="preserve">廣義口徑對照：資本支出（含融資租賃）＋ 尚未起租租賃變化（期末 − 期初）；</t>
    </r>
    <r>
      <rPr>
        <b val="true"/>
        <sz val="11"/>
        <rFont val="Cambria"/>
        <family val="0"/>
        <charset val="1"/>
      </rPr>
      <t xml:space="preserve">Microsoft </t>
    </r>
    <r>
      <rPr>
        <b val="true"/>
        <sz val="11"/>
        <rFont val="Noto Sans CJK SC"/>
        <family val="2"/>
      </rPr>
      <t xml:space="preserve">曆年 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起把資料中心租約改列營業租賃，報告資本支出會低估實際投入（</t>
    </r>
    <r>
      <rPr>
        <b val="true"/>
        <sz val="11"/>
        <rFont val="Cambria"/>
        <family val="0"/>
        <charset val="1"/>
      </rPr>
      <t xml:space="preserve">F#29</t>
    </r>
    <r>
      <rPr>
        <b val="true"/>
        <sz val="11"/>
        <rFont val="Noto Sans CJK SC"/>
        <family val="2"/>
      </rPr>
      <t xml:space="preserve">）。原口徑（上方 </t>
    </r>
    <r>
      <rPr>
        <b val="true"/>
        <sz val="11"/>
        <rFont val="Cambria"/>
        <family val="0"/>
        <charset val="1"/>
      </rPr>
      <t xml:space="preserve">C1</t>
    </r>
    <r>
      <rPr>
        <b val="true"/>
        <sz val="11"/>
        <rFont val="Noto Sans CJK SC"/>
        <family val="2"/>
      </rPr>
      <t xml:space="preserve">）保留；本節只在期初、期末尚未起租都有證據時計算</t>
    </r>
  </si>
  <si>
    <t xml:space="preserve">期間</t>
  </si>
  <si>
    <t xml:space="preserve">期間標籤</t>
  </si>
  <si>
    <t xml:space="preserve">資本支出（含融資租賃）</t>
  </si>
  <si>
    <t xml:space="preserve">尚未起租 期初</t>
  </si>
  <si>
    <t xml:space="preserve">尚未起租 期末</t>
  </si>
  <si>
    <t xml:space="preserve">尚未起租變化</t>
  </si>
  <si>
    <t xml:space="preserve">廣義口徑</t>
  </si>
  <si>
    <t xml:space="preserve">個股模型（財年）</t>
  </si>
  <si>
    <r>
      <rPr>
        <b val="true"/>
        <sz val="11"/>
        <rFont val="Noto Sans CJK SC"/>
        <family val="2"/>
      </rPr>
      <t xml:space="preserve">廣義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個股</t>
    </r>
  </si>
  <si>
    <r>
      <rPr>
        <sz val="11"/>
        <color theme="1"/>
        <rFont val="Noto Sans CJK SC"/>
        <family val="2"/>
      </rPr>
      <t xml:space="preserve">期間非全年（</t>
    </r>
    <r>
      <rPr>
        <sz val="11"/>
        <color theme="1"/>
        <rFont val="Calibri"/>
        <family val="2"/>
        <charset val="1"/>
      </rPr>
      <t xml:space="preserve">H1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9M</t>
    </r>
    <r>
      <rPr>
        <sz val="11"/>
        <color theme="1"/>
        <rFont val="Noto Sans CJK SC"/>
        <family val="2"/>
      </rPr>
      <t xml:space="preserve">）時不算比值；尚未起租為承諾（未來 </t>
    </r>
    <r>
      <rPr>
        <sz val="11"/>
        <color theme="1"/>
        <rFont val="Calibri"/>
        <family val="2"/>
        <charset val="1"/>
      </rPr>
      <t xml:space="preserve">1–20 </t>
    </r>
    <r>
      <rPr>
        <sz val="11"/>
        <color theme="1"/>
        <rFont val="Noto Sans CJK SC"/>
        <family val="2"/>
      </rPr>
      <t xml:space="preserve">年起租），廣義口徑是上限讀法</t>
    </r>
  </si>
  <si>
    <r>
      <rPr>
        <sz val="11"/>
        <color theme="1"/>
        <rFont val="Calibri"/>
        <family val="2"/>
        <charset val="1"/>
      </rPr>
      <t xml:space="preserve">Compare — </t>
    </r>
    <r>
      <rPr>
        <sz val="11"/>
        <color theme="1"/>
        <rFont val="Noto Sans CJK SC"/>
        <family val="2"/>
      </rPr>
      <t xml:space="preserve">瓦帳年新增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（主路徑與 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Siliconomics SIF_DeployGW_A/B/C</t>
    </r>
    <r>
      <rPr>
        <sz val="11"/>
        <color theme="1"/>
        <rFont val="Noto Sans CJK SC"/>
        <family val="2"/>
      </rPr>
      <t xml:space="preserve">（成本等值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；出貨年）。兩者口徑不同，只並列、不校準。下半部為敏感度（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宣稱、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</si>
  <si>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（成本等值）</t>
    </r>
  </si>
  <si>
    <r>
      <rPr>
        <sz val="11"/>
        <color theme="1"/>
        <rFont val="Calibri"/>
        <family val="2"/>
        <charset val="1"/>
      </rPr>
      <t xml:space="preserve">SIL_In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電力；規劃書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</si>
  <si>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瓦帳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（淨；主路徑）</t>
    </r>
  </si>
  <si>
    <r>
      <rPr>
        <sz val="11"/>
        <color theme="1"/>
        <rFont val="Noto Sans CJK SC"/>
        <family val="2"/>
      </rPr>
      <t xml:space="preserve">比值（瓦帳 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主路徑 </t>
    </r>
    <r>
      <rPr>
        <sz val="11"/>
        <color theme="1"/>
        <rFont val="Calibri"/>
        <family val="2"/>
        <charset val="1"/>
      </rPr>
      <t xml:space="preserve">÷ Siliconomics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</si>
  <si>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瓦帳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（淨；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</si>
  <si>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比值（瓦帳 </t>
    </r>
    <r>
      <rPr>
        <sz val="11"/>
        <color theme="1"/>
        <rFont val="Calibri"/>
        <family val="2"/>
        <charset val="1"/>
      </rPr>
      <t xml:space="preserve">D0 SiteOnly ÷ Siliconomics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</si>
  <si>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敏感度（需求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；主路徑）</t>
    </r>
  </si>
  <si>
    <r>
      <rPr>
        <sz val="11"/>
        <color theme="1"/>
        <rFont val="Noto Sans CJK SC"/>
        <family val="2"/>
      </rPr>
      <t xml:space="preserve">主路徑 年底 </t>
    </r>
    <r>
      <rPr>
        <sz val="11"/>
        <color theme="1"/>
        <rFont val="Calibri"/>
        <family val="2"/>
        <charset val="1"/>
      </rPr>
      <t xml:space="preserve">IT GW</t>
    </r>
  </si>
  <si>
    <r>
      <rPr>
        <sz val="11"/>
        <color theme="1"/>
        <rFont val="Noto Sans CJK SC"/>
        <family val="2"/>
      </rPr>
      <t xml:space="preserve">主路徑 ＋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宣稱增量（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10 GW − </t>
    </r>
    <r>
      <rPr>
        <sz val="11"/>
        <color theme="1"/>
        <rFont val="Noto Sans CJK SC"/>
        <family val="2"/>
      </rPr>
      <t xml:space="preserve">主路徑 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起持平）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</si>
  <si>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59 </t>
    </r>
    <r>
      <rPr>
        <sz val="11"/>
        <color theme="1"/>
        <rFont val="Noto Sans CJK SC"/>
        <family val="2"/>
      </rPr>
      <t xml:space="preserve">列（</t>
    </r>
    <r>
      <rPr>
        <sz val="11"/>
        <color theme="1"/>
        <rFont val="Calibri"/>
        <family val="2"/>
        <charset val="1"/>
      </rPr>
      <t xml:space="preserve">B#46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單一說法，不入主路徑）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</si>
  <si>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低（</t>
    </r>
    <r>
      <rPr>
        <sz val="11"/>
        <color theme="1"/>
        <rFont val="Calibri"/>
        <family val="2"/>
        <charset val="1"/>
      </rPr>
      <t xml:space="preserve">ai_sh_lo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ai_amzn_lo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</si>
  <si>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年新增差額累加（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起不再傳遞到收斂規則，近似）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</si>
  <si>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高）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</si>
  <si>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</si>
  <si>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月））</t>
    </r>
  </si>
  <si>
    <r>
      <rPr>
        <sz val="11"/>
        <color theme="1"/>
        <rFont val="Noto Sans CJK SC"/>
        <family val="2"/>
      </rPr>
      <t xml:space="preserve">差額原因（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階段）：</t>
    </r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</si>
  <si>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出貨年 ≠ 上線年：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是出貨（資本支出）年的成本等值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；瓦帳是上線年，建物提前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入帳。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</si>
  <si>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覆蓋：</t>
    </r>
    <r>
      <rPr>
        <sz val="11"/>
        <color theme="1"/>
        <rFont val="Calibri"/>
        <family val="2"/>
        <charset val="1"/>
      </rPr>
      <t xml:space="preserve">SiteOnly </t>
    </r>
    <r>
      <rPr>
        <sz val="11"/>
        <color theme="1"/>
        <rFont val="Noto Sans CJK SC"/>
        <family val="2"/>
      </rPr>
      <t xml:space="preserve">只有站點證據（雲端大廠不公布遠期園區；『未找到』不等於『不存在』），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起主路徑七家改用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）。其餘玩家（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、新雲、主權、其他）仍只有 甲。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</si>
  <si>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CJK SC"/>
        <family val="2"/>
      </rPr>
      <t xml:space="preserve">成本等值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實體：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成本換算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支出，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實體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被低估約 </t>
    </r>
    <r>
      <rPr>
        <sz val="11"/>
        <color theme="1"/>
        <rFont val="Calibri"/>
        <family val="2"/>
        <charset val="1"/>
      </rPr>
      <t xml:space="preserve">0.3–4.3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；規劃書第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點）。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</si>
  <si>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CJK SC"/>
        <family val="2"/>
      </rPr>
      <t xml:space="preserve">中國：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顆數含中國出貨（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等），瓦帳中國為 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占比。</t>
    </r>
  </si>
  <si>
    <r>
      <rPr>
        <sz val="11"/>
        <color theme="1"/>
        <rFont val="Calibri"/>
        <family val="2"/>
        <charset val="1"/>
      </rPr>
      <t xml:space="preserve">Funding — </t>
    </r>
    <r>
      <rPr>
        <sz val="11"/>
        <color theme="1"/>
        <rFont val="Noto Sans CJK SC"/>
        <family val="2"/>
      </rPr>
      <t xml:space="preserve">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期間（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最新期；</t>
    </r>
    <r>
      <rPr>
        <sz val="11"/>
        <color theme="1"/>
        <rFont val="Calibri"/>
        <family val="2"/>
        <charset val="1"/>
      </rPr>
      <t xml:space="preserve">USD B</t>
    </r>
    <r>
      <rPr>
        <sz val="11"/>
        <color theme="1"/>
        <rFont val="Noto Sans CJK SC"/>
        <family val="2"/>
      </rPr>
      <t xml:space="preserve">）的資本支出與資金來源。數值以 </t>
    </r>
    <r>
      <rPr>
        <sz val="11"/>
        <color theme="1"/>
        <rFont val="Calibri"/>
        <family val="2"/>
        <charset val="1"/>
      </rPr>
      <t xml:space="preserve">SUMIFS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FundRaw</t>
    </r>
    <r>
      <rPr>
        <sz val="11"/>
        <color theme="1"/>
        <rFont val="Noto Sans CJK SC"/>
        <family val="2"/>
      </rPr>
      <t xml:space="preserve">（只取採用＝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）彙總；空白＝未揭露或未採用。資金來源比例＝支付順序（</t>
    </r>
    <r>
      <rPr>
        <sz val="11"/>
        <color theme="1"/>
        <rFont val="Calibri"/>
        <family val="2"/>
        <charset val="1"/>
      </rPr>
      <t xml:space="preserve">Decisions GL11-02</t>
    </r>
    <r>
      <rPr>
        <sz val="11"/>
        <color theme="1"/>
        <rFont val="Noto Sans CJK SC"/>
        <family val="2"/>
      </rPr>
      <t xml:space="preserve">）：內部現金 → 融資租賃 → 股權 → 債 → 其餘（現金水位／未揭露）；表外與尚未起租另列，不進分母</t>
    </r>
  </si>
  <si>
    <r>
      <rPr>
        <sz val="11"/>
        <color theme="1"/>
        <rFont val="Noto Sans CJK SC"/>
        <family val="2"/>
      </rPr>
      <t xml:space="preserve">期間標籤見 </t>
    </r>
    <r>
      <rPr>
        <sz val="11"/>
        <color theme="1"/>
        <rFont val="Calibri"/>
        <family val="2"/>
        <charset val="1"/>
      </rPr>
      <t xml:space="preserve">FundRaw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import_funding.py BUCKET</t>
    </r>
    <r>
      <rPr>
        <sz val="11"/>
        <color theme="1"/>
        <rFont val="Noto Sans CJK SC"/>
        <family val="2"/>
      </rPr>
      <t xml:space="preserve">（財年：</t>
    </r>
    <r>
      <rPr>
        <sz val="11"/>
        <color theme="1"/>
        <rFont val="Calibri"/>
        <family val="2"/>
        <charset val="1"/>
      </rPr>
      <t xml:space="preserve">Microsoft 7–6 </t>
    </r>
    <r>
      <rPr>
        <sz val="11"/>
        <color theme="1"/>
        <rFont val="Noto Sans CJK SC"/>
        <family val="2"/>
      </rPr>
      <t xml:space="preserve">月、</t>
    </r>
    <r>
      <rPr>
        <sz val="11"/>
        <color theme="1"/>
        <rFont val="Calibri"/>
        <family val="2"/>
        <charset val="1"/>
      </rPr>
      <t xml:space="preserve">Oracle 6–5 </t>
    </r>
    <r>
      <rPr>
        <sz val="11"/>
        <color theme="1"/>
        <rFont val="Noto Sans CJK SC"/>
        <family val="2"/>
      </rPr>
      <t xml:space="preserve">月）；期後事件與指引（</t>
    </r>
    <r>
      <rPr>
        <sz val="11"/>
        <color theme="1"/>
        <rFont val="Calibri"/>
        <family val="2"/>
        <charset val="1"/>
      </rPr>
      <t xml:space="preserve">post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guide</t>
    </r>
    <r>
      <rPr>
        <sz val="11"/>
        <color theme="1"/>
        <rFont val="Noto Sans CJK SC"/>
        <family val="2"/>
      </rPr>
      <t xml:space="preserve">）另列於下方</t>
    </r>
  </si>
  <si>
    <r>
      <rPr>
        <sz val="11"/>
        <color theme="1"/>
        <rFont val="Noto Sans CJK SC"/>
        <family val="2"/>
      </rPr>
      <t xml:space="preserve">兩種口徑：【支付順序】假設資本支出先由營業現金流支付、再依序租賃→股權→債，所以營業現金流足以支付時外部資金比例為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（外部資金被排在營業現金流之後，例如 </t>
    </r>
    <r>
      <rPr>
        <sz val="11"/>
        <color theme="1"/>
        <rFont val="Calibri"/>
        <family val="2"/>
        <charset val="1"/>
      </rPr>
      <t xml:space="preserve">GOOGL 2025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64.6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2025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Hyperion 27.3 </t>
    </r>
    <r>
      <rPr>
        <sz val="11"/>
        <color theme="1"/>
        <rFont val="Noto Sans CJK SC"/>
        <family val="2"/>
      </rPr>
      <t xml:space="preserve">都不出現）；【總額】＝期間外部資金全額（發債＋定期貸款＋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債＋私募信貸＋新增融資租賃＋表外合資＋股權）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資本支出，與營業現金流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資本支出並列，兩者合計可 </t>
    </r>
    <r>
      <rPr>
        <sz val="11"/>
        <color theme="1"/>
        <rFont val="Calibri"/>
        <family val="2"/>
        <charset val="1"/>
      </rPr>
      <t xml:space="preserve">&gt; 100%</t>
    </r>
    <r>
      <rPr>
        <sz val="11"/>
        <color theme="1"/>
        <rFont val="Noto Sans CJK SC"/>
        <family val="2"/>
      </rPr>
      <t xml:space="preserve">（多出的部分用於回饋、現金水位或期後）。互動頁預設顯示總額口徑</t>
    </r>
  </si>
  <si>
    <t xml:space="preserve">營業現金流</t>
  </si>
  <si>
    <t xml:space="preserve">現金資本支出</t>
  </si>
  <si>
    <t xml:space="preserve">新增融資租賃</t>
  </si>
  <si>
    <t xml:space="preserve">含融資租賃資本支出</t>
  </si>
  <si>
    <t xml:space="preserve">自由現金流</t>
  </si>
  <si>
    <t xml:space="preserve">公司債</t>
  </si>
  <si>
    <t xml:space="preserve">定期貸款</t>
  </si>
  <si>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擔保債</t>
    </r>
  </si>
  <si>
    <t xml:space="preserve">私募信貸</t>
  </si>
  <si>
    <t xml:space="preserve">淨負債變化</t>
  </si>
  <si>
    <t xml:space="preserve">尚未起租租賃承諾（期末存量）</t>
  </si>
  <si>
    <t xml:space="preserve">表外合資曝險（當期出資／債）</t>
  </si>
  <si>
    <t xml:space="preserve">合資最大損失曝險（存量）</t>
  </si>
  <si>
    <t xml:space="preserve">股權募資</t>
  </si>
  <si>
    <t xml:space="preserve">供應商融資／策略投資</t>
  </si>
  <si>
    <t xml:space="preserve">買回＋股利</t>
  </si>
  <si>
    <t xml:space="preserve">洽談中（不計入）</t>
  </si>
  <si>
    <t xml:space="preserve">再融資（不重複計入）</t>
  </si>
  <si>
    <t xml:space="preserve">資本支出（分母）</t>
  </si>
  <si>
    <t xml:space="preserve">內部現金</t>
  </si>
  <si>
    <t xml:space="preserve">融資租賃</t>
  </si>
  <si>
    <t xml:space="preserve">股權</t>
  </si>
  <si>
    <t xml:space="preserve">債</t>
  </si>
  <si>
    <t xml:space="preserve">其餘</t>
  </si>
  <si>
    <r>
      <rPr>
        <b val="true"/>
        <sz val="11"/>
        <rFont val="Noto Sans CJK SC"/>
        <family val="2"/>
      </rPr>
      <t xml:space="preserve">內部現金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</si>
  <si>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融資租賃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</si>
  <si>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股權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</si>
  <si>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債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</si>
  <si>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其餘 </t>
    </r>
    <r>
      <rPr>
        <b val="true"/>
        <sz val="11"/>
        <rFont val="Cambria"/>
        <family val="0"/>
        <charset val="1"/>
      </rPr>
      <t xml:space="preserve">%</t>
    </r>
  </si>
  <si>
    <t xml:space="preserve">外部募資合計</t>
  </si>
  <si>
    <r>
      <rPr>
        <b val="true"/>
        <sz val="11"/>
        <rFont val="Noto Sans CJK SC"/>
        <family val="2"/>
      </rPr>
      <t xml:space="preserve">債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外部</t>
    </r>
  </si>
  <si>
    <r>
      <rPr>
        <b val="true"/>
        <sz val="11"/>
        <rFont val="Noto Sans CJK SC"/>
        <family val="2"/>
      </rPr>
      <t xml:space="preserve">股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外部</t>
    </r>
  </si>
  <si>
    <r>
      <rPr>
        <b val="true"/>
        <sz val="11"/>
        <rFont val="Noto Sans CJK SC"/>
        <family val="2"/>
      </rPr>
      <t xml:space="preserve">租賃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外部</t>
    </r>
  </si>
  <si>
    <t xml:space="preserve">【總額】外部資金</t>
  </si>
  <si>
    <r>
      <rPr>
        <b val="true"/>
        <sz val="11"/>
        <rFont val="Noto Sans CJK SC"/>
        <family val="2"/>
      </rPr>
      <t xml:space="preserve">【總額】外部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</si>
  <si>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【總額】營業現金流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</si>
  <si>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【總額】債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</si>
  <si>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【總額】股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</si>
  <si>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【總額】租賃＋表外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</si>
  <si>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t xml:space="preserve">Microsoft</t>
  </si>
  <si>
    <t xml:space="preserve">FY2024</t>
  </si>
  <si>
    <t xml:space="preserve">FY2025</t>
  </si>
  <si>
    <t xml:space="preserve">FY2026</t>
  </si>
  <si>
    <t xml:space="preserve">Alphabet</t>
  </si>
  <si>
    <t xml:space="preserve">CY2024</t>
  </si>
  <si>
    <t xml:space="preserve">CY2025</t>
  </si>
  <si>
    <t xml:space="preserve">2026H1</t>
  </si>
  <si>
    <t xml:space="preserve">Amazon</t>
  </si>
  <si>
    <t xml:space="preserve">9M2026</t>
  </si>
  <si>
    <t xml:space="preserve">Oracle</t>
  </si>
  <si>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</si>
  <si>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迄今</t>
    </r>
  </si>
  <si>
    <r>
      <rPr>
        <b val="true"/>
        <sz val="11"/>
        <rFont val="Noto Sans CJK SC"/>
        <family val="2"/>
      </rPr>
      <t xml:space="preserve">期後事件與指引（不進比例；</t>
    </r>
    <r>
      <rPr>
        <b val="true"/>
        <sz val="11"/>
        <rFont val="Cambria"/>
        <family val="0"/>
        <charset val="1"/>
      </rPr>
      <t xml:space="preserve">FundRaw </t>
    </r>
    <r>
      <rPr>
        <b val="true"/>
        <sz val="11"/>
        <rFont val="Noto Sans CJK SC"/>
        <family val="2"/>
      </rPr>
      <t xml:space="preserve">桶 </t>
    </r>
    <r>
      <rPr>
        <b val="true"/>
        <sz val="11"/>
        <rFont val="Cambria"/>
        <family val="0"/>
        <charset val="1"/>
      </rPr>
      <t xml:space="preserve">post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guide</t>
    </r>
    <r>
      <rPr>
        <b val="true"/>
        <sz val="11"/>
        <rFont val="Noto Sans CJK SC"/>
        <family val="2"/>
      </rPr>
      <t xml:space="preserve">，採用＝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</si>
  <si>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t xml:space="preserve">值</t>
  </si>
  <si>
    <t xml:space="preserve">ID</t>
  </si>
  <si>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段判定</t>
    </r>
  </si>
  <si>
    <t xml:space="preserve">CY2026</t>
  </si>
  <si>
    <t xml:space="preserve">capex_incl_fl</t>
  </si>
  <si>
    <r>
      <rPr>
        <sz val="11"/>
        <color theme="1"/>
        <rFont val="Noto Sans CJK SC"/>
        <family val="2"/>
      </rPr>
      <t xml:space="preserve">報告口徑曆年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175</t>
    </r>
    <r>
      <rPr>
        <sz val="11"/>
        <color theme="1"/>
        <rFont val="Noto Sans CJK SC"/>
        <family val="2"/>
      </rPr>
      <t xml:space="preserve">（原約 </t>
    </r>
    <r>
      <rPr>
        <sz val="11"/>
        <color theme="1"/>
        <rFont val="Calibri"/>
        <family val="2"/>
        <charset val="1"/>
      </rPr>
      <t xml:space="preserve">190</t>
    </r>
    <r>
      <rPr>
        <sz val="11"/>
        <color theme="1"/>
        <rFont val="Noto Sans CJK SC"/>
        <family val="2"/>
      </rPr>
      <t xml:space="preserve">）；差額為未來資料中心租約由融資改營業租賃（耐用年限延長），公司稱計畫不變</t>
    </r>
  </si>
  <si>
    <t xml:space="preserve">F#29</t>
  </si>
  <si>
    <t xml:space="preserve">屬實</t>
  </si>
  <si>
    <t xml:space="preserve">FY27Q1</t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</si>
  <si>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&gt;50</t>
    </r>
    <r>
      <rPr>
        <sz val="11"/>
        <color theme="1"/>
        <rFont val="Noto Sans CJK SC"/>
        <family val="2"/>
      </rPr>
      <t xml:space="preserve">（含租賃改列效果）；</t>
    </r>
    <r>
      <rPr>
        <sz val="11"/>
        <color theme="1"/>
        <rFont val="Calibri"/>
        <family val="2"/>
        <charset val="1"/>
      </rPr>
      <t xml:space="preserve">10-28 </t>
    </r>
    <r>
      <rPr>
        <sz val="11"/>
        <color theme="1"/>
        <rFont val="Noto Sans CJK SC"/>
        <family val="2"/>
      </rPr>
      <t xml:space="preserve">盤後財報未收錄</t>
    </r>
  </si>
  <si>
    <t xml:space="preserve">F#30</t>
  </si>
  <si>
    <t xml:space="preserve">2026-08-10</t>
  </si>
  <si>
    <t xml:space="preserve">bond_issue</t>
  </si>
  <si>
    <r>
      <rPr>
        <sz val="11"/>
        <color theme="1"/>
        <rFont val="Calibri"/>
        <family val="2"/>
        <charset val="1"/>
      </rPr>
      <t xml:space="preserve">USD 25B </t>
    </r>
    <r>
      <rPr>
        <sz val="11"/>
        <color theme="1"/>
        <rFont val="Noto Sans CJK SC"/>
        <family val="2"/>
      </rPr>
      <t xml:space="preserve">優先無擔保；</t>
    </r>
    <r>
      <rPr>
        <sz val="11"/>
        <color theme="1"/>
        <rFont val="Calibri"/>
        <family val="2"/>
        <charset val="1"/>
      </rPr>
      <t xml:space="preserve">2066 6.500%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2046 6.250%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2036 5.450%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票面利率）</t>
    </r>
  </si>
  <si>
    <t xml:space="preserve">F#49</t>
  </si>
  <si>
    <t xml:space="preserve">小誤（已更正）</t>
  </si>
  <si>
    <t xml:space="preserve">capex_cash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</si>
  <si>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195–205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10-28 </t>
    </r>
    <r>
      <rPr>
        <sz val="11"/>
        <color theme="1"/>
        <rFont val="Noto Sans CJK SC"/>
        <family val="2"/>
      </rPr>
      <t xml:space="preserve">盤後未收錄</t>
    </r>
  </si>
  <si>
    <t xml:space="preserve">F#55</t>
  </si>
  <si>
    <t xml:space="preserve">2026-08</t>
  </si>
  <si>
    <t xml:space="preserve">jv_offbalance</t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</si>
  <si>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個資料中心專案（</t>
    </r>
    <r>
      <rPr>
        <sz val="11"/>
        <color theme="1"/>
        <rFont val="Calibri"/>
        <family val="2"/>
        <charset val="1"/>
      </rPr>
      <t xml:space="preserve">2.4 GW</t>
    </r>
    <r>
      <rPr>
        <sz val="11"/>
        <color theme="1"/>
        <rFont val="Noto Sans CJK SC"/>
        <family val="2"/>
      </rPr>
      <t xml:space="preserve">）提供租約擔保，最大曝險約 </t>
    </r>
    <r>
      <rPr>
        <sz val="11"/>
        <color theme="1"/>
        <rFont val="Calibri"/>
        <family val="2"/>
        <charset val="1"/>
      </rPr>
      <t xml:space="preserve">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／礦商站點，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使用）</t>
    </r>
  </si>
  <si>
    <t xml:space="preserve">F#58</t>
  </si>
  <si>
    <t xml:space="preserve">2026-07-08</t>
  </si>
  <si>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檔、</t>
    </r>
    <r>
      <rPr>
        <sz val="11"/>
        <color theme="1"/>
        <rFont val="Calibri"/>
        <family val="2"/>
        <charset val="1"/>
      </rPr>
      <t xml:space="preserve">2029–2066</t>
    </r>
    <r>
      <rPr>
        <sz val="11"/>
        <color theme="1"/>
        <rFont val="Noto Sans CJK SC"/>
        <family val="2"/>
      </rPr>
      <t xml:space="preserve">；公司稱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不再發債</t>
    </r>
  </si>
  <si>
    <t xml:space="preserve">F#75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</si>
  <si>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Noto Sans CJK SC"/>
        <family val="2"/>
      </rPr>
      <t xml:space="preserve">（原約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，主因記憶體漲價）；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發布</t>
    </r>
  </si>
  <si>
    <t xml:space="preserve">F#79</t>
  </si>
  <si>
    <t xml:space="preserve">2026-07</t>
  </si>
  <si>
    <t xml:space="preserve">vendor_financing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</si>
  <si>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15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13.7</t>
    </r>
    <r>
      <rPr>
        <sz val="11"/>
        <color theme="1"/>
        <rFont val="Noto Sans CJK SC"/>
        <family val="2"/>
      </rPr>
      <t xml:space="preserve">＋期後 </t>
    </r>
    <r>
      <rPr>
        <sz val="11"/>
        <color theme="1"/>
        <rFont val="Calibri"/>
        <family val="2"/>
        <charset val="1"/>
      </rPr>
      <t xml:space="preserve">21.3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AWS 38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100</t>
    </r>
  </si>
  <si>
    <t xml:space="preserve">F#80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</si>
  <si>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135–145</t>
    </r>
    <r>
      <rPr>
        <sz val="11"/>
        <color theme="1"/>
        <rFont val="Noto Sans CJK SC"/>
        <family val="2"/>
      </rPr>
      <t xml:space="preserve">（含融資租賃本金；原 </t>
    </r>
    <r>
      <rPr>
        <sz val="11"/>
        <color theme="1"/>
        <rFont val="Calibri"/>
        <family val="2"/>
        <charset val="1"/>
      </rPr>
      <t xml:space="preserve">115–135 → 130–145 → 135–145</t>
    </r>
    <r>
      <rPr>
        <sz val="11"/>
        <color theme="1"/>
        <rFont val="Noto Sans CJK SC"/>
        <family val="2"/>
      </rPr>
      <t xml:space="preserve">）</t>
    </r>
  </si>
  <si>
    <t xml:space="preserve">F#97</t>
  </si>
  <si>
    <t xml:space="preserve">2026-10-26</t>
  </si>
  <si>
    <t xml:space="preserve">equity_round</t>
  </si>
  <si>
    <r>
      <rPr>
        <sz val="11"/>
        <color theme="1"/>
        <rFont val="Calibri"/>
        <family val="2"/>
        <charset val="1"/>
      </rPr>
      <t xml:space="preserve">Class A </t>
    </r>
    <r>
      <rPr>
        <sz val="11"/>
        <color theme="1"/>
        <rFont val="Noto Sans CJK SC"/>
        <family val="2"/>
      </rPr>
      <t xml:space="preserve">普通股遠期出售 </t>
    </r>
    <r>
      <rPr>
        <sz val="11"/>
        <color theme="1"/>
        <rFont val="Calibri"/>
        <family val="2"/>
        <charset val="1"/>
      </rPr>
      <t xml:space="preserve">40M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@625</t>
    </r>
    <r>
      <rPr>
        <sz val="11"/>
        <color theme="1"/>
        <rFont val="Noto Sans CJK SC"/>
        <family val="2"/>
      </rPr>
      <t xml:space="preserve">（上調；全額 </t>
    </r>
    <r>
      <rPr>
        <sz val="11"/>
        <color theme="1"/>
        <rFont val="Calibri"/>
        <family val="2"/>
        <charset val="1"/>
      </rPr>
      <t xml:space="preserve">28.7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2027-11-19 </t>
    </r>
    <r>
      <rPr>
        <sz val="11"/>
        <color theme="1"/>
        <rFont val="Noto Sans CJK SC"/>
        <family val="2"/>
      </rPr>
      <t xml:space="preserve">前交割</t>
    </r>
  </si>
  <si>
    <t xml:space="preserve">F#106</t>
  </si>
  <si>
    <r>
      <rPr>
        <sz val="11"/>
        <color theme="1"/>
        <rFont val="Calibri"/>
        <family val="2"/>
        <charset val="1"/>
      </rPr>
      <t xml:space="preserve">6.50% </t>
    </r>
    <r>
      <rPr>
        <sz val="11"/>
        <color theme="1"/>
        <rFont val="Noto Sans CJK SC"/>
        <family val="2"/>
      </rPr>
      <t xml:space="preserve">強制轉換特別股（</t>
    </r>
    <r>
      <rPr>
        <sz val="11"/>
        <color theme="1"/>
        <rFont val="Calibri"/>
        <family val="2"/>
        <charset val="1"/>
      </rPr>
      <t xml:space="preserve">2029-08 </t>
    </r>
    <r>
      <rPr>
        <sz val="11"/>
        <color theme="1"/>
        <rFont val="Noto Sans CJK SC"/>
        <family val="2"/>
      </rPr>
      <t xml:space="preserve">轉換；全額 </t>
    </r>
    <r>
      <rPr>
        <sz val="11"/>
        <color theme="1"/>
        <rFont val="Calibri"/>
        <family val="2"/>
        <charset val="1"/>
      </rPr>
      <t xml:space="preserve">14.3</t>
    </r>
    <r>
      <rPr>
        <sz val="11"/>
        <color theme="1"/>
        <rFont val="Noto Sans CJK SC"/>
        <family val="2"/>
      </rPr>
      <t xml:space="preserve">）；另規劃 </t>
    </r>
    <r>
      <rPr>
        <sz val="11"/>
        <color theme="1"/>
        <rFont val="Calibri"/>
        <family val="2"/>
        <charset val="1"/>
      </rPr>
      <t xml:space="preserve">2027Q1 </t>
    </r>
    <r>
      <rPr>
        <sz val="11"/>
        <color theme="1"/>
        <rFont val="Noto Sans CJK SC"/>
        <family val="2"/>
      </rPr>
      <t xml:space="preserve">起最多 </t>
    </r>
    <r>
      <rPr>
        <sz val="11"/>
        <color theme="1"/>
        <rFont val="Calibri"/>
        <family val="2"/>
        <charset val="1"/>
      </rPr>
      <t xml:space="preserve">60 Class C ATM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表達認購最多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（非約束）</t>
    </r>
  </si>
  <si>
    <t xml:space="preserve">F#107</t>
  </si>
  <si>
    <t xml:space="preserve">ocf</t>
  </si>
  <si>
    <r>
      <rPr>
        <sz val="11"/>
        <color theme="1"/>
        <rFont val="Noto Sans CJK SC"/>
        <family val="2"/>
      </rPr>
      <t xml:space="preserve">含客戶預付（重大財務組成）</t>
    </r>
    <r>
      <rPr>
        <sz val="11"/>
        <color theme="1"/>
        <rFont val="Calibri"/>
        <family val="2"/>
        <charset val="1"/>
      </rPr>
      <t xml:space="preserve">11.363</t>
    </r>
  </si>
  <si>
    <t xml:space="preserve">F#120</t>
  </si>
  <si>
    <r>
      <rPr>
        <sz val="11"/>
        <color theme="1"/>
        <rFont val="Noto Sans CJK SC"/>
        <family val="2"/>
      </rPr>
      <t xml:space="preserve">淨現金資本支出 </t>
    </r>
    <r>
      <rPr>
        <sz val="11"/>
        <color theme="1"/>
        <rFont val="Calibri"/>
        <family val="2"/>
        <charset val="1"/>
      </rPr>
      <t xml:space="preserve">17.966</t>
    </r>
    <r>
      <rPr>
        <sz val="11"/>
        <color theme="1"/>
        <rFont val="Noto Sans CJK SC"/>
        <family val="2"/>
      </rPr>
      <t xml:space="preserve">（公司定義，扣預付與短期融資）</t>
    </r>
  </si>
  <si>
    <t xml:space="preserve">F#121</t>
  </si>
  <si>
    <t xml:space="preserve">fcf</t>
  </si>
  <si>
    <r>
      <rPr>
        <sz val="11"/>
        <color theme="1"/>
        <rFont val="Noto Sans CJK SC"/>
        <family val="2"/>
      </rPr>
      <t xml:space="preserve">新聞稿列 −</t>
    </r>
    <r>
      <rPr>
        <sz val="11"/>
        <color theme="1"/>
        <rFont val="Calibri"/>
        <family val="2"/>
        <charset val="1"/>
      </rPr>
      <t xml:space="preserve">5.396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LTM −28.7</t>
    </r>
  </si>
  <si>
    <t xml:space="preserve">F#122</t>
  </si>
  <si>
    <t xml:space="preserve">FY2027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</si>
  <si>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90–95</t>
    </r>
    <r>
      <rPr>
        <sz val="11"/>
        <color theme="1"/>
        <rFont val="Noto Sans CJK SC"/>
        <family val="2"/>
      </rPr>
      <t xml:space="preserve">；淨現金資本支出 ≤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；曆年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指引不存在</t>
    </r>
  </si>
  <si>
    <t xml:space="preserve">F#123</t>
  </si>
  <si>
    <r>
      <rPr>
        <sz val="11"/>
        <color theme="1"/>
        <rFont val="Calibri"/>
        <family val="2"/>
        <charset val="1"/>
      </rPr>
      <t xml:space="preserve">ATM 20 </t>
    </r>
    <r>
      <rPr>
        <sz val="11"/>
        <color theme="1"/>
        <rFont val="Noto Sans CJK SC"/>
        <family val="2"/>
      </rPr>
      <t xml:space="preserve">已完成；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外部融資計畫約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（債＋股），稱曆年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不再發新債</t>
    </r>
  </si>
  <si>
    <t xml:space="preserve">F#127</t>
  </si>
  <si>
    <t xml:space="preserve">net_debt_level</t>
  </si>
  <si>
    <r>
      <rPr>
        <sz val="11"/>
        <color theme="1"/>
        <rFont val="Noto Sans CJK SC"/>
        <family val="2"/>
      </rPr>
      <t xml:space="preserve">淨負債水位（總借款 </t>
    </r>
    <r>
      <rPr>
        <sz val="11"/>
        <color theme="1"/>
        <rFont val="Calibri"/>
        <family val="2"/>
        <charset val="1"/>
      </rPr>
      <t xml:space="preserve">125.3 − </t>
    </r>
    <r>
      <rPr>
        <sz val="11"/>
        <color theme="1"/>
        <rFont val="Noto Sans CJK SC"/>
        <family val="2"/>
      </rPr>
      <t xml:space="preserve">現金與有價證券）；借款公允價值 </t>
    </r>
    <r>
      <rPr>
        <sz val="11"/>
        <color theme="1"/>
        <rFont val="Calibri"/>
        <family val="2"/>
        <charset val="1"/>
      </rPr>
      <t xml:space="preserve">105.7</t>
    </r>
    <r>
      <rPr>
        <sz val="11"/>
        <color theme="1"/>
        <rFont val="Noto Sans CJK SC"/>
        <family val="2"/>
      </rPr>
      <t xml:space="preserve">（平均價約 </t>
    </r>
    <r>
      <rPr>
        <sz val="11"/>
        <color theme="1"/>
        <rFont val="Calibri"/>
        <family val="2"/>
        <charset val="1"/>
      </rPr>
      <t xml:space="preserve">84.6</t>
    </r>
    <r>
      <rPr>
        <sz val="11"/>
        <color theme="1"/>
        <rFont val="Noto Sans CJK SC"/>
        <family val="2"/>
      </rPr>
      <t xml:space="preserve">）</t>
    </r>
  </si>
  <si>
    <t xml:space="preserve">F#128</t>
  </si>
  <si>
    <t xml:space="preserve">lease_not_commenced</t>
  </si>
  <si>
    <r>
      <rPr>
        <sz val="11"/>
        <color theme="1"/>
        <rFont val="Noto Sans CJK SC"/>
        <family val="2"/>
      </rPr>
      <t xml:space="preserve">幾乎全為資料中心；</t>
    </r>
    <r>
      <rPr>
        <sz val="11"/>
        <color theme="1"/>
        <rFont val="Calibri"/>
        <family val="2"/>
        <charset val="1"/>
      </rPr>
      <t xml:space="preserve">FY27Q2–FY2029 </t>
    </r>
    <r>
      <rPr>
        <sz val="11"/>
        <color theme="1"/>
        <rFont val="Noto Sans CJK SC"/>
        <family val="2"/>
      </rPr>
      <t xml:space="preserve">起租、</t>
    </r>
    <r>
      <rPr>
        <sz val="11"/>
        <color theme="1"/>
        <rFont val="Calibri"/>
        <family val="2"/>
        <charset val="1"/>
      </rPr>
      <t xml:space="preserve">15–19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260</t>
    </r>
  </si>
  <si>
    <t xml:space="preserve">F#129</t>
  </si>
  <si>
    <t xml:space="preserve">op_lease</t>
  </si>
  <si>
    <r>
      <rPr>
        <sz val="11"/>
        <color theme="1"/>
        <rFont val="Noto Sans CJK SC"/>
        <family val="2"/>
      </rPr>
      <t xml:space="preserve">營業租賃負債（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30.19</t>
    </r>
    <r>
      <rPr>
        <sz val="11"/>
        <color theme="1"/>
        <rFont val="Noto Sans CJK SC"/>
        <family val="2"/>
      </rPr>
      <t xml:space="preserve">）；融資租賃負債 </t>
    </r>
    <r>
      <rPr>
        <sz val="11"/>
        <color theme="1"/>
        <rFont val="Calibri"/>
        <family val="2"/>
        <charset val="1"/>
      </rPr>
      <t xml:space="preserve">9.185</t>
    </r>
  </si>
  <si>
    <t xml:space="preserve">F#130</t>
  </si>
  <si>
    <r>
      <rPr>
        <sz val="11"/>
        <color theme="1"/>
        <rFont val="Noto Sans CJK SC"/>
        <family val="2"/>
      </rPr>
      <t xml:space="preserve">客戶預付（重大財務組成）覆蓋資本支出 </t>
    </r>
    <r>
      <rPr>
        <sz val="11"/>
        <color theme="1"/>
        <rFont val="Calibri"/>
        <family val="2"/>
        <charset val="1"/>
      </rPr>
      <t xml:space="preserve">39.9%</t>
    </r>
    <r>
      <rPr>
        <sz val="11"/>
        <color theme="1"/>
        <rFont val="Noto Sans CJK SC"/>
        <family val="2"/>
      </rPr>
      <t xml:space="preserve">；累計 </t>
    </r>
    <r>
      <rPr>
        <sz val="11"/>
        <color theme="1"/>
        <rFont val="Calibri"/>
        <family val="2"/>
        <charset val="1"/>
      </rPr>
      <t xml:space="preserve">15.955</t>
    </r>
  </si>
  <si>
    <t xml:space="preserve">F#131</t>
  </si>
  <si>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自由營運現金流 −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（原 −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2026-07-09 </t>
    </r>
    <r>
      <rPr>
        <sz val="11"/>
        <color theme="1"/>
        <rFont val="Noto Sans CJK SC"/>
        <family val="2"/>
      </rPr>
      <t xml:space="preserve">降評至 </t>
    </r>
    <r>
      <rPr>
        <sz val="11"/>
        <color theme="1"/>
        <rFont val="Calibri"/>
        <family val="2"/>
        <charset val="1"/>
      </rPr>
      <t xml:space="preserve">BBB-</t>
    </r>
    <r>
      <rPr>
        <sz val="11"/>
        <color theme="1"/>
        <rFont val="Noto Sans CJK SC"/>
        <family val="2"/>
      </rPr>
      <t xml:space="preserve">；槓桿約 </t>
    </r>
    <r>
      <rPr>
        <sz val="11"/>
        <color theme="1"/>
        <rFont val="Calibri"/>
        <family val="2"/>
        <charset val="1"/>
      </rPr>
      <t xml:space="preserve">4.5x</t>
    </r>
  </si>
  <si>
    <t xml:space="preserve">F#136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</si>
  <si>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35–39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11.5–13.5</t>
    </r>
    <r>
      <rPr>
        <sz val="11"/>
        <color theme="1"/>
        <rFont val="Noto Sans CJK SC"/>
        <family val="2"/>
      </rPr>
      <t xml:space="preserve">）</t>
    </r>
  </si>
  <si>
    <t xml:space="preserve">F#155</t>
  </si>
  <si>
    <t xml:space="preserve">2023–2032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</si>
  <si>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對未售出容量的買回保證最多 </t>
    </r>
    <r>
      <rPr>
        <sz val="11"/>
        <color theme="1"/>
        <rFont val="Calibri"/>
        <family val="2"/>
        <charset val="1"/>
      </rPr>
      <t xml:space="preserve">6.3</t>
    </r>
    <r>
      <rPr>
        <sz val="11"/>
        <color theme="1"/>
        <rFont val="Noto Sans CJK SC"/>
        <family val="2"/>
      </rPr>
      <t xml:space="preserve">，至 </t>
    </r>
    <r>
      <rPr>
        <sz val="11"/>
        <color theme="1"/>
        <rFont val="Calibri"/>
        <family val="2"/>
        <charset val="1"/>
      </rPr>
      <t xml:space="preserve">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簽、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揭露）</t>
    </r>
  </si>
  <si>
    <t xml:space="preserve">F#158</t>
  </si>
  <si>
    <r>
      <rPr>
        <sz val="11"/>
        <color theme="1"/>
        <rFont val="Noto Sans CJK SC"/>
        <family val="2"/>
      </rPr>
      <t xml:space="preserve">可轉債 </t>
    </r>
    <r>
      <rPr>
        <sz val="11"/>
        <color theme="1"/>
        <rFont val="Calibri"/>
        <family val="2"/>
        <charset val="1"/>
      </rPr>
      <t xml:space="preserve">0.50% 2030 3.45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4.50% 2034 2.30</t>
    </r>
    <r>
      <rPr>
        <sz val="11"/>
        <color theme="1"/>
        <rFont val="Noto Sans CJK SC"/>
        <family val="2"/>
      </rPr>
      <t xml:space="preserve">；另以股換舊債 </t>
    </r>
    <r>
      <rPr>
        <sz val="11"/>
        <color theme="1"/>
        <rFont val="Calibri"/>
        <family val="2"/>
        <charset val="1"/>
      </rPr>
      <t xml:space="preserve">0.8</t>
    </r>
  </si>
  <si>
    <t xml:space="preserve">F#165</t>
  </si>
  <si>
    <r>
      <rPr>
        <sz val="11"/>
        <color theme="1"/>
        <rFont val="Calibri"/>
        <family val="2"/>
        <charset val="1"/>
      </rPr>
      <t xml:space="preserve">G§4 </t>
    </r>
    <r>
      <rPr>
        <sz val="11"/>
        <color theme="1"/>
        <rFont val="Noto Sans CJK SC"/>
        <family val="2"/>
      </rPr>
      <t xml:space="preserve">重算確認</t>
    </r>
  </si>
  <si>
    <t xml:space="preserve">2026-07-10</t>
  </si>
  <si>
    <t xml:space="preserve">gpu_debt</t>
  </si>
  <si>
    <r>
      <rPr>
        <sz val="11"/>
        <color theme="1"/>
        <rFont val="Noto Sans CJK SC"/>
        <family val="2"/>
      </rPr>
      <t xml:space="preserve">資產擔保定期貸款 </t>
    </r>
    <r>
      <rPr>
        <sz val="11"/>
        <color theme="1"/>
        <rFont val="Calibri"/>
        <family val="2"/>
        <charset val="1"/>
      </rPr>
      <t xml:space="preserve">SOFR+2.50%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2030-10</t>
    </r>
  </si>
  <si>
    <t xml:space="preserve">F#166</t>
  </si>
  <si>
    <r>
      <rPr>
        <sz val="11"/>
        <color theme="1"/>
        <rFont val="Noto Sans CJK SC"/>
        <family val="2"/>
      </rPr>
      <t xml:space="preserve">已更正（改引 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</si>
  <si>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20–25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16–20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稱約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內部來源：現金、</t>
    </r>
    <r>
      <rPr>
        <sz val="11"/>
        <color theme="1"/>
        <rFont val="Calibri"/>
        <family val="2"/>
        <charset val="1"/>
      </rPr>
      <t xml:space="preserve">OCF</t>
    </r>
    <r>
      <rPr>
        <sz val="11"/>
        <color theme="1"/>
        <rFont val="Noto Sans CJK SC"/>
        <family val="2"/>
      </rPr>
      <t xml:space="preserve">、預付）</t>
    </r>
  </si>
  <si>
    <t xml:space="preserve">F#170</t>
  </si>
  <si>
    <r>
      <rPr>
        <sz val="11"/>
        <color theme="1"/>
        <rFont val="Noto Sans CJK SC"/>
        <family val="2"/>
      </rPr>
      <t xml:space="preserve">同上預測；</t>
    </r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實際燒錢約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5.7</t>
    </r>
    <r>
      <rPr>
        <sz val="11"/>
        <color theme="1"/>
        <rFont val="Noto Sans CJK SC"/>
        <family val="2"/>
      </rPr>
      <t xml:space="preserve">）</t>
    </r>
  </si>
  <si>
    <t xml:space="preserve">F#178</t>
  </si>
  <si>
    <r>
      <rPr>
        <b val="true"/>
        <sz val="11"/>
        <rFont val="Noto Sans CJK SC"/>
        <family val="2"/>
      </rPr>
      <t xml:space="preserve">注意：</t>
    </r>
    <r>
      <rPr>
        <b val="true"/>
        <sz val="11"/>
        <rFont val="Cambria"/>
        <family val="0"/>
        <charset val="1"/>
      </rPr>
      <t xml:space="preserve">Anthropic 2026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SPV 35 </t>
    </r>
    <r>
      <rPr>
        <b val="true"/>
        <sz val="11"/>
        <rFont val="Noto Sans CJK SC"/>
        <family val="2"/>
      </rPr>
      <t xml:space="preserve">已完成（</t>
    </r>
    <r>
      <rPr>
        <b val="true"/>
        <sz val="11"/>
        <rFont val="Cambria"/>
        <family val="0"/>
        <charset val="1"/>
      </rPr>
      <t xml:space="preserve">F#190</t>
    </r>
    <r>
      <rPr>
        <b val="true"/>
        <sz val="11"/>
        <rFont val="Noto Sans CJK SC"/>
        <family val="2"/>
      </rPr>
      <t xml:space="preserve">），另 </t>
    </r>
    <r>
      <rPr>
        <b val="true"/>
        <sz val="11"/>
        <rFont val="Cambria"/>
        <family val="0"/>
        <charset val="1"/>
      </rPr>
      <t xml:space="preserve">36 </t>
    </r>
    <r>
      <rPr>
        <b val="true"/>
        <sz val="11"/>
        <rFont val="Noto Sans CJK SC"/>
        <family val="2"/>
      </rPr>
      <t xml:space="preserve">為洽談中（</t>
    </r>
    <r>
      <rPr>
        <b val="true"/>
        <sz val="11"/>
        <rFont val="Cambria"/>
        <family val="0"/>
        <charset val="1"/>
      </rPr>
      <t xml:space="preserve">F#191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段更正）；</t>
    </r>
    <r>
      <rPr>
        <b val="true"/>
        <sz val="11"/>
        <rFont val="Cambria"/>
        <family val="0"/>
        <charset val="1"/>
      </rPr>
      <t xml:space="preserve">&gt;71 </t>
    </r>
    <r>
      <rPr>
        <b val="true"/>
        <sz val="11"/>
        <rFont val="Noto Sans CJK SC"/>
        <family val="2"/>
      </rPr>
      <t xml:space="preserve">屬二手轉述、未證實。</t>
    </r>
    <r>
      <rPr>
        <b val="true"/>
        <sz val="11"/>
        <rFont val="Cambria"/>
        <family val="0"/>
        <charset val="1"/>
      </rPr>
      <t xml:space="preserve">xAI 2026 </t>
    </r>
    <r>
      <rPr>
        <b val="true"/>
        <sz val="11"/>
        <rFont val="Noto Sans CJK SC"/>
        <family val="2"/>
      </rPr>
      <t xml:space="preserve">過橋 </t>
    </r>
    <r>
      <rPr>
        <b val="true"/>
        <sz val="11"/>
        <rFont val="Cambria"/>
        <family val="0"/>
        <charset val="1"/>
      </rPr>
      <t xml:space="preserve">20 </t>
    </r>
    <r>
      <rPr>
        <b val="true"/>
        <sz val="11"/>
        <rFont val="Noto Sans CJK SC"/>
        <family val="2"/>
      </rPr>
      <t xml:space="preserve">為再融資，不與債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重複（</t>
    </r>
    <r>
      <rPr>
        <b val="true"/>
        <sz val="11"/>
        <rFont val="Cambria"/>
        <family val="0"/>
        <charset val="1"/>
      </rPr>
      <t xml:space="preserve">F#209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F#214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</si>
  <si>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循環融資（誰投資誰 → 誰向誰買算力；</t>
    </r>
    <r>
      <rPr>
        <b val="true"/>
        <sz val="11"/>
        <rFont val="Cambria"/>
        <family val="0"/>
        <charset val="1"/>
      </rPr>
      <t xml:space="preserve">F.md </t>
    </r>
    <r>
      <rPr>
        <b val="true"/>
        <sz val="11"/>
        <rFont val="Noto Sans CJK SC"/>
        <family val="2"/>
      </rPr>
      <t xml:space="preserve">第三節 </t>
    </r>
    <r>
      <rPr>
        <b val="true"/>
        <sz val="11"/>
        <rFont val="Cambria"/>
        <family val="0"/>
        <charset val="1"/>
      </rPr>
      <t xml:space="preserve">17 </t>
    </r>
    <r>
      <rPr>
        <b val="true"/>
        <sz val="11"/>
        <rFont val="Noto Sans CJK SC"/>
        <family val="2"/>
      </rPr>
      <t xml:space="preserve">條，依 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段判定標注）</t>
    </r>
  </si>
  <si>
    <t xml:space="preserve">#</t>
  </si>
  <si>
    <t xml:space="preserve">投資方／供應商</t>
  </si>
  <si>
    <t xml:space="preserve">被投資方／客戶</t>
  </si>
  <si>
    <t xml:space="preserve">融資或投資</t>
  </si>
  <si>
    <t xml:space="preserve">回流的算力或採購</t>
  </si>
  <si>
    <r>
      <rPr>
        <b val="true"/>
        <sz val="11"/>
        <rFont val="Noto Sans CJK SC"/>
        <family val="2"/>
      </rPr>
      <t xml:space="preserve">證據（</t>
    </r>
    <r>
      <rPr>
        <b val="true"/>
        <sz val="11"/>
        <rFont val="Cambria"/>
        <family val="0"/>
        <charset val="1"/>
      </rPr>
      <t xml:space="preserve">F#</t>
    </r>
    <r>
      <rPr>
        <b val="true"/>
        <sz val="11"/>
        <rFont val="Noto Sans CJK SC"/>
        <family val="2"/>
      </rPr>
      <t xml:space="preserve">）</t>
    </r>
  </si>
  <si>
    <t xml:space="preserve">NVIDIA</t>
  </si>
  <si>
    <r>
      <rPr>
        <sz val="11"/>
        <color theme="1"/>
        <rFont val="Noto Sans CJK SC"/>
        <family val="2"/>
      </rPr>
      <t xml:space="preserve">股權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Ohio </t>
    </r>
    <r>
      <rPr>
        <sz val="11"/>
        <color theme="1"/>
        <rFont val="Noto Sans CJK SC"/>
        <family val="2"/>
      </rPr>
      <t xml:space="preserve">首期擔保最多 </t>
    </r>
    <r>
      <rPr>
        <sz val="11"/>
        <color theme="1"/>
        <rFont val="Calibri"/>
        <family val="2"/>
        <charset val="1"/>
      </rPr>
      <t xml:space="preserve">105</t>
    </r>
    <r>
      <rPr>
        <sz val="11"/>
        <color theme="1"/>
        <rFont val="Noto Sans CJK SC"/>
        <family val="2"/>
      </rPr>
      <t xml:space="preserve">（記者轉述、未簽）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</si>
  <si>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系統</t>
    </r>
  </si>
  <si>
    <r>
      <rPr>
        <sz val="11"/>
        <color theme="1"/>
        <rFont val="Calibri"/>
        <family val="2"/>
        <charset val="1"/>
      </rPr>
      <t xml:space="preserve">F#181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F#180</t>
    </r>
  </si>
  <si>
    <r>
      <rPr>
        <sz val="11"/>
        <color theme="1"/>
        <rFont val="Noto Sans CJK SC"/>
        <family val="2"/>
      </rPr>
      <t xml:space="preserve">新雲（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</si>
  <si>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股權／預付認股權證：</t>
    </r>
    <r>
      <rPr>
        <sz val="11"/>
        <color theme="1"/>
        <rFont val="Calibri"/>
        <family val="2"/>
        <charset val="1"/>
      </rPr>
      <t xml:space="preserve">CoreWeave 2.0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 2.0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未售容量擔保 </t>
    </r>
    <r>
      <rPr>
        <sz val="11"/>
        <color theme="1"/>
        <rFont val="Calibri"/>
        <family val="2"/>
        <charset val="1"/>
      </rPr>
      <t xml:space="preserve">6.3</t>
    </r>
  </si>
  <si>
    <r>
      <rPr>
        <sz val="11"/>
        <color theme="1"/>
        <rFont val="Noto Sans CJK SC"/>
        <family val="2"/>
      </rPr>
      <t xml:space="preserve">新雲以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擔保債購 </t>
    </r>
    <r>
      <rPr>
        <sz val="11"/>
        <color theme="1"/>
        <rFont val="Calibri"/>
        <family val="2"/>
        <charset val="1"/>
      </rPr>
      <t xml:space="preserve">NVIDIA GPU</t>
    </r>
    <r>
      <rPr>
        <sz val="11"/>
        <color theme="1"/>
        <rFont val="Noto Sans CJK SC"/>
        <family val="2"/>
      </rPr>
      <t xml:space="preserve">，租給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</si>
  <si>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F#154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F#158</t>
    </r>
  </si>
  <si>
    <r>
      <rPr>
        <sz val="11"/>
        <color theme="1"/>
        <rFont val="Noto Sans CJK SC"/>
        <family val="2"/>
      </rPr>
      <t xml:space="preserve">股權最多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）；參與 </t>
    </r>
    <r>
      <rPr>
        <sz val="11"/>
        <color theme="1"/>
        <rFont val="Calibri"/>
        <family val="2"/>
        <charset val="1"/>
      </rPr>
      <t xml:space="preserve">Series E</t>
    </r>
  </si>
  <si>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債購 </t>
    </r>
    <r>
      <rPr>
        <sz val="11"/>
        <color theme="1"/>
        <rFont val="Calibri"/>
        <family val="2"/>
        <charset val="1"/>
      </rPr>
      <t xml:space="preserve">NVIDIA GPU </t>
    </r>
    <r>
      <rPr>
        <sz val="11"/>
        <color theme="1"/>
        <rFont val="Noto Sans CJK SC"/>
        <family val="2"/>
      </rPr>
      <t xml:space="preserve">租給 </t>
    </r>
    <r>
      <rPr>
        <sz val="11"/>
        <color theme="1"/>
        <rFont val="Calibri"/>
        <family val="2"/>
        <charset val="1"/>
      </rPr>
      <t xml:space="preserve">xAI</t>
    </r>
  </si>
  <si>
    <r>
      <rPr>
        <sz val="11"/>
        <color theme="1"/>
        <rFont val="Calibri"/>
        <family val="2"/>
        <charset val="1"/>
      </rPr>
      <t xml:space="preserve">F#203</t>
    </r>
    <r>
      <rPr>
        <sz val="11"/>
        <color theme="1"/>
        <rFont val="Noto Sans CJK SC"/>
        <family val="2"/>
      </rPr>
      <t xml:space="preserve">（未抽查）、</t>
    </r>
    <r>
      <rPr>
        <sz val="11"/>
        <color theme="1"/>
        <rFont val="Calibri"/>
        <family val="2"/>
        <charset val="1"/>
      </rPr>
      <t xml:space="preserve">F#202</t>
    </r>
    <r>
      <rPr>
        <sz val="11"/>
        <color theme="1"/>
        <rFont val="Noto Sans CJK SC"/>
        <family val="2"/>
      </rPr>
      <t xml:space="preserve">（未抽查）</t>
    </r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</si>
  <si>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</si>
  <si>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Azure 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系統）</t>
    </r>
  </si>
  <si>
    <r>
      <rPr>
        <sz val="11"/>
        <color theme="1"/>
        <rFont val="Calibri"/>
        <family val="2"/>
        <charset val="1"/>
      </rPr>
      <t xml:space="preserve">F#188</t>
    </r>
    <r>
      <rPr>
        <sz val="11"/>
        <color theme="1"/>
        <rFont val="Noto Sans CJK SC"/>
        <family val="2"/>
      </rPr>
      <t xml:space="preserve">（未抽查）</t>
    </r>
  </si>
  <si>
    <t xml:space="preserve">AMD</t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</si>
  <si>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1.6 </t>
    </r>
    <r>
      <rPr>
        <sz val="11"/>
        <color theme="1"/>
        <rFont val="Noto Sans CJK SC"/>
        <family val="2"/>
      </rPr>
      <t xml:space="preserve">億股認股權證，隨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歸屬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</si>
  <si>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買 </t>
    </r>
    <r>
      <rPr>
        <sz val="11"/>
        <color theme="1"/>
        <rFont val="Calibri"/>
        <family val="2"/>
        <charset val="1"/>
      </rPr>
      <t xml:space="preserve">6 GW MI450</t>
    </r>
  </si>
  <si>
    <r>
      <rPr>
        <sz val="11"/>
        <color theme="1"/>
        <rFont val="Calibri"/>
        <family val="2"/>
        <charset val="1"/>
      </rPr>
      <t xml:space="preserve">F#182</t>
    </r>
    <r>
      <rPr>
        <sz val="11"/>
        <color theme="1"/>
        <rFont val="Noto Sans CJK SC"/>
        <family val="2"/>
      </rPr>
      <t xml:space="preserve">（未抽查）</t>
    </r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</si>
  <si>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股權</t>
    </r>
  </si>
  <si>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的算力供應</t>
    </r>
  </si>
  <si>
    <r>
      <rPr>
        <sz val="11"/>
        <color theme="1"/>
        <rFont val="Calibri"/>
        <family val="2"/>
        <charset val="1"/>
      </rPr>
      <t xml:space="preserve">F.md </t>
    </r>
    <r>
      <rPr>
        <sz val="11"/>
        <color theme="1"/>
        <rFont val="Noto Sans CJK SC"/>
        <family val="2"/>
      </rPr>
      <t xml:space="preserve">第三節（未抽查）</t>
    </r>
  </si>
  <si>
    <r>
      <rPr>
        <sz val="11"/>
        <color theme="1"/>
        <rFont val="Noto Sans CJK SC"/>
        <family val="2"/>
      </rPr>
      <t xml:space="preserve">出資 </t>
    </r>
    <r>
      <rPr>
        <sz val="11"/>
        <color theme="1"/>
        <rFont val="Calibri"/>
        <family val="2"/>
        <charset val="1"/>
      </rPr>
      <t xml:space="preserve">11.9</t>
    </r>
    <r>
      <rPr>
        <sz val="11"/>
        <color theme="1"/>
        <rFont val="Noto Sans CJK SC"/>
        <family val="2"/>
      </rPr>
      <t xml:space="preserve">（承諾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），持股約 </t>
    </r>
    <r>
      <rPr>
        <sz val="11"/>
        <color theme="1"/>
        <rFont val="Calibri"/>
        <family val="2"/>
        <charset val="1"/>
      </rPr>
      <t xml:space="preserve">27%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</si>
  <si>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承諾增量 </t>
    </r>
    <r>
      <rPr>
        <sz val="11"/>
        <color theme="1"/>
        <rFont val="Calibri"/>
        <family val="2"/>
        <charset val="1"/>
      </rPr>
      <t xml:space="preserve">Azure 250</t>
    </r>
  </si>
  <si>
    <r>
      <rPr>
        <sz val="11"/>
        <color theme="1"/>
        <rFont val="Calibri"/>
        <family val="2"/>
        <charset val="1"/>
      </rPr>
      <t xml:space="preserve">F#32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F#33</t>
    </r>
    <r>
      <rPr>
        <sz val="11"/>
        <color theme="1"/>
        <rFont val="Noto Sans CJK SC"/>
        <family val="2"/>
      </rPr>
      <t xml:space="preserve">（未抽查）</t>
    </r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</si>
  <si>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</si>
  <si>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Azure 30</t>
    </r>
  </si>
  <si>
    <t xml:space="preserve">neocloud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</si>
  <si>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合約 </t>
    </r>
    <r>
      <rPr>
        <sz val="11"/>
        <color theme="1"/>
        <rFont val="Calibri"/>
        <family val="2"/>
        <charset val="1"/>
      </rPr>
      <t xml:space="preserve">&gt;60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IREN 9.7</t>
    </r>
    <r>
      <rPr>
        <sz val="11"/>
        <color theme="1"/>
        <rFont val="Noto Sans CJK SC"/>
        <family val="2"/>
      </rPr>
      <t xml:space="preserve">）</t>
    </r>
  </si>
  <si>
    <t xml:space="preserve">新雲以合約擔保舉債</t>
  </si>
  <si>
    <r>
      <rPr>
        <sz val="11"/>
        <color theme="1"/>
        <rFont val="Calibri"/>
        <family val="2"/>
        <charset val="1"/>
      </rPr>
      <t xml:space="preserve">F#31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</si>
  <si>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13.7</t>
    </r>
    <r>
      <rPr>
        <sz val="11"/>
        <color theme="1"/>
        <rFont val="Noto Sans CJK SC"/>
        <family val="2"/>
      </rPr>
      <t xml:space="preserve">＋期後 </t>
    </r>
    <r>
      <rPr>
        <sz val="11"/>
        <color theme="1"/>
        <rFont val="Calibri"/>
        <family val="2"/>
        <charset val="1"/>
      </rPr>
      <t xml:space="preserve">21.3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</si>
  <si>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AWS 38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 GW Trainium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</si>
  <si>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F#80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</si>
  <si>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Noto Sans CJK SC"/>
        <family val="2"/>
      </rPr>
      <t xml:space="preserve">已投 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，剩餘額度 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</si>
  <si>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AWS &gt;100</t>
    </r>
    <r>
      <rPr>
        <sz val="11"/>
        <color theme="1"/>
        <rFont val="Noto Sans CJK SC"/>
        <family val="2"/>
      </rPr>
      <t xml:space="preserve">、最多 </t>
    </r>
    <r>
      <rPr>
        <sz val="11"/>
        <color theme="1"/>
        <rFont val="Calibri"/>
        <family val="2"/>
        <charset val="1"/>
      </rPr>
      <t xml:space="preserve">5 GW</t>
    </r>
  </si>
  <si>
    <r>
      <rPr>
        <sz val="11"/>
        <color theme="1"/>
        <rFont val="Calibri"/>
        <family val="2"/>
        <charset val="1"/>
      </rPr>
      <t xml:space="preserve">F#81</t>
    </r>
    <r>
      <rPr>
        <sz val="11"/>
        <color theme="1"/>
        <rFont val="Noto Sans CJK SC"/>
        <family val="2"/>
      </rPr>
      <t xml:space="preserve">（屬實）</t>
    </r>
  </si>
  <si>
    <t xml:space="preserve">Google</t>
  </si>
  <si>
    <r>
      <rPr>
        <sz val="11"/>
        <color theme="1"/>
        <rFont val="Noto Sans CJK SC"/>
        <family val="2"/>
      </rPr>
      <t xml:space="preserve">帳面約 </t>
    </r>
    <r>
      <rPr>
        <sz val="11"/>
        <color theme="1"/>
        <rFont val="Calibri"/>
        <family val="2"/>
        <charset val="1"/>
      </rPr>
      <t xml:space="preserve">124</t>
    </r>
    <r>
      <rPr>
        <sz val="11"/>
        <color theme="1"/>
        <rFont val="Noto Sans CJK SC"/>
        <family val="2"/>
      </rPr>
      <t xml:space="preserve">（無法核對）；即時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＋條件 </t>
    </r>
    <r>
      <rPr>
        <sz val="11"/>
        <color theme="1"/>
        <rFont val="Calibri"/>
        <family val="2"/>
        <charset val="1"/>
      </rPr>
      <t xml:space="preserve">30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</si>
  <si>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Google Cloud 111.1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SPV 35</t>
    </r>
    <r>
      <rPr>
        <sz val="11"/>
        <color theme="1"/>
        <rFont val="Noto Sans CJK SC"/>
        <family val="2"/>
      </rPr>
      <t xml:space="preserve">（另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洽談中）租給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租約擔保 </t>
    </r>
    <r>
      <rPr>
        <sz val="11"/>
        <color theme="1"/>
        <rFont val="Calibri"/>
        <family val="2"/>
        <charset val="1"/>
      </rPr>
      <t xml:space="preserve">2.4 GW</t>
    </r>
    <r>
      <rPr>
        <sz val="11"/>
        <color theme="1"/>
        <rFont val="Noto Sans CJK SC"/>
        <family val="2"/>
      </rPr>
      <t xml:space="preserve">、最多 </t>
    </r>
    <r>
      <rPr>
        <sz val="11"/>
        <color theme="1"/>
        <rFont val="Calibri"/>
        <family val="2"/>
        <charset val="1"/>
      </rPr>
      <t xml:space="preserve">44</t>
    </r>
  </si>
  <si>
    <r>
      <rPr>
        <sz val="11"/>
        <color theme="1"/>
        <rFont val="Calibri"/>
        <family val="2"/>
        <charset val="1"/>
      </rPr>
      <t xml:space="preserve">F#56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F#58</t>
    </r>
    <r>
      <rPr>
        <sz val="11"/>
        <color theme="1"/>
        <rFont val="Noto Sans CJK SC"/>
        <family val="2"/>
      </rPr>
      <t xml:space="preserve">（屬實）、</t>
    </r>
    <r>
      <rPr>
        <sz val="11"/>
        <color theme="1"/>
        <rFont val="Calibri"/>
        <family val="2"/>
        <charset val="1"/>
      </rPr>
      <t xml:space="preserve">F#190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F#191</t>
    </r>
    <r>
      <rPr>
        <sz val="11"/>
        <color theme="1"/>
        <rFont val="Noto Sans CJK SC"/>
        <family val="2"/>
      </rPr>
      <t xml:space="preserve">（更正）</t>
    </r>
  </si>
  <si>
    <t xml:space="preserve">Broadcom</t>
  </si>
  <si>
    <r>
      <rPr>
        <sz val="11"/>
        <color theme="1"/>
        <rFont val="Noto Sans CJK SC"/>
        <family val="2"/>
      </rPr>
      <t xml:space="preserve">租賃融資最多 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優先層殘值支持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</si>
  <si>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買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製 </t>
    </r>
    <r>
      <rPr>
        <sz val="11"/>
        <color theme="1"/>
        <rFont val="Calibri"/>
        <family val="2"/>
        <charset val="1"/>
      </rPr>
      <t xml:space="preserve">TPU</t>
    </r>
  </si>
  <si>
    <r>
      <rPr>
        <sz val="11"/>
        <color theme="1"/>
        <rFont val="Calibri"/>
        <family val="2"/>
        <charset val="1"/>
      </rPr>
      <t xml:space="preserve">F#192</t>
    </r>
    <r>
      <rPr>
        <sz val="11"/>
        <color theme="1"/>
        <rFont val="Noto Sans CJK SC"/>
        <family val="2"/>
      </rPr>
      <t xml:space="preserve">（屬實）</t>
    </r>
  </si>
  <si>
    <t xml:space="preserve">SoftBank</t>
  </si>
  <si>
    <r>
      <rPr>
        <sz val="11"/>
        <color theme="1"/>
        <rFont val="Noto Sans CJK SC"/>
        <family val="2"/>
      </rPr>
      <t xml:space="preserve">累計約 </t>
    </r>
    <r>
      <rPr>
        <sz val="11"/>
        <color theme="1"/>
        <rFont val="Calibri"/>
        <family val="2"/>
        <charset val="1"/>
      </rPr>
      <t xml:space="preserve">64.6</t>
    </r>
    <r>
      <rPr>
        <sz val="11"/>
        <color theme="1"/>
        <rFont val="Noto Sans CJK SC"/>
        <family val="2"/>
      </rPr>
      <t xml:space="preserve">；其中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過橋貸款支付</t>
    </r>
  </si>
  <si>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Ohio</t>
    </r>
    <r>
      <rPr>
        <sz val="11"/>
        <color theme="1"/>
        <rFont val="Noto Sans CJK SC"/>
        <family val="2"/>
      </rPr>
      <t xml:space="preserve">）開發方</t>
    </r>
  </si>
  <si>
    <r>
      <rPr>
        <sz val="11"/>
        <color theme="1"/>
        <rFont val="Calibri"/>
        <family val="2"/>
        <charset val="1"/>
      </rPr>
      <t xml:space="preserve">F#183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</si>
  <si>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Noto Sans CJK SC"/>
        <family val="2"/>
      </rPr>
      <t xml:space="preserve">—（承租開發商站點；開發商債 </t>
    </r>
    <r>
      <rPr>
        <sz val="11"/>
        <color theme="1"/>
        <rFont val="Calibri"/>
        <family val="2"/>
        <charset val="1"/>
      </rPr>
      <t xml:space="preserve">&gt;70 </t>
    </r>
    <r>
      <rPr>
        <sz val="11"/>
        <color theme="1"/>
        <rFont val="Noto Sans CJK SC"/>
        <family val="2"/>
      </rPr>
      <t xml:space="preserve">靠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租約擔保）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</si>
  <si>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剩餘履約義務一半（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</si>
  <si>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F#132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F#134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F#136</t>
    </r>
    <r>
      <rPr>
        <sz val="11"/>
        <color theme="1"/>
        <rFont val="Noto Sans CJK SC"/>
        <family val="2"/>
      </rPr>
      <t xml:space="preserve">（屬實）、</t>
    </r>
    <r>
      <rPr>
        <sz val="11"/>
        <color theme="1"/>
        <rFont val="Calibri"/>
        <family val="2"/>
        <charset val="1"/>
      </rPr>
      <t xml:space="preserve">F#133</t>
    </r>
    <r>
      <rPr>
        <sz val="11"/>
        <color theme="1"/>
        <rFont val="Noto Sans CJK SC"/>
        <family val="2"/>
      </rPr>
      <t xml:space="preserve">（更正：記者報導）</t>
    </r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</si>
  <si>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</si>
  <si>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每月 </t>
    </r>
    <r>
      <rPr>
        <sz val="11"/>
        <color theme="1"/>
        <rFont val="Calibri"/>
        <family val="2"/>
        <charset val="1"/>
      </rPr>
      <t xml:space="preserve">1.25 </t>
    </r>
    <r>
      <rPr>
        <sz val="11"/>
        <color theme="1"/>
        <rFont val="Noto Sans CJK SC"/>
        <family val="2"/>
      </rPr>
      <t xml:space="preserve">租 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天可終止</t>
    </r>
  </si>
  <si>
    <r>
      <rPr>
        <sz val="11"/>
        <color theme="1"/>
        <rFont val="Calibri"/>
        <family val="2"/>
        <charset val="1"/>
      </rPr>
      <t xml:space="preserve">F#199</t>
    </r>
    <r>
      <rPr>
        <sz val="11"/>
        <color theme="1"/>
        <rFont val="Noto Sans CJK SC"/>
        <family val="2"/>
      </rPr>
      <t xml:space="preserve">（更正：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</si>
  <si>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</si>
  <si>
    <r>
      <rPr>
        <sz val="11"/>
        <color theme="1"/>
        <rFont val="Noto Sans CJK SC"/>
        <family val="2"/>
      </rPr>
      <t xml:space="preserve">表達認購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股票最多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（非約束）</t>
    </r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</si>
  <si>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向它們買晶片</t>
    </r>
  </si>
  <si>
    <r>
      <rPr>
        <sz val="11"/>
        <color theme="1"/>
        <rFont val="Calibri"/>
        <family val="2"/>
        <charset val="1"/>
      </rPr>
      <t xml:space="preserve">F#107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</si>
  <si>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Calibri"/>
        <family val="2"/>
        <charset val="1"/>
      </rPr>
      <t xml:space="preserve">FundRaw — F_funding.csv </t>
    </r>
    <r>
      <rPr>
        <sz val="11"/>
        <color theme="1"/>
        <rFont val="Noto Sans CJK SC"/>
        <family val="2"/>
      </rPr>
      <t xml:space="preserve">全部列（</t>
    </r>
    <r>
      <rPr>
        <sz val="11"/>
        <color theme="1"/>
        <rFont val="Calibri"/>
        <family val="2"/>
        <charset val="1"/>
      </rPr>
      <t xml:space="preserve">USD B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段獨立核對判定與更正（</t>
    </r>
    <r>
      <rPr>
        <sz val="11"/>
        <color theme="1"/>
        <rFont val="Calibri"/>
        <family val="2"/>
        <charset val="1"/>
      </rPr>
      <t xml:space="preserve">tools/import_funding.py</t>
    </r>
    <r>
      <rPr>
        <sz val="11"/>
        <color theme="1"/>
        <rFont val="Noto Sans CJK SC"/>
        <family val="2"/>
      </rPr>
      <t xml:space="preserve">）。採用＝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段判屬實、小誤已更正、</t>
    </r>
    <r>
      <rPr>
        <sz val="11"/>
        <color theme="1"/>
        <rFont val="Calibri"/>
        <family val="2"/>
        <charset val="1"/>
      </rPr>
      <t xml:space="preserve">§4 </t>
    </r>
    <r>
      <rPr>
        <sz val="11"/>
        <color theme="1"/>
        <rFont val="Noto Sans CJK SC"/>
        <family val="2"/>
      </rPr>
      <t xml:space="preserve">重算確認或已改引 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；無法核對與未抽查＝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（只列此頁）。期間桶：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（最新期）、</t>
    </r>
    <r>
      <rPr>
        <sz val="11"/>
        <color theme="1"/>
        <rFont val="Calibri"/>
        <family val="2"/>
        <charset val="1"/>
      </rPr>
      <t xml:space="preserve">post</t>
    </r>
    <r>
      <rPr>
        <sz val="11"/>
        <color theme="1"/>
        <rFont val="Noto Sans CJK SC"/>
        <family val="2"/>
      </rPr>
      <t xml:space="preserve">（期後）、</t>
    </r>
    <r>
      <rPr>
        <sz val="11"/>
        <color theme="1"/>
        <rFont val="Calibri"/>
        <family val="2"/>
        <charset val="1"/>
      </rPr>
      <t xml:space="preserve">guide</t>
    </r>
    <r>
      <rPr>
        <sz val="11"/>
        <color theme="1"/>
        <rFont val="Noto Sans CJK SC"/>
        <family val="2"/>
      </rPr>
      <t xml:space="preserve">（指引）、</t>
    </r>
    <r>
      <rPr>
        <sz val="11"/>
        <color theme="1"/>
        <rFont val="Calibri"/>
        <family val="2"/>
        <charset val="1"/>
      </rPr>
      <t xml:space="preserve">other</t>
    </r>
  </si>
  <si>
    <t xml:space="preserve">桶</t>
  </si>
  <si>
    <t xml:space="preserve">來源</t>
  </si>
  <si>
    <t xml:space="preserve">網址</t>
  </si>
  <si>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段更正</t>
    </r>
  </si>
  <si>
    <t xml:space="preserve">採用</t>
  </si>
  <si>
    <t xml:space="preserve">F#2</t>
  </si>
  <si>
    <t xml:space="preserve">USD B</t>
  </si>
  <si>
    <r>
      <rPr>
        <sz val="11"/>
        <color rgb="FF808080"/>
        <rFont val="Noto Sans CJK SC"/>
        <family val="2"/>
      </rPr>
      <t xml:space="preserve">營運現金流；財年 </t>
    </r>
    <r>
      <rPr>
        <sz val="11"/>
        <color rgb="FF808080"/>
        <rFont val="Cambria"/>
        <family val="0"/>
        <charset val="1"/>
      </rPr>
      <t xml:space="preserve">7/1–6/30</t>
    </r>
  </si>
  <si>
    <t xml:space="preserve">[Verified]</t>
  </si>
  <si>
    <r>
      <rPr>
        <sz val="11"/>
        <color rgb="FF808080"/>
        <rFont val="Cambria"/>
        <family val="0"/>
        <charset val="1"/>
      </rPr>
      <t xml:space="preserve">Form 10-K FY2026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microsoft/data/microsoft_facts_20261008.json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</si>
  <si>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https://www.sec.gov/Archives/edgar/data/789019/000119312526323660/msft-20260630.htm</t>
  </si>
  <si>
    <t xml:space="preserve">未抽查</t>
  </si>
  <si>
    <t xml:space="preserve">F#3</t>
  </si>
  <si>
    <r>
      <rPr>
        <sz val="11"/>
        <color rgb="FF808080"/>
        <rFont val="Cambria"/>
        <family val="0"/>
        <charset val="1"/>
      </rPr>
      <t xml:space="preserve">PP&amp;E </t>
    </r>
    <r>
      <rPr>
        <sz val="11"/>
        <color rgb="FF808080"/>
        <rFont val="Noto Sans CJK SC"/>
        <family val="2"/>
      </rPr>
      <t xml:space="preserve">增添（現金，不含融資租賃）</t>
    </r>
  </si>
  <si>
    <t xml:space="preserve">F#4</t>
  </si>
  <si>
    <t xml:space="preserve">fin_lease_new</t>
  </si>
  <si>
    <r>
      <rPr>
        <sz val="11"/>
        <color rgb="FF808080"/>
        <rFont val="Noto Sans CJK SC"/>
        <family val="2"/>
      </rPr>
      <t xml:space="preserve">新增融資租賃 </t>
    </r>
    <r>
      <rPr>
        <sz val="11"/>
        <color rgb="FF808080"/>
        <rFont val="Cambria"/>
        <family val="0"/>
        <charset val="1"/>
      </rPr>
      <t xml:space="preserve">ROU</t>
    </r>
    <r>
      <rPr>
        <sz val="11"/>
        <color rgb="FF808080"/>
        <rFont val="Noto Sans CJK SC"/>
        <family val="2"/>
      </rPr>
      <t xml:space="preserve">（附註 </t>
    </r>
    <r>
      <rPr>
        <sz val="11"/>
        <color rgb="FF808080"/>
        <rFont val="Cambria"/>
        <family val="0"/>
        <charset val="1"/>
      </rPr>
      <t xml:space="preserve">13</t>
    </r>
    <r>
      <rPr>
        <sz val="11"/>
        <color rgb="FF808080"/>
        <rFont val="Noto Sans CJK SC"/>
        <family val="2"/>
      </rPr>
      <t xml:space="preserve">）；主要為大型資料中心</t>
    </r>
  </si>
  <si>
    <t xml:space="preserve">F#5</t>
  </si>
  <si>
    <r>
      <rPr>
        <sz val="11"/>
        <color rgb="FF808080"/>
        <rFont val="Noto Sans CJK SC"/>
        <family val="2"/>
      </rPr>
      <t xml:space="preserve">＝現金 </t>
    </r>
    <r>
      <rPr>
        <sz val="11"/>
        <color rgb="FF808080"/>
        <rFont val="Cambria"/>
        <family val="0"/>
        <charset val="1"/>
      </rPr>
      <t xml:space="preserve">PP&amp;E</t>
    </r>
    <r>
      <rPr>
        <sz val="11"/>
        <color rgb="FF808080"/>
        <rFont val="Noto Sans CJK SC"/>
        <family val="2"/>
      </rPr>
      <t xml:space="preserve">＋新增融資租賃（</t>
    </r>
    <r>
      <rPr>
        <sz val="11"/>
        <color rgb="FF808080"/>
        <rFont val="Cambria"/>
        <family val="0"/>
        <charset val="1"/>
      </rPr>
      <t xml:space="preserve">[Derived]</t>
    </r>
    <r>
      <rPr>
        <sz val="11"/>
        <color rgb="FF808080"/>
        <rFont val="Noto Sans CJK SC"/>
        <family val="2"/>
      </rPr>
      <t xml:space="preserve">；公司口徑 </t>
    </r>
    <r>
      <rPr>
        <sz val="11"/>
        <color rgb="FF808080"/>
        <rFont val="Cambria"/>
        <family val="0"/>
        <charset val="1"/>
      </rPr>
      <t xml:space="preserve">FY26 </t>
    </r>
    <r>
      <rPr>
        <sz val="11"/>
        <color rgb="FF808080"/>
        <rFont val="Noto Sans CJK SC"/>
        <family val="2"/>
      </rPr>
      <t xml:space="preserve">為各季法說加總 </t>
    </r>
    <r>
      <rPr>
        <sz val="11"/>
        <color rgb="FF808080"/>
        <rFont val="Cambria"/>
        <family val="0"/>
        <charset val="1"/>
      </rPr>
      <t xml:space="preserve">145.3</t>
    </r>
    <r>
      <rPr>
        <sz val="11"/>
        <color rgb="FF808080"/>
        <rFont val="Noto Sans CJK SC"/>
        <family val="2"/>
      </rPr>
      <t xml:space="preserve">）</t>
    </r>
  </si>
  <si>
    <t xml:space="preserve">[Derived]</t>
  </si>
  <si>
    <t xml:space="preserve">F#6</t>
  </si>
  <si>
    <r>
      <rPr>
        <sz val="11"/>
        <color rgb="FF808080"/>
        <rFont val="Noto Sans CJK SC"/>
        <family val="2"/>
      </rPr>
      <t xml:space="preserve">＝</t>
    </r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現金 </t>
    </r>
    <r>
      <rPr>
        <sz val="11"/>
        <color rgb="FF808080"/>
        <rFont val="Cambria"/>
        <family val="0"/>
        <charset val="1"/>
      </rPr>
      <t xml:space="preserve">PP&amp;E</t>
    </r>
    <r>
      <rPr>
        <sz val="11"/>
        <color rgb="FF808080"/>
        <rFont val="Noto Sans CJK SC"/>
        <family val="2"/>
      </rPr>
      <t xml:space="preserve">（未扣融資租賃本金）</t>
    </r>
  </si>
  <si>
    <t xml:space="preserve">F#7</t>
  </si>
  <si>
    <t xml:space="preserve">buyback_div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</si>
  <si>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17.254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21.771</t>
    </r>
  </si>
  <si>
    <r>
      <rPr>
        <sz val="11"/>
        <color theme="1"/>
        <rFont val="Calibri"/>
        <family val="2"/>
        <charset val="1"/>
      </rPr>
      <t xml:space="preserve">Form 10-K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microsoft/data/microsoft_facts_20261008.json</t>
    </r>
    <r>
      <rPr>
        <sz val="11"/>
        <color theme="1"/>
        <rFont val="Noto Sans CJK SC"/>
        <family val="2"/>
      </rPr>
      <t xml:space="preserve">）</t>
    </r>
  </si>
  <si>
    <t xml:space="preserve">F#8</t>
  </si>
  <si>
    <r>
      <rPr>
        <sz val="11"/>
        <color theme="1"/>
        <rFont val="Noto Sans CJK SC"/>
        <family val="2"/>
      </rPr>
      <t xml:space="preserve">營運現金流；財年 </t>
    </r>
    <r>
      <rPr>
        <sz val="11"/>
        <color theme="1"/>
        <rFont val="Calibri"/>
        <family val="2"/>
        <charset val="1"/>
      </rPr>
      <t xml:space="preserve">7/1–6/30</t>
    </r>
  </si>
  <si>
    <t xml:space="preserve">F#9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</si>
  <si>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增添（現金，不含融資租賃）</t>
    </r>
  </si>
  <si>
    <t xml:space="preserve">F#10</t>
  </si>
  <si>
    <r>
      <rPr>
        <sz val="11"/>
        <color theme="1"/>
        <rFont val="Noto Sans CJK SC"/>
        <family val="2"/>
      </rPr>
      <t xml:space="preserve">新增融資租賃 </t>
    </r>
    <r>
      <rPr>
        <sz val="11"/>
        <color theme="1"/>
        <rFont val="Calibri"/>
        <family val="2"/>
        <charset val="1"/>
      </rPr>
      <t xml:space="preserve">ROU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）；主要為大型資料中心</t>
    </r>
  </si>
  <si>
    <t xml:space="preserve">F#11</t>
  </si>
  <si>
    <r>
      <rPr>
        <sz val="11"/>
        <color theme="1"/>
        <rFont val="Noto Sans CJK SC"/>
        <family val="2"/>
      </rPr>
      <t xml:space="preserve">＝現金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＋新增融資租賃（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；公司口徑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為各季法說加總 </t>
    </r>
    <r>
      <rPr>
        <sz val="11"/>
        <color theme="1"/>
        <rFont val="Calibri"/>
        <family val="2"/>
        <charset val="1"/>
      </rPr>
      <t xml:space="preserve">145.3</t>
    </r>
    <r>
      <rPr>
        <sz val="11"/>
        <color theme="1"/>
        <rFont val="Noto Sans CJK SC"/>
        <family val="2"/>
      </rPr>
      <t xml:space="preserve">）</t>
    </r>
  </si>
  <si>
    <t xml:space="preserve">F#12</t>
  </si>
  <si>
    <t xml:space="preserve">F#13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</si>
  <si>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18.42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24.082</t>
    </r>
  </si>
  <si>
    <t xml:space="preserve">F#14</t>
  </si>
  <si>
    <t xml:space="preserve">F#15</t>
  </si>
  <si>
    <t xml:space="preserve">F#16</t>
  </si>
  <si>
    <t xml:space="preserve">無法核對</t>
  </si>
  <si>
    <t xml:space="preserve">F#17</t>
  </si>
  <si>
    <t xml:space="preserve">F#18</t>
  </si>
  <si>
    <t xml:space="preserve">F#19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</si>
  <si>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22.271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26.445</t>
    </r>
  </si>
  <si>
    <t xml:space="preserve">F#20</t>
  </si>
  <si>
    <r>
      <rPr>
        <sz val="11"/>
        <color theme="1"/>
        <rFont val="Noto Sans CJK SC"/>
        <family val="2"/>
      </rPr>
      <t xml:space="preserve">現金流量表『發行債務』；</t>
    </r>
    <r>
      <rPr>
        <sz val="11"/>
        <color theme="1"/>
        <rFont val="Calibri"/>
        <family val="2"/>
        <charset val="1"/>
      </rPr>
      <t xml:space="preserve">FY25–FY26 </t>
    </r>
    <r>
      <rPr>
        <sz val="11"/>
        <color theme="1"/>
        <rFont val="Noto Sans CJK SC"/>
        <family val="2"/>
      </rPr>
      <t xml:space="preserve">未發債</t>
    </r>
  </si>
  <si>
    <t xml:space="preserve">F#21</t>
  </si>
  <si>
    <t xml:space="preserve">F#22</t>
  </si>
  <si>
    <t xml:space="preserve">F#23</t>
  </si>
  <si>
    <t xml:space="preserve">net_debt_change</t>
  </si>
  <si>
    <r>
      <rPr>
        <sz val="11"/>
        <color rgb="FF808080"/>
        <rFont val="Noto Sans CJK SC"/>
        <family val="2"/>
      </rPr>
      <t xml:space="preserve">帳面借款 </t>
    </r>
    <r>
      <rPr>
        <sz val="11"/>
        <color rgb="FF808080"/>
        <rFont val="Cambria"/>
        <family val="0"/>
        <charset val="1"/>
      </rPr>
      <t xml:space="preserve">43.151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2025-06</t>
    </r>
    <r>
      <rPr>
        <sz val="11"/>
        <color rgb="FF808080"/>
        <rFont val="Noto Sans CJK SC"/>
        <family val="2"/>
      </rPr>
      <t xml:space="preserve">）→ </t>
    </r>
    <r>
      <rPr>
        <sz val="11"/>
        <color rgb="FF808080"/>
        <rFont val="Cambria"/>
        <family val="0"/>
        <charset val="1"/>
      </rPr>
      <t xml:space="preserve">40.294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）；不含租賃；現金另計</t>
    </r>
  </si>
  <si>
    <t xml:space="preserve">F#24</t>
  </si>
  <si>
    <r>
      <rPr>
        <sz val="11"/>
        <color rgb="FF808080"/>
        <rFont val="Noto Sans CJK SC"/>
        <family val="2"/>
      </rPr>
      <t xml:space="preserve">新增營業租賃 </t>
    </r>
    <r>
      <rPr>
        <sz val="11"/>
        <color rgb="FF808080"/>
        <rFont val="Cambria"/>
        <family val="0"/>
        <charset val="1"/>
      </rPr>
      <t xml:space="preserve">ROU</t>
    </r>
  </si>
  <si>
    <t xml:space="preserve">F#25</t>
  </si>
  <si>
    <t xml:space="preserve">F#26</t>
  </si>
  <si>
    <t xml:space="preserve">F#27</t>
  </si>
  <si>
    <r>
      <rPr>
        <sz val="11"/>
        <color theme="1"/>
        <rFont val="Noto Sans CJK SC"/>
        <family val="2"/>
      </rPr>
      <t xml:space="preserve">尚未起租租賃；</t>
    </r>
    <r>
      <rPr>
        <sz val="11"/>
        <color theme="1"/>
        <rFont val="Calibri"/>
        <family val="2"/>
        <charset val="1"/>
      </rPr>
      <t xml:space="preserve">FY2027–FY2033 </t>
    </r>
    <r>
      <rPr>
        <sz val="11"/>
        <color theme="1"/>
        <rFont val="Noto Sans CJK SC"/>
        <family val="2"/>
      </rPr>
      <t xml:space="preserve">起租、租期 </t>
    </r>
    <r>
      <rPr>
        <sz val="11"/>
        <color theme="1"/>
        <rFont val="Calibri"/>
        <family val="2"/>
        <charset val="1"/>
      </rPr>
      <t xml:space="preserve">1–20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FY26Q1 106.2→Q2 155.1→Q3 196.6</t>
    </r>
  </si>
  <si>
    <t xml:space="preserve">F#28</t>
  </si>
  <si>
    <t xml:space="preserve">commitments</t>
  </si>
  <si>
    <r>
      <rPr>
        <sz val="11"/>
        <color rgb="FF808080"/>
        <rFont val="Noto Sans CJK SC"/>
        <family val="2"/>
      </rPr>
      <t xml:space="preserve">採購承諾（主要資料中心；可能含向 </t>
    </r>
    <r>
      <rPr>
        <sz val="11"/>
        <color rgb="FF808080"/>
        <rFont val="Cambria"/>
        <family val="0"/>
        <charset val="1"/>
      </rPr>
      <t xml:space="preserve">neocloud </t>
    </r>
    <r>
      <rPr>
        <sz val="11"/>
        <color rgb="FF808080"/>
        <rFont val="Noto Sans CJK SC"/>
        <family val="2"/>
      </rPr>
      <t xml:space="preserve">算力採購，公司未拆分）</t>
    </r>
  </si>
  <si>
    <t xml:space="preserve">guide</t>
  </si>
  <si>
    <t xml:space="preserve">[Interested-party]</t>
  </si>
  <si>
    <r>
      <rPr>
        <sz val="11"/>
        <color theme="1"/>
        <rFont val="Calibri"/>
        <family val="2"/>
        <charset val="1"/>
      </rPr>
      <t xml:space="preserve">Microsoft FY26Q4 </t>
    </r>
    <r>
      <rPr>
        <sz val="11"/>
        <color theme="1"/>
        <rFont val="Noto Sans CJK SC"/>
        <family val="2"/>
      </rPr>
      <t xml:space="preserve">法說（二手轉述）</t>
    </r>
  </si>
  <si>
    <t xml:space="preserve">https://letsdatascience.com/news/microsoft-keeps-ai-infrastructure-plan-as-reported-2026-cape-1ce1ad02</t>
  </si>
  <si>
    <t xml:space="preserve">post</t>
  </si>
  <si>
    <t xml:space="preserve">https://www.thestar.com.my/business/business-news/2026/07/31/microsoft-sees-strong-cash-flow-lower-capex</t>
  </si>
  <si>
    <t xml:space="preserve">F#31</t>
  </si>
  <si>
    <t xml:space="preserve">2025-11</t>
  </si>
  <si>
    <t xml:space="preserve">compute_purchase</t>
  </si>
  <si>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對 </t>
    </r>
    <r>
      <rPr>
        <sz val="11"/>
        <color rgb="FF808080"/>
        <rFont val="Cambria"/>
        <family val="0"/>
        <charset val="1"/>
      </rPr>
      <t xml:space="preserve">neocloud </t>
    </r>
    <r>
      <rPr>
        <sz val="11"/>
        <color rgb="FF808080"/>
        <rFont val="Noto Sans CJK SC"/>
        <family val="2"/>
      </rPr>
      <t xml:space="preserve">承諾 </t>
    </r>
    <r>
      <rPr>
        <sz val="11"/>
        <color rgb="FF808080"/>
        <rFont val="Cambria"/>
        <family val="0"/>
        <charset val="1"/>
      </rPr>
      <t xml:space="preserve">&gt;60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Nscale 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23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IREN 9.7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Lambda </t>
    </r>
    <r>
      <rPr>
        <sz val="11"/>
        <color rgb="FF808080"/>
        <rFont val="Noto Sans CJK SC"/>
        <family val="2"/>
      </rPr>
      <t xml:space="preserve">未揭露）；</t>
    </r>
    <r>
      <rPr>
        <sz val="11"/>
        <color rgb="FF808080"/>
        <rFont val="Cambria"/>
        <family val="0"/>
        <charset val="1"/>
      </rPr>
      <t xml:space="preserve">Bloomberg </t>
    </r>
    <r>
      <rPr>
        <sz val="11"/>
        <color rgb="FF808080"/>
        <rFont val="Noto Sans CJK SC"/>
        <family val="2"/>
      </rPr>
      <t xml:space="preserve">統計</t>
    </r>
  </si>
  <si>
    <r>
      <rPr>
        <sz val="11"/>
        <color rgb="FF808080"/>
        <rFont val="Cambria"/>
        <family val="0"/>
        <charset val="1"/>
      </rPr>
      <t xml:space="preserve">[</t>
    </r>
    <r>
      <rPr>
        <sz val="11"/>
        <color rgb="FF808080"/>
        <rFont val="Noto Sans CJK SC"/>
        <family val="2"/>
      </rPr>
      <t xml:space="preserve">報導</t>
    </r>
    <r>
      <rPr>
        <sz val="11"/>
        <color rgb="FF808080"/>
        <rFont val="Cambria"/>
        <family val="0"/>
        <charset val="1"/>
      </rPr>
      <t xml:space="preserve">]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Bloomberg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Nscale </t>
    </r>
    <r>
      <rPr>
        <sz val="11"/>
        <color rgb="FF808080"/>
        <rFont val="Noto Sans CJK SC"/>
        <family val="2"/>
      </rPr>
      <t xml:space="preserve">金額為匿名來源）</t>
    </r>
  </si>
  <si>
    <r>
      <rPr>
        <sz val="11"/>
        <color rgb="FF808080"/>
        <rFont val="Cambria"/>
        <family val="0"/>
        <charset val="1"/>
      </rPr>
      <t xml:space="preserve">Data Center Knowledge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</si>
  <si>
    <t xml:space="preserve">https://www.datacenterknowledge.com/ai-data-centers/microsoft-neocloud-deals-cross-60-billion-in-ai-spending-frenzy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</si>
  <si>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段改不採用</t>
    </r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</si>
  <si>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段更正：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租用 </t>
    </r>
    <r>
      <rPr>
        <sz val="11"/>
        <color rgb="FF808080"/>
        <rFont val="Cambria"/>
        <family val="0"/>
        <charset val="1"/>
      </rPr>
      <t xml:space="preserve">neocloud </t>
    </r>
    <r>
      <rPr>
        <sz val="11"/>
        <color rgb="FF808080"/>
        <rFont val="Noto Sans CJK SC"/>
        <family val="2"/>
      </rPr>
      <t xml:space="preserve">算力是採購承諾（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為付款方），不是資金來源 → 不採用</t>
    </r>
  </si>
  <si>
    <t xml:space="preserve">F#32</t>
  </si>
  <si>
    <r>
      <rPr>
        <sz val="11"/>
        <color rgb="FF808080"/>
        <rFont val="Noto Sans CJK SC"/>
        <family val="2"/>
      </rPr>
      <t xml:space="preserve">對 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已出資 </t>
    </r>
    <r>
      <rPr>
        <sz val="11"/>
        <color rgb="FF808080"/>
        <rFont val="Cambria"/>
        <family val="0"/>
        <charset val="1"/>
      </rPr>
      <t xml:space="preserve">11.9</t>
    </r>
    <r>
      <rPr>
        <sz val="11"/>
        <color rgb="FF808080"/>
        <rFont val="Noto Sans CJK SC"/>
        <family val="2"/>
      </rPr>
      <t xml:space="preserve">／承諾 </t>
    </r>
    <r>
      <rPr>
        <sz val="11"/>
        <color rgb="FF808080"/>
        <rFont val="Cambria"/>
        <family val="0"/>
        <charset val="1"/>
      </rPr>
      <t xml:space="preserve">13.0</t>
    </r>
    <r>
      <rPr>
        <sz val="11"/>
        <color rgb="FF808080"/>
        <rFont val="Noto Sans CJK SC"/>
        <family val="2"/>
      </rPr>
      <t xml:space="preserve">；權益法</t>
    </r>
  </si>
  <si>
    <t xml:space="preserve">F#33</t>
  </si>
  <si>
    <t xml:space="preserve">2025-10-28</t>
  </si>
  <si>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增量 </t>
    </r>
    <r>
      <rPr>
        <sz val="11"/>
        <color rgb="FF808080"/>
        <rFont val="Cambria"/>
        <family val="0"/>
        <charset val="1"/>
      </rPr>
      <t xml:space="preserve">Azure </t>
    </r>
    <r>
      <rPr>
        <sz val="11"/>
        <color rgb="FF808080"/>
        <rFont val="Noto Sans CJK SC"/>
        <family val="2"/>
      </rPr>
      <t xml:space="preserve">承諾 </t>
    </r>
    <r>
      <rPr>
        <sz val="11"/>
        <color rgb="FF808080"/>
        <rFont val="Cambria"/>
        <family val="0"/>
        <charset val="1"/>
      </rPr>
      <t xml:space="preserve">250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持 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27%</t>
    </r>
    <r>
      <rPr>
        <sz val="11"/>
        <color rgb="FF808080"/>
        <rFont val="Noto Sans CJK SC"/>
        <family val="2"/>
      </rPr>
      <t xml:space="preserve">（約 </t>
    </r>
    <r>
      <rPr>
        <sz val="11"/>
        <color rgb="FF808080"/>
        <rFont val="Cambria"/>
        <family val="0"/>
        <charset val="1"/>
      </rPr>
      <t xml:space="preserve">135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</si>
  <si>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Microsoft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聯合聲明（</t>
    </r>
    <r>
      <rPr>
        <sz val="11"/>
        <color rgb="FF808080"/>
        <rFont val="Cambria"/>
        <family val="0"/>
        <charset val="1"/>
      </rPr>
      <t xml:space="preserve">Gulf News </t>
    </r>
    <r>
      <rPr>
        <sz val="11"/>
        <color rgb="FF808080"/>
        <rFont val="Noto Sans CJK SC"/>
        <family val="2"/>
      </rPr>
      <t xml:space="preserve">轉述）</t>
    </r>
  </si>
  <si>
    <t xml:space="preserve">https://gulfnews.com/technology/companies/microsoft-holds-27-of-openai-in-revamped-partnership-2-1.500324696</t>
  </si>
  <si>
    <t xml:space="preserve">F#34</t>
  </si>
  <si>
    <t xml:space="preserve">營運現金流</t>
  </si>
  <si>
    <r>
      <rPr>
        <sz val="11"/>
        <color rgb="FF808080"/>
        <rFont val="Cambria"/>
        <family val="0"/>
        <charset val="1"/>
      </rPr>
      <t xml:space="preserve">Form 10-K FY2025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alphabet/data/alphabet_facts_20261008.json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</si>
  <si>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https://www.sec.gov/Archives/edgar/data/1652044/000165204426000018/goog-20251231.htm</t>
  </si>
  <si>
    <t xml:space="preserve">F#35</t>
  </si>
  <si>
    <r>
      <rPr>
        <sz val="11"/>
        <color rgb="FF808080"/>
        <rFont val="Cambria"/>
        <family val="0"/>
        <charset val="1"/>
      </rPr>
      <t xml:space="preserve">PP&amp;E </t>
    </r>
    <r>
      <rPr>
        <sz val="11"/>
        <color rgb="FF808080"/>
        <rFont val="Noto Sans CJK SC"/>
        <family val="2"/>
      </rPr>
      <t xml:space="preserve">購置（</t>
    </r>
    <r>
      <rPr>
        <sz val="11"/>
        <color rgb="FF808080"/>
        <rFont val="Cambria"/>
        <family val="0"/>
        <charset val="1"/>
      </rPr>
      <t xml:space="preserve">Alphabet </t>
    </r>
    <r>
      <rPr>
        <sz val="11"/>
        <color rgb="FF808080"/>
        <rFont val="Noto Sans CJK SC"/>
        <family val="2"/>
      </rPr>
      <t xml:space="preserve">融資租賃極小，現金≈含租賃）</t>
    </r>
  </si>
  <si>
    <t xml:space="preserve">F#36</t>
  </si>
  <si>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資本支出</t>
    </r>
  </si>
  <si>
    <t xml:space="preserve">F#37</t>
  </si>
  <si>
    <r>
      <rPr>
        <sz val="11"/>
        <color rgb="FF808080"/>
        <rFont val="Noto Sans CJK SC"/>
        <family val="2"/>
      </rPr>
      <t xml:space="preserve">買回 </t>
    </r>
    <r>
      <rPr>
        <sz val="11"/>
        <color rgb="FF808080"/>
        <rFont val="Cambria"/>
        <family val="0"/>
        <charset val="1"/>
      </rPr>
      <t xml:space="preserve">62.222</t>
    </r>
    <r>
      <rPr>
        <sz val="11"/>
        <color rgb="FF808080"/>
        <rFont val="Noto Sans CJK SC"/>
        <family val="2"/>
      </rPr>
      <t xml:space="preserve">＋股利 </t>
    </r>
    <r>
      <rPr>
        <sz val="11"/>
        <color rgb="FF808080"/>
        <rFont val="Cambria"/>
        <family val="0"/>
        <charset val="1"/>
      </rPr>
      <t xml:space="preserve">7.363</t>
    </r>
  </si>
  <si>
    <t xml:space="preserve">F#38</t>
  </si>
  <si>
    <r>
      <rPr>
        <sz val="11"/>
        <color rgb="FF808080"/>
        <rFont val="Noto Sans CJK SC"/>
        <family val="2"/>
      </rPr>
      <t xml:space="preserve">發行債務總額（還款 </t>
    </r>
    <r>
      <rPr>
        <sz val="11"/>
        <color rgb="FF808080"/>
        <rFont val="Cambria"/>
        <family val="0"/>
        <charset val="1"/>
      </rPr>
      <t xml:space="preserve">12.701</t>
    </r>
    <r>
      <rPr>
        <sz val="11"/>
        <color rgb="FF808080"/>
        <rFont val="Noto Sans CJK SC"/>
        <family val="2"/>
      </rPr>
      <t xml:space="preserve">；淨 </t>
    </r>
    <r>
      <rPr>
        <sz val="11"/>
        <color rgb="FF808080"/>
        <rFont val="Cambria"/>
        <family val="0"/>
        <charset val="1"/>
      </rPr>
      <t xml:space="preserve">0.888</t>
    </r>
    <r>
      <rPr>
        <sz val="11"/>
        <color rgb="FF808080"/>
        <rFont val="Noto Sans CJK SC"/>
        <family val="2"/>
      </rPr>
      <t xml:space="preserve">）</t>
    </r>
  </si>
  <si>
    <t xml:space="preserve">F#39</t>
  </si>
  <si>
    <r>
      <rPr>
        <sz val="11"/>
        <color theme="1"/>
        <rFont val="Calibri"/>
        <family val="2"/>
        <charset val="1"/>
      </rPr>
      <t xml:space="preserve">Form 10-K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alphabet/data/alphabet_facts_20261008.json</t>
    </r>
    <r>
      <rPr>
        <sz val="11"/>
        <color theme="1"/>
        <rFont val="Noto Sans CJK SC"/>
        <family val="2"/>
      </rPr>
      <t xml:space="preserve">）</t>
    </r>
  </si>
  <si>
    <t xml:space="preserve">F#40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</si>
  <si>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購置（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融資租賃極小，現金≈含租賃）</t>
    </r>
  </si>
  <si>
    <t xml:space="preserve">F#41</t>
  </si>
  <si>
    <r>
      <rPr>
        <sz val="11"/>
        <color theme="1"/>
        <rFont val="Calibri"/>
        <family val="2"/>
        <charset val="1"/>
      </rPr>
      <t xml:space="preserve">OCF − </t>
    </r>
    <r>
      <rPr>
        <sz val="11"/>
        <color theme="1"/>
        <rFont val="Noto Sans CJK SC"/>
        <family val="2"/>
      </rPr>
      <t xml:space="preserve">資本支出</t>
    </r>
  </si>
  <si>
    <t xml:space="preserve">F#42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</si>
  <si>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45.709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10.049</t>
    </r>
  </si>
  <si>
    <t xml:space="preserve">F#43</t>
  </si>
  <si>
    <r>
      <rPr>
        <sz val="11"/>
        <color theme="1"/>
        <rFont val="Noto Sans CJK SC"/>
        <family val="2"/>
      </rPr>
      <t xml:space="preserve">發行債務總額（還款 </t>
    </r>
    <r>
      <rPr>
        <sz val="11"/>
        <color theme="1"/>
        <rFont val="Calibri"/>
        <family val="2"/>
        <charset val="1"/>
      </rPr>
      <t xml:space="preserve">32.427</t>
    </r>
    <r>
      <rPr>
        <sz val="11"/>
        <color theme="1"/>
        <rFont val="Noto Sans CJK SC"/>
        <family val="2"/>
      </rPr>
      <t xml:space="preserve">；淨 </t>
    </r>
    <r>
      <rPr>
        <sz val="11"/>
        <color theme="1"/>
        <rFont val="Calibri"/>
        <family val="2"/>
        <charset val="1"/>
      </rPr>
      <t xml:space="preserve">32.137</t>
    </r>
    <r>
      <rPr>
        <sz val="11"/>
        <color theme="1"/>
        <rFont val="Noto Sans CJK SC"/>
        <family val="2"/>
      </rPr>
      <t xml:space="preserve">）</t>
    </r>
  </si>
  <si>
    <t xml:space="preserve">F#44</t>
  </si>
  <si>
    <r>
      <rPr>
        <sz val="11"/>
        <color theme="1"/>
        <rFont val="Calibri"/>
        <family val="2"/>
        <charset val="1"/>
      </rPr>
      <t xml:space="preserve">Q1 45.790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39.069</t>
    </r>
  </si>
  <si>
    <r>
      <rPr>
        <sz val="11"/>
        <color theme="1"/>
        <rFont val="Calibri"/>
        <family val="2"/>
        <charset val="1"/>
      </rPr>
      <t xml:space="preserve">2026Q1–Q2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99.1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同檔）</t>
    </r>
  </si>
  <si>
    <t xml:space="preserve">https://www.sec.gov/Archives/edgar/data/1652044/000165204426000066/googexhibit991q22026.htm</t>
  </si>
  <si>
    <t xml:space="preserve">F#45</t>
  </si>
  <si>
    <r>
      <rPr>
        <sz val="11"/>
        <color theme="1"/>
        <rFont val="Calibri"/>
        <family val="2"/>
        <charset val="1"/>
      </rPr>
      <t xml:space="preserve">Q1 35.674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44.924</t>
    </r>
  </si>
  <si>
    <t xml:space="preserve">F#46</t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</si>
  <si>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單季 −</t>
    </r>
    <r>
      <rPr>
        <sz val="11"/>
        <color theme="1"/>
        <rFont val="Calibri"/>
        <family val="2"/>
        <charset val="1"/>
      </rPr>
      <t xml:space="preserve">5.855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TTM 53.3</t>
    </r>
  </si>
  <si>
    <t xml:space="preserve">F#47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</si>
  <si>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）＋股利 </t>
    </r>
    <r>
      <rPr>
        <sz val="11"/>
        <color theme="1"/>
        <rFont val="Calibri"/>
        <family val="2"/>
        <charset val="1"/>
      </rPr>
      <t xml:space="preserve">5.231</t>
    </r>
    <r>
      <rPr>
        <sz val="11"/>
        <color theme="1"/>
        <rFont val="Noto Sans CJK SC"/>
        <family val="2"/>
      </rPr>
      <t xml:space="preserve">；十年買回中斷</t>
    </r>
  </si>
  <si>
    <t xml:space="preserve">F#48</t>
  </si>
  <si>
    <r>
      <rPr>
        <sz val="11"/>
        <color rgb="FF808080"/>
        <rFont val="Cambria"/>
        <family val="0"/>
        <charset val="1"/>
      </rPr>
      <t xml:space="preserve">Q1 USD20B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4.80%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15 </t>
    </r>
    <r>
      <rPr>
        <sz val="11"/>
        <color rgb="FF808080"/>
        <rFont val="Noto Sans CJK SC"/>
        <family val="2"/>
      </rPr>
      <t xml:space="preserve">年）、</t>
    </r>
    <r>
      <rPr>
        <sz val="11"/>
        <color rgb="FF808080"/>
        <rFont val="Cambria"/>
        <family val="0"/>
        <charset val="1"/>
      </rPr>
      <t xml:space="preserve">GBP5.5B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CHF3.1B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Q2 EUR9.0B </t>
    </r>
    <r>
      <rPr>
        <sz val="11"/>
        <color rgb="FF808080"/>
        <rFont val="Noto Sans CJK SC"/>
        <family val="2"/>
      </rPr>
      <t xml:space="preserve">等</t>
    </r>
  </si>
  <si>
    <r>
      <rPr>
        <sz val="11"/>
        <color rgb="FF808080"/>
        <rFont val="Cambria"/>
        <family val="0"/>
        <charset val="1"/>
      </rPr>
      <t xml:space="preserve">Alphabet 10-Q 2026Q2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debt.iss.2026h1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</si>
  <si>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https://www.sec.gov/Archives/edgar/data/1652044/000165204426000071/goog-20260630.htm</t>
  </si>
  <si>
    <r>
      <rPr>
        <sz val="11"/>
        <color theme="1"/>
        <rFont val="Calibri"/>
        <family val="2"/>
        <charset val="1"/>
      </rPr>
      <t xml:space="preserve">Alphabet 8-K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FWP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debt.iss.202608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</si>
  <si>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https://www.sec.gov/Archives/edgar/data/1652044/000119312526342390/d171253d8k.htm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</si>
  <si>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段更正：依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票面利率 </t>
    </r>
    <r>
      <rPr>
        <sz val="11"/>
        <color theme="1"/>
        <rFont val="Calibri"/>
        <family val="2"/>
        <charset val="1"/>
      </rPr>
      <t xml:space="preserve">2066 6.500%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2046 6.250%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2036 5.450%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csv </t>
    </r>
    <r>
      <rPr>
        <sz val="11"/>
        <color theme="1"/>
        <rFont val="Noto Sans CJK SC"/>
        <family val="2"/>
      </rPr>
      <t xml:space="preserve">原寫 </t>
    </r>
    <r>
      <rPr>
        <sz val="11"/>
        <color theme="1"/>
        <rFont val="Calibri"/>
        <family val="2"/>
        <charset val="1"/>
      </rPr>
      <t xml:space="preserve">6.283%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5.52% </t>
    </r>
    <r>
      <rPr>
        <sz val="11"/>
        <color theme="1"/>
        <rFont val="Noto Sans CJK SC"/>
        <family val="2"/>
      </rPr>
      <t xml:space="preserve">可能為殖利率）</t>
    </r>
  </si>
  <si>
    <t xml:space="preserve">F#50</t>
  </si>
  <si>
    <r>
      <rPr>
        <sz val="11"/>
        <color rgb="FF808080"/>
        <rFont val="Noto Sans CJK SC"/>
        <family val="2"/>
      </rPr>
      <t xml:space="preserve">票面借款 </t>
    </r>
    <r>
      <rPr>
        <sz val="11"/>
        <color rgb="FF808080"/>
        <rFont val="Cambria"/>
        <family val="0"/>
        <charset val="1"/>
      </rPr>
      <t xml:space="preserve">49.085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2025-12</t>
    </r>
    <r>
      <rPr>
        <sz val="11"/>
        <color rgb="FF808080"/>
        <rFont val="Noto Sans CJK SC"/>
        <family val="2"/>
      </rPr>
      <t xml:space="preserve">）→ </t>
    </r>
    <r>
      <rPr>
        <sz val="11"/>
        <color rgb="FF808080"/>
        <rFont val="Cambria"/>
        <family val="0"/>
        <charset val="1"/>
      </rPr>
      <t xml:space="preserve">101.085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</si>
  <si>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Alphabet 10-K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10-Q</t>
    </r>
  </si>
  <si>
    <t xml:space="preserve">F#51</t>
  </si>
  <si>
    <t xml:space="preserve">2026-06-02</t>
  </si>
  <si>
    <r>
      <rPr>
        <sz val="11"/>
        <color theme="1"/>
        <rFont val="Noto Sans CJK SC"/>
        <family val="2"/>
      </rPr>
      <t xml:space="preserve">普通股 </t>
    </r>
    <r>
      <rPr>
        <sz val="11"/>
        <color theme="1"/>
        <rFont val="Calibri"/>
        <family val="2"/>
        <charset val="1"/>
      </rPr>
      <t xml:space="preserve">18.0</t>
    </r>
    <r>
      <rPr>
        <sz val="11"/>
        <color theme="1"/>
        <rFont val="Noto Sans CJK SC"/>
        <family val="2"/>
      </rPr>
      <t xml:space="preserve">＋強制轉換特別股 </t>
    </r>
    <r>
      <rPr>
        <sz val="11"/>
        <color theme="1"/>
        <rFont val="Calibri"/>
        <family val="2"/>
        <charset val="1"/>
      </rPr>
      <t xml:space="preserve">16.75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6.25%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轉換）＋</t>
    </r>
    <r>
      <rPr>
        <sz val="11"/>
        <color theme="1"/>
        <rFont val="Calibri"/>
        <family val="2"/>
        <charset val="1"/>
      </rPr>
      <t xml:space="preserve">Berkshire </t>
    </r>
    <r>
      <rPr>
        <sz val="11"/>
        <color theme="1"/>
        <rFont val="Noto Sans CJK SC"/>
        <family val="2"/>
      </rPr>
      <t xml:space="preserve">私募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ATM </t>
    </r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起）；用途含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</si>
  <si>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Alphabet 8-K 99.2 </t>
    </r>
    <r>
      <rPr>
        <sz val="11"/>
        <color theme="1"/>
        <rFont val="Noto Sans CJK SC"/>
        <family val="2"/>
      </rPr>
      <t xml:space="preserve">定價新聞稿</t>
    </r>
  </si>
  <si>
    <t xml:space="preserve">https://www.sec.gov/Archives/edgar/data/0001652044/000119312526257724/d83560dex992.htm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</si>
  <si>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段更正：刪除『美國史上最大股權發行』（</t>
    </r>
    <r>
      <rPr>
        <sz val="11"/>
        <color theme="1"/>
        <rFont val="Calibri"/>
        <family val="2"/>
        <charset val="1"/>
      </rPr>
      <t xml:space="preserve">8-K Ex.99.2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Bloomberg Law </t>
    </r>
    <r>
      <rPr>
        <sz val="11"/>
        <color theme="1"/>
        <rFont val="Noto Sans CJK SC"/>
        <family val="2"/>
      </rPr>
      <t xml:space="preserve">皆無）</t>
    </r>
  </si>
  <si>
    <t xml:space="preserve">F#52</t>
  </si>
  <si>
    <r>
      <rPr>
        <sz val="11"/>
        <color theme="1"/>
        <rFont val="Noto Sans CJK SC"/>
        <family val="2"/>
      </rPr>
      <t xml:space="preserve">尚未起租租賃；</t>
    </r>
    <r>
      <rPr>
        <sz val="11"/>
        <color theme="1"/>
        <rFont val="Calibri"/>
        <family val="2"/>
        <charset val="1"/>
      </rPr>
      <t xml:space="preserve">2026–2031 </t>
    </r>
    <r>
      <rPr>
        <sz val="11"/>
        <color theme="1"/>
        <rFont val="Noto Sans CJK SC"/>
        <family val="2"/>
      </rPr>
      <t xml:space="preserve">起租、</t>
    </r>
    <r>
      <rPr>
        <sz val="11"/>
        <color theme="1"/>
        <rFont val="Calibri"/>
        <family val="2"/>
        <charset val="1"/>
      </rPr>
      <t xml:space="preserve">1–26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58.5</t>
    </r>
  </si>
  <si>
    <t xml:space="preserve">Alphabet 10-Q 2026Q2</t>
  </si>
  <si>
    <t xml:space="preserve">F#53</t>
  </si>
  <si>
    <r>
      <rPr>
        <sz val="11"/>
        <color rgb="FF808080"/>
        <rFont val="Noto Sans CJK SC"/>
        <family val="2"/>
      </rPr>
      <t xml:space="preserve">營業租賃負債（加權 </t>
    </r>
    <r>
      <rPr>
        <sz val="11"/>
        <color rgb="FF808080"/>
        <rFont val="Cambria"/>
        <family val="0"/>
        <charset val="1"/>
      </rPr>
      <t xml:space="preserve">8.4 </t>
    </r>
    <r>
      <rPr>
        <sz val="11"/>
        <color rgb="FF808080"/>
        <rFont val="Noto Sans CJK SC"/>
        <family val="2"/>
      </rPr>
      <t xml:space="preserve">年、</t>
    </r>
    <r>
      <rPr>
        <sz val="11"/>
        <color rgb="FF808080"/>
        <rFont val="Cambria"/>
        <family val="0"/>
        <charset val="1"/>
      </rPr>
      <t xml:space="preserve">3.8%</t>
    </r>
    <r>
      <rPr>
        <sz val="11"/>
        <color rgb="FF808080"/>
        <rFont val="Noto Sans CJK SC"/>
        <family val="2"/>
      </rPr>
      <t xml:space="preserve">）</t>
    </r>
  </si>
  <si>
    <t xml:space="preserve">F#54</t>
  </si>
  <si>
    <r>
      <rPr>
        <sz val="11"/>
        <color rgb="FF808080"/>
        <rFont val="Noto Sans CJK SC"/>
        <family val="2"/>
      </rPr>
      <t xml:space="preserve">採購承諾 </t>
    </r>
    <r>
      <rPr>
        <sz val="11"/>
        <color rgb="FF808080"/>
        <rFont val="Cambria"/>
        <family val="0"/>
        <charset val="1"/>
      </rPr>
      <t xml:space="preserve">811</t>
    </r>
    <r>
      <rPr>
        <sz val="11"/>
        <color rgb="FF808080"/>
        <rFont val="Noto Sans CJK SC"/>
        <family val="2"/>
      </rPr>
      <t xml:space="preserve">（長期保證 </t>
    </r>
    <r>
      <rPr>
        <sz val="11"/>
        <color rgb="FF808080"/>
        <rFont val="Cambria"/>
        <family val="0"/>
        <charset val="1"/>
      </rPr>
      <t xml:space="preserve">707</t>
    </r>
    <r>
      <rPr>
        <sz val="11"/>
        <color rgb="FF808080"/>
        <rFont val="Noto Sans CJK SC"/>
        <family val="2"/>
      </rPr>
      <t xml:space="preserve">，多為長期供應協議）</t>
    </r>
  </si>
  <si>
    <r>
      <rPr>
        <sz val="11"/>
        <color theme="1"/>
        <rFont val="Calibri"/>
        <family val="2"/>
        <charset val="1"/>
      </rPr>
      <t xml:space="preserve">W.Media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Alphabet 2026 capex guidance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法說）</t>
    </r>
  </si>
  <si>
    <t xml:space="preserve">https://w.media/ai-infrastructure-demand-pushes-alphabets-2026-capex-guidance-to-us-205-billion/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</si>
  <si>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段更正：出處改為 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W.Media</t>
    </r>
    <r>
      <rPr>
        <sz val="11"/>
        <color theme="1"/>
        <rFont val="Noto Sans CJK SC"/>
        <family val="2"/>
      </rPr>
      <t xml:space="preserve">），新聞稿無資本支出指引</t>
    </r>
  </si>
  <si>
    <t xml:space="preserve">F#56</t>
  </si>
  <si>
    <t xml:space="preserve">2026-04-24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</si>
  <si>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：即時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（估值 </t>
    </r>
    <r>
      <rPr>
        <sz val="11"/>
        <color theme="1"/>
        <rFont val="Calibri"/>
        <family val="2"/>
        <charset val="1"/>
      </rPr>
      <t xml:space="preserve">350</t>
    </r>
    <r>
      <rPr>
        <sz val="11"/>
        <color theme="1"/>
        <rFont val="Noto Sans CJK SC"/>
        <family val="2"/>
      </rPr>
      <t xml:space="preserve">）＋績效條件 </t>
    </r>
    <r>
      <rPr>
        <sz val="11"/>
        <color theme="1"/>
        <rFont val="Calibri"/>
        <family val="2"/>
        <charset val="1"/>
      </rPr>
      <t xml:space="preserve">30</t>
    </r>
  </si>
  <si>
    <t xml:space="preserve">TechCrunch</t>
  </si>
  <si>
    <t xml:space="preserve">https://techcrunch.com/2026/04/24/google-to-invest-up-to-40b-in-anthropic-in-cash-and-compute/</t>
  </si>
  <si>
    <t xml:space="preserve">F#57</t>
  </si>
  <si>
    <r>
      <rPr>
        <sz val="11"/>
        <color rgb="FF808080"/>
        <rFont val="Noto Sans CJK SC"/>
        <family val="2"/>
      </rPr>
      <t xml:space="preserve">非上市權益證券帳面（主要為 </t>
    </r>
    <r>
      <rPr>
        <sz val="11"/>
        <color rgb="FF808080"/>
        <rFont val="Cambria"/>
        <family val="0"/>
        <charset val="1"/>
      </rPr>
      <t xml:space="preserve">Anthropic</t>
    </r>
    <r>
      <rPr>
        <sz val="11"/>
        <color rgb="FF808080"/>
        <rFont val="Noto Sans CJK SC"/>
        <family val="2"/>
      </rPr>
      <t xml:space="preserve">）；成本 </t>
    </r>
    <r>
      <rPr>
        <sz val="11"/>
        <color rgb="FF808080"/>
        <rFont val="Cambria"/>
        <family val="0"/>
        <charset val="1"/>
      </rPr>
      <t xml:space="preserve">47.6</t>
    </r>
    <r>
      <rPr>
        <sz val="11"/>
        <color rgb="FF808080"/>
        <rFont val="Noto Sans CJK SC"/>
        <family val="2"/>
      </rPr>
      <t xml:space="preserve">、累計上調 </t>
    </r>
    <r>
      <rPr>
        <sz val="11"/>
        <color rgb="FF808080"/>
        <rFont val="Cambria"/>
        <family val="0"/>
        <charset val="1"/>
      </rPr>
      <t xml:space="preserve">85.7</t>
    </r>
  </si>
  <si>
    <r>
      <rPr>
        <sz val="11"/>
        <color rgb="FF808080"/>
        <rFont val="Cambria"/>
        <family val="0"/>
        <charset val="1"/>
      </rPr>
      <t xml:space="preserve">Alphabet 10-Q 2026Q2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rp.anthropic.carrying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</si>
  <si>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Channel Insider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</si>
  <si>
    <t xml:space="preserve">https://www.channelinsider.com/infrastructure/news-google-anthropic-tpu-financing-network/</t>
  </si>
  <si>
    <t xml:space="preserve">F#59</t>
  </si>
  <si>
    <r>
      <rPr>
        <sz val="11"/>
        <color rgb="FF808080"/>
        <rFont val="Cambria"/>
        <family val="0"/>
        <charset val="1"/>
      </rPr>
      <t xml:space="preserve">Form 10-K FY2025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amazon/data/amazon_facts_20261008.json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</si>
  <si>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https://www.sec.gov/Archives/edgar/data/1018724/000101872426000004/amzn-20251231.htm</t>
  </si>
  <si>
    <t xml:space="preserve">F#60</t>
  </si>
  <si>
    <r>
      <rPr>
        <sz val="11"/>
        <color rgb="FF808080"/>
        <rFont val="Noto Sans CJK SC"/>
        <family val="2"/>
      </rPr>
      <t xml:space="preserve">資本支出淨額（購置 </t>
    </r>
    <r>
      <rPr>
        <sz val="11"/>
        <color rgb="FF808080"/>
        <rFont val="Cambria"/>
        <family val="0"/>
        <charset val="1"/>
      </rPr>
      <t xml:space="preserve">82.999 − </t>
    </r>
    <r>
      <rPr>
        <sz val="11"/>
        <color rgb="FF808080"/>
        <rFont val="Noto Sans CJK SC"/>
        <family val="2"/>
      </rPr>
      <t xml:space="preserve">出售與獎勵）</t>
    </r>
  </si>
  <si>
    <t xml:space="preserve">F#61</t>
  </si>
  <si>
    <r>
      <rPr>
        <sz val="11"/>
        <color rgb="FF808080"/>
        <rFont val="Noto Sans CJK SC"/>
        <family val="2"/>
      </rPr>
      <t xml:space="preserve">淨額＋融資租賃取得 </t>
    </r>
    <r>
      <rPr>
        <sz val="11"/>
        <color rgb="FF808080"/>
        <rFont val="Cambria"/>
        <family val="0"/>
        <charset val="1"/>
      </rPr>
      <t xml:space="preserve">PP&amp;E 0.854</t>
    </r>
    <r>
      <rPr>
        <sz val="11"/>
        <color rgb="FF808080"/>
        <rFont val="Noto Sans CJK SC"/>
        <family val="2"/>
      </rPr>
      <t xml:space="preserve">（融資租賃本金償還 </t>
    </r>
    <r>
      <rPr>
        <sz val="11"/>
        <color rgb="FF808080"/>
        <rFont val="Cambria"/>
        <family val="0"/>
        <charset val="1"/>
      </rPr>
      <t xml:space="preserve">2.043</t>
    </r>
    <r>
      <rPr>
        <sz val="11"/>
        <color rgb="FF808080"/>
        <rFont val="Noto Sans CJK SC"/>
        <family val="2"/>
      </rPr>
      <t xml:space="preserve">）</t>
    </r>
  </si>
  <si>
    <t xml:space="preserve">F#62</t>
  </si>
  <si>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資本支出淨額（新聞稿 </t>
    </r>
    <r>
      <rPr>
        <sz val="11"/>
        <color rgb="FF808080"/>
        <rFont val="Cambria"/>
        <family val="0"/>
        <charset val="1"/>
      </rPr>
      <t xml:space="preserve">TTM FCF </t>
    </r>
    <r>
      <rPr>
        <sz val="11"/>
        <color rgb="FF808080"/>
        <rFont val="Noto Sans CJK SC"/>
        <family val="2"/>
      </rPr>
      <t xml:space="preserve">一致）</t>
    </r>
  </si>
  <si>
    <t xml:space="preserve">F#63</t>
  </si>
  <si>
    <r>
      <rPr>
        <sz val="11"/>
        <color rgb="FF808080"/>
        <rFont val="Cambria"/>
        <family val="0"/>
        <charset val="1"/>
      </rPr>
      <t xml:space="preserve">2023–2025 </t>
    </r>
    <r>
      <rPr>
        <sz val="11"/>
        <color rgb="FF808080"/>
        <rFont val="Noto Sans CJK SC"/>
        <family val="2"/>
      </rPr>
      <t xml:space="preserve">無買回、無股利</t>
    </r>
  </si>
  <si>
    <t xml:space="preserve">F#64</t>
  </si>
  <si>
    <r>
      <rPr>
        <sz val="11"/>
        <color theme="1"/>
        <rFont val="Calibri"/>
        <family val="2"/>
        <charset val="1"/>
      </rPr>
      <t xml:space="preserve">Form 10-K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amazon/data/amazon_facts_20261008.json</t>
    </r>
    <r>
      <rPr>
        <sz val="11"/>
        <color theme="1"/>
        <rFont val="Noto Sans CJK SC"/>
        <family val="2"/>
      </rPr>
      <t xml:space="preserve">）</t>
    </r>
  </si>
  <si>
    <t xml:space="preserve">F#65</t>
  </si>
  <si>
    <r>
      <rPr>
        <sz val="11"/>
        <color theme="1"/>
        <rFont val="Noto Sans CJK SC"/>
        <family val="2"/>
      </rPr>
      <t xml:space="preserve">資本支出淨額（購置 </t>
    </r>
    <r>
      <rPr>
        <sz val="11"/>
        <color theme="1"/>
        <rFont val="Calibri"/>
        <family val="2"/>
        <charset val="1"/>
      </rPr>
      <t xml:space="preserve">131.819 − </t>
    </r>
    <r>
      <rPr>
        <sz val="11"/>
        <color theme="1"/>
        <rFont val="Noto Sans CJK SC"/>
        <family val="2"/>
      </rPr>
      <t xml:space="preserve">出售與獎勵）</t>
    </r>
  </si>
  <si>
    <t xml:space="preserve">F#66</t>
  </si>
  <si>
    <r>
      <rPr>
        <sz val="11"/>
        <color theme="1"/>
        <rFont val="Noto Sans CJK SC"/>
        <family val="2"/>
      </rPr>
      <t xml:space="preserve">淨額＋融資租賃取得 </t>
    </r>
    <r>
      <rPr>
        <sz val="11"/>
        <color theme="1"/>
        <rFont val="Calibri"/>
        <family val="2"/>
        <charset val="1"/>
      </rPr>
      <t xml:space="preserve">PP&amp;E 2.911</t>
    </r>
    <r>
      <rPr>
        <sz val="11"/>
        <color theme="1"/>
        <rFont val="Noto Sans CJK SC"/>
        <family val="2"/>
      </rPr>
      <t xml:space="preserve">（融資租賃本金償還 </t>
    </r>
    <r>
      <rPr>
        <sz val="11"/>
        <color theme="1"/>
        <rFont val="Calibri"/>
        <family val="2"/>
        <charset val="1"/>
      </rPr>
      <t xml:space="preserve">1.557</t>
    </r>
    <r>
      <rPr>
        <sz val="11"/>
        <color theme="1"/>
        <rFont val="Noto Sans CJK SC"/>
        <family val="2"/>
      </rPr>
      <t xml:space="preserve">）</t>
    </r>
  </si>
  <si>
    <t xml:space="preserve">F#67</t>
  </si>
  <si>
    <r>
      <rPr>
        <sz val="11"/>
        <color theme="1"/>
        <rFont val="Calibri"/>
        <family val="2"/>
        <charset val="1"/>
      </rPr>
      <t xml:space="preserve">OCF − </t>
    </r>
    <r>
      <rPr>
        <sz val="11"/>
        <color theme="1"/>
        <rFont val="Noto Sans CJK SC"/>
        <family val="2"/>
      </rPr>
      <t xml:space="preserve">資本支出淨額（新聞稿 </t>
    </r>
    <r>
      <rPr>
        <sz val="11"/>
        <color theme="1"/>
        <rFont val="Calibri"/>
        <family val="2"/>
        <charset val="1"/>
      </rPr>
      <t xml:space="preserve">TTM FCF </t>
    </r>
    <r>
      <rPr>
        <sz val="11"/>
        <color theme="1"/>
        <rFont val="Noto Sans CJK SC"/>
        <family val="2"/>
      </rPr>
      <t xml:space="preserve">一致）</t>
    </r>
  </si>
  <si>
    <t xml:space="preserve">F#68</t>
  </si>
  <si>
    <r>
      <rPr>
        <sz val="11"/>
        <color theme="1"/>
        <rFont val="Calibri"/>
        <family val="2"/>
        <charset val="1"/>
      </rPr>
      <t xml:space="preserve">2023–2025 </t>
    </r>
    <r>
      <rPr>
        <sz val="11"/>
        <color theme="1"/>
        <rFont val="Noto Sans CJK SC"/>
        <family val="2"/>
      </rPr>
      <t xml:space="preserve">無買回、無股利</t>
    </r>
  </si>
  <si>
    <t xml:space="preserve">F#69</t>
  </si>
  <si>
    <r>
      <rPr>
        <sz val="11"/>
        <color theme="1"/>
        <rFont val="Calibri"/>
        <family val="2"/>
        <charset val="1"/>
      </rPr>
      <t xml:space="preserve">Q1 26.032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45.387</t>
    </r>
  </si>
  <si>
    <r>
      <rPr>
        <sz val="11"/>
        <color theme="1"/>
        <rFont val="Calibri"/>
        <family val="2"/>
        <charset val="1"/>
      </rPr>
      <t xml:space="preserve">2026Q1–Q2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 99.1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同檔）</t>
    </r>
  </si>
  <si>
    <t xml:space="preserve">https://www.sec.gov/Archives/edgar/data/1018724/000101872426000024/amzn-20260630xex991.htm</t>
  </si>
  <si>
    <t xml:space="preserve">F#70</t>
  </si>
  <si>
    <r>
      <rPr>
        <sz val="11"/>
        <color theme="1"/>
        <rFont val="Noto Sans CJK SC"/>
        <family val="2"/>
      </rPr>
      <t xml:space="preserve">資本支出淨額 </t>
    </r>
    <r>
      <rPr>
        <sz val="11"/>
        <color theme="1"/>
        <rFont val="Calibri"/>
        <family val="2"/>
        <charset val="1"/>
      </rPr>
      <t xml:space="preserve">Q1 43.234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53.076</t>
    </r>
  </si>
  <si>
    <t xml:space="preserve">F#71</t>
  </si>
  <si>
    <r>
      <rPr>
        <sz val="11"/>
        <color theme="1"/>
        <rFont val="Noto Sans CJK SC"/>
        <family val="2"/>
      </rPr>
      <t xml:space="preserve">融資租賃取得 </t>
    </r>
    <r>
      <rPr>
        <sz val="11"/>
        <color theme="1"/>
        <rFont val="Calibri"/>
        <family val="2"/>
        <charset val="1"/>
      </rPr>
      <t xml:space="preserve">PP&amp;E Q1 1.565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0.563</t>
    </r>
  </si>
  <si>
    <t xml:space="preserve">F#72</t>
  </si>
  <si>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為 −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Noto Sans CJK SC"/>
        <family val="2"/>
      </rPr>
      <t xml:space="preserve">，首次轉負</t>
    </r>
  </si>
  <si>
    <t xml:space="preserve">F#73</t>
  </si>
  <si>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年以來首筆美元債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</si>
  <si>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）</t>
    </r>
  </si>
  <si>
    <t xml:space="preserve">https://finance.yahoo.com/news/amazon-seeks-raise-12-billion-143134394.html</t>
  </si>
  <si>
    <t xml:space="preserve">F#74</t>
  </si>
  <si>
    <t xml:space="preserve">2026-03</t>
  </si>
  <si>
    <r>
      <rPr>
        <sz val="11"/>
        <color theme="1"/>
        <rFont val="Calibri"/>
        <family val="2"/>
        <charset val="1"/>
      </rPr>
      <t xml:space="preserve">USD 37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EUR 14.5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檔；史上最大公司債</t>
    </r>
  </si>
  <si>
    <t xml:space="preserve">IFR</t>
  </si>
  <si>
    <t xml:space="preserve">https://www.ifre.com/bonds/2397565/amazon-makes-market-history-with-largest-corporate-bond-sale-ever</t>
  </si>
  <si>
    <r>
      <rPr>
        <sz val="11"/>
        <color theme="1"/>
        <rFont val="Calibri"/>
        <family val="2"/>
        <charset val="1"/>
      </rPr>
      <t xml:space="preserve">TNW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</si>
  <si>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https://thenextweb.com/news/amazon-25-billion-bond-sale-ai</t>
  </si>
  <si>
    <t xml:space="preserve">F#76</t>
  </si>
  <si>
    <r>
      <rPr>
        <sz val="11"/>
        <color rgb="FF808080"/>
        <rFont val="Noto Sans CJK SC"/>
        <family val="2"/>
      </rPr>
      <t xml:space="preserve">票面借款 </t>
    </r>
    <r>
      <rPr>
        <sz val="11"/>
        <color rgb="FF808080"/>
        <rFont val="Cambria"/>
        <family val="0"/>
        <charset val="1"/>
      </rPr>
      <t xml:space="preserve">68.836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2025-12</t>
    </r>
    <r>
      <rPr>
        <sz val="11"/>
        <color rgb="FF808080"/>
        <rFont val="Noto Sans CJK SC"/>
        <family val="2"/>
      </rPr>
      <t xml:space="preserve">）→ </t>
    </r>
    <r>
      <rPr>
        <sz val="11"/>
        <color rgb="FF808080"/>
        <rFont val="Cambria"/>
        <family val="0"/>
        <charset val="1"/>
      </rPr>
      <t xml:space="preserve">132.995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</si>
  <si>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Amazon 10-K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10-Q</t>
    </r>
  </si>
  <si>
    <t xml:space="preserve">https://www.sec.gov/Archives/edgar/data/1018724/000101872426000026/amzn-20260630.htm</t>
  </si>
  <si>
    <t xml:space="preserve">F#77</t>
  </si>
  <si>
    <r>
      <rPr>
        <sz val="11"/>
        <color theme="1"/>
        <rFont val="Noto Sans CJK SC"/>
        <family val="2"/>
      </rPr>
      <t xml:space="preserve">尚未起租租賃（承諾表；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96.4</t>
    </r>
    <r>
      <rPr>
        <sz val="11"/>
        <color theme="1"/>
        <rFont val="Noto Sans CJK SC"/>
        <family val="2"/>
      </rPr>
      <t xml:space="preserve">）</t>
    </r>
  </si>
  <si>
    <t xml:space="preserve">Amazon 10-Q 2026Q2</t>
  </si>
  <si>
    <t xml:space="preserve">F#78</t>
  </si>
  <si>
    <t xml:space="preserve">營業租賃負債現值</t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</si>
  <si>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Amazon Q2 Earnings Call Highlights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Jassy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</si>
  <si>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https://www.marketbeat.com/instant-alerts/amazoncom-q2-earnings-call-highlights-2026-07-30/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</si>
  <si>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段更正：出處改為 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摘要），新聞稿無資本支出展望</t>
    </r>
  </si>
  <si>
    <r>
      <rPr>
        <sz val="11"/>
        <color theme="1"/>
        <rFont val="Calibri"/>
        <family val="2"/>
        <charset val="1"/>
      </rPr>
      <t xml:space="preserve">Amazon 10-Q 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rel.oai.invested</t>
    </r>
    <r>
      <rPr>
        <sz val="11"/>
        <color theme="1"/>
        <rFont val="Noto Sans CJK SC"/>
        <family val="2"/>
      </rPr>
      <t xml:space="preserve">）</t>
    </r>
  </si>
  <si>
    <t xml:space="preserve">F#81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</si>
  <si>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（可轉債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 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 5</t>
    </r>
    <r>
      <rPr>
        <sz val="11"/>
        <color theme="1"/>
        <rFont val="Noto Sans CJK SC"/>
        <family val="2"/>
      </rPr>
      <t xml:space="preserve">）；剩餘額度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依算力交付里程碑；可轉債公允價值 </t>
    </r>
    <r>
      <rPr>
        <sz val="11"/>
        <color theme="1"/>
        <rFont val="Calibri"/>
        <family val="2"/>
        <charset val="1"/>
      </rPr>
      <t xml:space="preserve">97.9</t>
    </r>
  </si>
  <si>
    <r>
      <rPr>
        <sz val="11"/>
        <color theme="1"/>
        <rFont val="Calibri"/>
        <family val="2"/>
        <charset val="1"/>
      </rPr>
      <t xml:space="preserve">Amazon 10-Q 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anthropic/data/anthropic_src.yaml SRC_ANT_317–326</t>
    </r>
    <r>
      <rPr>
        <sz val="11"/>
        <color theme="1"/>
        <rFont val="Noto Sans CJK SC"/>
        <family val="2"/>
      </rPr>
      <t xml:space="preserve">）</t>
    </r>
  </si>
  <si>
    <t xml:space="preserve">F#82</t>
  </si>
  <si>
    <r>
      <rPr>
        <sz val="11"/>
        <color rgb="FF808080"/>
        <rFont val="Cambria"/>
        <family val="0"/>
        <charset val="1"/>
      </rPr>
      <t xml:space="preserve">Meta Q4 2025 </t>
    </r>
    <r>
      <rPr>
        <sz val="11"/>
        <color rgb="FF808080"/>
        <rFont val="Noto Sans CJK SC"/>
        <family val="2"/>
      </rPr>
      <t xml:space="preserve">財報新聞稿（</t>
    </r>
    <r>
      <rPr>
        <sz val="11"/>
        <color rgb="FF808080"/>
        <rFont val="Cambria"/>
        <family val="0"/>
        <charset val="1"/>
      </rPr>
      <t xml:space="preserve">8-K 99.1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</si>
  <si>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https://www.sec.gov/Archives/edgar/data/1326801/000162828026003832/meta-12312025xexhibit991.htm</t>
  </si>
  <si>
    <t xml:space="preserve">F#83</t>
  </si>
  <si>
    <r>
      <rPr>
        <sz val="11"/>
        <color rgb="FF808080"/>
        <rFont val="Cambria"/>
        <family val="0"/>
        <charset val="1"/>
      </rPr>
      <t xml:space="preserve">PP&amp;E </t>
    </r>
    <r>
      <rPr>
        <sz val="11"/>
        <color rgb="FF808080"/>
        <rFont val="Noto Sans CJK SC"/>
        <family val="2"/>
      </rPr>
      <t xml:space="preserve">購置</t>
    </r>
  </si>
  <si>
    <t xml:space="preserve">F#84</t>
  </si>
  <si>
    <r>
      <rPr>
        <sz val="11"/>
        <color rgb="FF808080"/>
        <rFont val="Cambria"/>
        <family val="0"/>
        <charset val="1"/>
      </rPr>
      <t xml:space="preserve">PP&amp;E</t>
    </r>
    <r>
      <rPr>
        <sz val="11"/>
        <color rgb="FF808080"/>
        <rFont val="Noto Sans CJK SC"/>
        <family val="2"/>
      </rPr>
      <t xml:space="preserve">＋融資租賃本金 </t>
    </r>
    <r>
      <rPr>
        <sz val="11"/>
        <color rgb="FF808080"/>
        <rFont val="Cambria"/>
        <family val="0"/>
        <charset val="1"/>
      </rPr>
      <t xml:space="preserve">1.969</t>
    </r>
    <r>
      <rPr>
        <sz val="11"/>
        <color rgb="FF808080"/>
        <rFont val="Noto Sans CJK SC"/>
        <family val="2"/>
      </rPr>
      <t xml:space="preserve">（公司資本支出口徑）</t>
    </r>
  </si>
  <si>
    <t xml:space="preserve">F#85</t>
  </si>
  <si>
    <r>
      <rPr>
        <sz val="11"/>
        <color rgb="FF808080"/>
        <rFont val="Noto Sans CJK SC"/>
        <family val="2"/>
      </rPr>
      <t xml:space="preserve">公司 </t>
    </r>
    <r>
      <rPr>
        <sz val="11"/>
        <color rgb="FF808080"/>
        <rFont val="Cambria"/>
        <family val="0"/>
        <charset val="1"/>
      </rPr>
      <t xml:space="preserve">FCF </t>
    </r>
    <r>
      <rPr>
        <sz val="11"/>
        <color rgb="FF808080"/>
        <rFont val="Noto Sans CJK SC"/>
        <family val="2"/>
      </rPr>
      <t xml:space="preserve">定義（扣融資租賃本金）</t>
    </r>
  </si>
  <si>
    <t xml:space="preserve">F#86</t>
  </si>
  <si>
    <r>
      <rPr>
        <sz val="11"/>
        <color rgb="FF808080"/>
        <rFont val="Noto Sans CJK SC"/>
        <family val="2"/>
      </rPr>
      <t xml:space="preserve">買回 </t>
    </r>
    <r>
      <rPr>
        <sz val="11"/>
        <color rgb="FF808080"/>
        <rFont val="Cambria"/>
        <family val="0"/>
        <charset val="1"/>
      </rPr>
      <t xml:space="preserve">30.125</t>
    </r>
    <r>
      <rPr>
        <sz val="11"/>
        <color rgb="FF808080"/>
        <rFont val="Noto Sans CJK SC"/>
        <family val="2"/>
      </rPr>
      <t xml:space="preserve">＋股利 </t>
    </r>
    <r>
      <rPr>
        <sz val="11"/>
        <color rgb="FF808080"/>
        <rFont val="Cambria"/>
        <family val="0"/>
        <charset val="1"/>
      </rPr>
      <t xml:space="preserve">5.072</t>
    </r>
  </si>
  <si>
    <t xml:space="preserve">F#87</t>
  </si>
  <si>
    <r>
      <rPr>
        <sz val="11"/>
        <color theme="1"/>
        <rFont val="Calibri"/>
        <family val="2"/>
        <charset val="1"/>
      </rPr>
      <t xml:space="preserve">Meta Q4 2025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99.1</t>
    </r>
    <r>
      <rPr>
        <sz val="11"/>
        <color theme="1"/>
        <rFont val="Noto Sans CJK SC"/>
        <family val="2"/>
      </rPr>
      <t xml:space="preserve">）</t>
    </r>
  </si>
  <si>
    <t xml:space="preserve">F#88</t>
  </si>
  <si>
    <t xml:space="preserve">F#89</t>
  </si>
  <si>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＋融資租賃本金 </t>
    </r>
    <r>
      <rPr>
        <sz val="11"/>
        <color theme="1"/>
        <rFont val="Calibri"/>
        <family val="2"/>
        <charset val="1"/>
      </rPr>
      <t xml:space="preserve">2.524</t>
    </r>
    <r>
      <rPr>
        <sz val="11"/>
        <color theme="1"/>
        <rFont val="Noto Sans CJK SC"/>
        <family val="2"/>
      </rPr>
      <t xml:space="preserve">（公司資本支出口徑）</t>
    </r>
  </si>
  <si>
    <t xml:space="preserve">F#90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</si>
  <si>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定義（扣融資租賃本金）</t>
    </r>
  </si>
  <si>
    <t xml:space="preserve">F#91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</si>
  <si>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26.248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5.324</t>
    </r>
  </si>
  <si>
    <t xml:space="preserve">F#92</t>
  </si>
  <si>
    <t xml:space="preserve">前三季</t>
  </si>
  <si>
    <t xml:space="preserve">Meta Form 10-Q 2026Q3</t>
  </si>
  <si>
    <t xml:space="preserve">https://www.sec.gov/Archives/edgar/data/0001326801/000162828026066773/meta-20260930.htm</t>
  </si>
  <si>
    <t xml:space="preserve">F#93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</si>
  <si>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</t>
    </r>
  </si>
  <si>
    <t xml:space="preserve">F#94</t>
  </si>
  <si>
    <r>
      <rPr>
        <sz val="11"/>
        <color theme="1"/>
        <rFont val="Noto Sans CJK SC"/>
        <family val="2"/>
      </rPr>
      <t xml:space="preserve">＋融資租賃本金 </t>
    </r>
    <r>
      <rPr>
        <sz val="11"/>
        <color theme="1"/>
        <rFont val="Calibri"/>
        <family val="2"/>
        <charset val="1"/>
      </rPr>
      <t xml:space="preserve">2.769</t>
    </r>
  </si>
  <si>
    <t xml:space="preserve">F#95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</si>
  <si>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−</t>
    </r>
    <r>
      <rPr>
        <sz val="11"/>
        <color theme="1"/>
        <rFont val="Calibri"/>
        <family val="2"/>
        <charset val="1"/>
      </rPr>
      <t xml:space="preserve">2.12</t>
    </r>
    <r>
      <rPr>
        <sz val="11"/>
        <color theme="1"/>
        <rFont val="Noto Sans CJK SC"/>
        <family val="2"/>
      </rPr>
      <t xml:space="preserve">（首次轉負）</t>
    </r>
  </si>
  <si>
    <t xml:space="preserve">F#96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</si>
  <si>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同期 </t>
    </r>
    <r>
      <rPr>
        <sz val="11"/>
        <color theme="1"/>
        <rFont val="Calibri"/>
        <family val="2"/>
        <charset val="1"/>
      </rPr>
      <t xml:space="preserve">26.2</t>
    </r>
    <r>
      <rPr>
        <sz val="11"/>
        <color theme="1"/>
        <rFont val="Noto Sans CJK SC"/>
        <family val="2"/>
      </rPr>
      <t xml:space="preserve">）＋股利 </t>
    </r>
    <r>
      <rPr>
        <sz val="11"/>
        <color theme="1"/>
        <rFont val="Calibri"/>
        <family val="2"/>
        <charset val="1"/>
      </rPr>
      <t xml:space="preserve">4.06</t>
    </r>
  </si>
  <si>
    <r>
      <rPr>
        <sz val="11"/>
        <color theme="1"/>
        <rFont val="Calibri"/>
        <family val="2"/>
        <charset val="1"/>
      </rPr>
      <t xml:space="preserve">Meta Q3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FWP</t>
    </r>
  </si>
  <si>
    <t xml:space="preserve">https://www.sec.gov/Archives/edgar/data/0001326801/000119312526431036/d116268dfwp.htm</t>
  </si>
  <si>
    <t xml:space="preserve">F#98</t>
  </si>
  <si>
    <t xml:space="preserve">2025-10-30</t>
  </si>
  <si>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檔：</t>
    </r>
    <r>
      <rPr>
        <sz val="11"/>
        <color theme="1"/>
        <rFont val="Calibri"/>
        <family val="2"/>
        <charset val="1"/>
      </rPr>
      <t xml:space="preserve">5y 4.20%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7y 4.60%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10y 4.875%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20y 5.50%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30y 5.625%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40y 5.75%</t>
    </r>
    <r>
      <rPr>
        <sz val="11"/>
        <color theme="1"/>
        <rFont val="Noto Sans CJK SC"/>
        <family val="2"/>
      </rPr>
      <t xml:space="preserve">；訂單約 </t>
    </r>
    <r>
      <rPr>
        <sz val="11"/>
        <color theme="1"/>
        <rFont val="Calibri"/>
        <family val="2"/>
        <charset val="1"/>
      </rPr>
      <t xml:space="preserve">125</t>
    </r>
  </si>
  <si>
    <t xml:space="preserve">https://www.ifre.com/ifr-awards/2330993/us-bond-meta-platforms-us30bn-six-tranche-bond</t>
  </si>
  <si>
    <t xml:space="preserve">F#99</t>
  </si>
  <si>
    <t xml:space="preserve">2026-04-30</t>
  </si>
  <si>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檔固定利率；利差高於 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；峰值訂單 </t>
    </r>
    <r>
      <rPr>
        <sz val="11"/>
        <color theme="1"/>
        <rFont val="Calibri"/>
        <family val="2"/>
        <charset val="1"/>
      </rPr>
      <t xml:space="preserve">96</t>
    </r>
  </si>
  <si>
    <r>
      <rPr>
        <sz val="11"/>
        <color theme="1"/>
        <rFont val="Calibri"/>
        <family val="2"/>
        <charset val="1"/>
      </rPr>
      <t xml:space="preserve">Meta 10-Q 2026Q3</t>
    </r>
    <r>
      <rPr>
        <sz val="11"/>
        <color theme="1"/>
        <rFont val="Noto Sans CJK SC"/>
        <family val="2"/>
      </rPr>
      <t xml:space="preserve">（另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</si>
  <si>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段更正：定價 </t>
    </r>
    <r>
      <rPr>
        <sz val="11"/>
        <color theme="1"/>
        <rFont val="Calibri"/>
        <family val="2"/>
        <charset val="1"/>
      </rPr>
      <t xml:space="preserve">4/30</t>
    </r>
    <r>
      <rPr>
        <sz val="11"/>
        <color theme="1"/>
        <rFont val="Noto Sans CJK SC"/>
        <family val="2"/>
      </rPr>
      <t xml:space="preserve">、交割 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</si>
  <si>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t xml:space="preserve">F#100</t>
  </si>
  <si>
    <r>
      <rPr>
        <sz val="11"/>
        <color theme="1"/>
        <rFont val="Noto Sans CJK SC"/>
        <family val="2"/>
      </rPr>
      <t xml:space="preserve">長期借款 </t>
    </r>
    <r>
      <rPr>
        <sz val="11"/>
        <color theme="1"/>
        <rFont val="Calibri"/>
        <family val="2"/>
        <charset val="1"/>
      </rPr>
      <t xml:space="preserve">58.744 → 80.922</t>
    </r>
    <r>
      <rPr>
        <sz val="11"/>
        <color theme="1"/>
        <rFont val="Noto Sans CJK SC"/>
        <family val="2"/>
      </rPr>
      <t xml:space="preserve">；現金與有價證券約 </t>
    </r>
    <r>
      <rPr>
        <sz val="11"/>
        <color theme="1"/>
        <rFont val="Calibri"/>
        <family val="2"/>
        <charset val="1"/>
      </rPr>
      <t xml:space="preserve">82</t>
    </r>
    <r>
      <rPr>
        <sz val="11"/>
        <color theme="1"/>
        <rFont val="Noto Sans CJK SC"/>
        <family val="2"/>
      </rPr>
      <t xml:space="preserve">，淨現金約 </t>
    </r>
    <r>
      <rPr>
        <sz val="11"/>
        <color theme="1"/>
        <rFont val="Calibri"/>
        <family val="2"/>
        <charset val="1"/>
      </rPr>
      <t xml:space="preserve">0</t>
    </r>
  </si>
  <si>
    <t xml:space="preserve">F#101</t>
  </si>
  <si>
    <t xml:space="preserve">2025-10-16</t>
  </si>
  <si>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Louisiana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Beignet </t>
    </r>
    <r>
      <rPr>
        <sz val="11"/>
        <color theme="1"/>
        <rFont val="Noto Sans CJK SC"/>
        <family val="2"/>
      </rPr>
      <t xml:space="preserve">債 </t>
    </r>
    <r>
      <rPr>
        <sz val="11"/>
        <color theme="1"/>
        <rFont val="Calibri"/>
        <family val="2"/>
        <charset val="1"/>
      </rPr>
      <t xml:space="preserve">27.3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6.581%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2049</t>
    </r>
    <r>
      <rPr>
        <sz val="11"/>
        <color theme="1"/>
        <rFont val="Noto Sans CJK SC"/>
        <family val="2"/>
      </rPr>
      <t xml:space="preserve">、攤還、</t>
    </r>
    <r>
      <rPr>
        <sz val="11"/>
        <color theme="1"/>
        <rFont val="Calibri"/>
        <family val="2"/>
        <charset val="1"/>
      </rPr>
      <t xml:space="preserve">A+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；股本約 </t>
    </r>
    <r>
      <rPr>
        <sz val="11"/>
        <color theme="1"/>
        <rFont val="Calibri"/>
        <family val="2"/>
        <charset val="1"/>
      </rPr>
      <t xml:space="preserve">2.5</t>
    </r>
  </si>
  <si>
    <t xml:space="preserve">https://www.ifre.com/ifr-awards/2327933/financing-package-blue-owl-capitalbeignet-investors-us27.3bn-23.6-year-bond</t>
  </si>
  <si>
    <t xml:space="preserve">F#102</t>
  </si>
  <si>
    <r>
      <rPr>
        <sz val="11"/>
        <color theme="1"/>
        <rFont val="Calibri"/>
        <family val="2"/>
        <charset val="1"/>
      </rPr>
      <t xml:space="preserve">El Paso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Texas</t>
    </r>
    <r>
      <rPr>
        <sz val="11"/>
        <color theme="1"/>
        <rFont val="Noto Sans CJK SC"/>
        <family val="2"/>
      </rPr>
      <t xml:space="preserve">）總成本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BlackRock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GIP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出資約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、債 </t>
    </r>
    <r>
      <rPr>
        <sz val="11"/>
        <color theme="1"/>
        <rFont val="Calibri"/>
        <family val="2"/>
        <charset val="1"/>
      </rPr>
      <t xml:space="preserve">12.3–12.5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A+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AA-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（土地與在建約 </t>
    </r>
    <r>
      <rPr>
        <sz val="11"/>
        <color theme="1"/>
        <rFont val="Calibri"/>
        <family val="2"/>
        <charset val="1"/>
      </rPr>
      <t xml:space="preserve">2.3</t>
    </r>
    <r>
      <rPr>
        <sz val="11"/>
        <color theme="1"/>
        <rFont val="Noto Sans CJK SC"/>
        <family val="2"/>
      </rPr>
      <t xml:space="preserve">，另收 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分配）</t>
    </r>
  </si>
  <si>
    <t xml:space="preserve">W.Media</t>
  </si>
  <si>
    <t xml:space="preserve">https://w.media/meta-hands-blackrock-majority-stake-in-1-gw-el-paso-data-center/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</si>
  <si>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段更正：債 </t>
    </r>
    <r>
      <rPr>
        <sz val="11"/>
        <color theme="1"/>
        <rFont val="Calibri"/>
        <family val="2"/>
        <charset val="1"/>
      </rPr>
      <t xml:space="preserve">12.5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12.3</t>
    </r>
    <r>
      <rPr>
        <sz val="11"/>
        <color theme="1"/>
        <rFont val="Noto Sans CJK SC"/>
        <family val="2"/>
      </rPr>
      <t xml:space="preserve">）；評等 </t>
    </r>
    <r>
      <rPr>
        <sz val="11"/>
        <color theme="1"/>
        <rFont val="Calibri"/>
        <family val="2"/>
        <charset val="1"/>
      </rPr>
      <t xml:space="preserve">A+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AA- </t>
    </r>
    <r>
      <rPr>
        <sz val="11"/>
        <color theme="1"/>
        <rFont val="Noto Sans CJK SC"/>
        <family val="2"/>
      </rPr>
      <t xml:space="preserve">不在主來源</t>
    </r>
  </si>
  <si>
    <t xml:space="preserve">F#103</t>
  </si>
  <si>
    <t xml:space="preserve">2026-09-30</t>
  </si>
  <si>
    <t xml:space="preserve">jv_exposure</t>
  </si>
  <si>
    <r>
      <rPr>
        <sz val="11"/>
        <color theme="1"/>
        <rFont val="Noto Sans CJK SC"/>
        <family val="2"/>
      </rPr>
      <t xml:space="preserve">兩合資（未合併 </t>
    </r>
    <r>
      <rPr>
        <sz val="11"/>
        <color theme="1"/>
        <rFont val="Calibri"/>
        <family val="2"/>
        <charset val="1"/>
      </rPr>
      <t xml:space="preserve">VIE</t>
    </r>
    <r>
      <rPr>
        <sz val="11"/>
        <color theme="1"/>
        <rFont val="Noto Sans CJK SC"/>
        <family val="2"/>
      </rPr>
      <t xml:space="preserve">）最大損失曝險：權益 </t>
    </r>
    <r>
      <rPr>
        <sz val="11"/>
        <color theme="1"/>
        <rFont val="Calibri"/>
        <family val="2"/>
        <charset val="1"/>
      </rPr>
      <t xml:space="preserve">4.732</t>
    </r>
    <r>
      <rPr>
        <sz val="11"/>
        <color theme="1"/>
        <rFont val="Noto Sans CJK SC"/>
        <family val="2"/>
      </rPr>
      <t xml:space="preserve">＋租約 </t>
    </r>
    <r>
      <rPr>
        <sz val="11"/>
        <color theme="1"/>
        <rFont val="Calibri"/>
        <family val="2"/>
        <charset val="1"/>
      </rPr>
      <t xml:space="preserve">18.476</t>
    </r>
    <r>
      <rPr>
        <sz val="11"/>
        <color theme="1"/>
        <rFont val="Noto Sans CJK SC"/>
        <family val="2"/>
      </rPr>
      <t xml:space="preserve">＋未來出資 </t>
    </r>
    <r>
      <rPr>
        <sz val="11"/>
        <color theme="1"/>
        <rFont val="Calibri"/>
        <family val="2"/>
        <charset val="1"/>
      </rPr>
      <t xml:space="preserve">3.703</t>
    </r>
    <r>
      <rPr>
        <sz val="11"/>
        <color theme="1"/>
        <rFont val="Noto Sans CJK SC"/>
        <family val="2"/>
      </rPr>
      <t xml:space="preserve">＋殘值保證 </t>
    </r>
    <r>
      <rPr>
        <sz val="11"/>
        <color theme="1"/>
        <rFont val="Calibri"/>
        <family val="2"/>
        <charset val="1"/>
      </rPr>
      <t xml:space="preserve">41.493</t>
    </r>
  </si>
  <si>
    <t xml:space="preserve">F#104</t>
  </si>
  <si>
    <r>
      <rPr>
        <sz val="11"/>
        <color theme="1"/>
        <rFont val="Noto Sans CJK SC"/>
        <family val="2"/>
      </rPr>
      <t xml:space="preserve">尚未起租（營業＋融資）；</t>
    </r>
    <r>
      <rPr>
        <sz val="11"/>
        <color theme="1"/>
        <rFont val="Calibri"/>
        <family val="2"/>
        <charset val="1"/>
      </rPr>
      <t xml:space="preserve">2026–2036 </t>
    </r>
    <r>
      <rPr>
        <sz val="11"/>
        <color theme="1"/>
        <rFont val="Noto Sans CJK SC"/>
        <family val="2"/>
      </rPr>
      <t xml:space="preserve">起租、</t>
    </r>
    <r>
      <rPr>
        <sz val="11"/>
        <color theme="1"/>
        <rFont val="Calibri"/>
        <family val="2"/>
        <charset val="1"/>
      </rPr>
      <t xml:space="preserve">1–30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Texas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Louisiana 2029 </t>
    </r>
    <r>
      <rPr>
        <sz val="11"/>
        <color theme="1"/>
        <rFont val="Noto Sans CJK SC"/>
        <family val="2"/>
      </rPr>
      <t xml:space="preserve">起租</t>
    </r>
  </si>
  <si>
    <t xml:space="preserve">F#105</t>
  </si>
  <si>
    <r>
      <rPr>
        <sz val="11"/>
        <color theme="1"/>
        <rFont val="Noto Sans CJK SC"/>
        <family val="2"/>
      </rPr>
      <t xml:space="preserve">不可取消合約承諾（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剩餘 </t>
    </r>
    <r>
      <rPr>
        <sz val="11"/>
        <color theme="1"/>
        <rFont val="Calibri"/>
        <family val="2"/>
        <charset val="1"/>
      </rPr>
      <t xml:space="preserve">45.85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2027 121.41</t>
    </r>
    <r>
      <rPr>
        <sz val="11"/>
        <color theme="1"/>
        <rFont val="Noto Sans CJK SC"/>
        <family val="2"/>
      </rPr>
      <t xml:space="preserve">）；另或有雲端容量採購最多 </t>
    </r>
    <r>
      <rPr>
        <sz val="11"/>
        <color theme="1"/>
        <rFont val="Calibri"/>
        <family val="2"/>
        <charset val="1"/>
      </rPr>
      <t xml:space="preserve">14.72</t>
    </r>
  </si>
  <si>
    <r>
      <rPr>
        <sz val="11"/>
        <color theme="1"/>
        <rFont val="Calibri"/>
        <family val="2"/>
        <charset val="1"/>
      </rPr>
      <t xml:space="preserve">Meta FWP </t>
    </r>
    <r>
      <rPr>
        <sz val="11"/>
        <color theme="1"/>
        <rFont val="Noto Sans CJK SC"/>
        <family val="2"/>
      </rPr>
      <t xml:space="preserve">定價條款</t>
    </r>
  </si>
  <si>
    <t xml:space="preserve">https://www.sec.gov/Archives/edgar/data/0001326801/000119312526432549/d382225dfwp.htm</t>
  </si>
  <si>
    <t xml:space="preserve">F#108</t>
  </si>
  <si>
    <r>
      <rPr>
        <sz val="11"/>
        <color rgb="FF808080"/>
        <rFont val="Noto Sans CJK SC"/>
        <family val="2"/>
      </rPr>
      <t xml:space="preserve">營運現金流；財年 </t>
    </r>
    <r>
      <rPr>
        <sz val="11"/>
        <color rgb="FF808080"/>
        <rFont val="Cambria"/>
        <family val="0"/>
        <charset val="1"/>
      </rPr>
      <t xml:space="preserve">6/1–5/31</t>
    </r>
  </si>
  <si>
    <r>
      <rPr>
        <sz val="11"/>
        <color rgb="FF808080"/>
        <rFont val="Cambria"/>
        <family val="0"/>
        <charset val="1"/>
      </rPr>
      <t xml:space="preserve">Oracle 10-K FY2026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oracle/data/oracle_facts_20261007.json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</si>
  <si>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https://www.sec.gov/Archives/edgar/data/1341439/000119312526277521/orcl-20260531.htm</t>
  </si>
  <si>
    <t xml:space="preserve">F#109</t>
  </si>
  <si>
    <t xml:space="preserve">資本支出（現金）</t>
  </si>
  <si>
    <t xml:space="preserve">F#110</t>
  </si>
  <si>
    <t xml:space="preserve">F#111</t>
  </si>
  <si>
    <r>
      <rPr>
        <sz val="11"/>
        <color rgb="FF808080"/>
        <rFont val="Noto Sans CJK SC"/>
        <family val="2"/>
      </rPr>
      <t xml:space="preserve">股利 </t>
    </r>
    <r>
      <rPr>
        <sz val="11"/>
        <color rgb="FF808080"/>
        <rFont val="Cambria"/>
        <family val="0"/>
        <charset val="1"/>
      </rPr>
      <t xml:space="preserve">4.391</t>
    </r>
    <r>
      <rPr>
        <sz val="11"/>
        <color rgb="FF808080"/>
        <rFont val="Noto Sans CJK SC"/>
        <family val="2"/>
      </rPr>
      <t xml:space="preserve">＋買回 </t>
    </r>
    <r>
      <rPr>
        <sz val="11"/>
        <color rgb="FF808080"/>
        <rFont val="Cambria"/>
        <family val="0"/>
        <charset val="1"/>
      </rPr>
      <t xml:space="preserve">1.202</t>
    </r>
  </si>
  <si>
    <t xml:space="preserve">F#112</t>
  </si>
  <si>
    <t xml:space="preserve">F#113</t>
  </si>
  <si>
    <t xml:space="preserve">F#114</t>
  </si>
  <si>
    <t xml:space="preserve">F#115</t>
  </si>
  <si>
    <r>
      <rPr>
        <sz val="11"/>
        <color rgb="FF808080"/>
        <rFont val="Noto Sans CJK SC"/>
        <family val="2"/>
      </rPr>
      <t xml:space="preserve">股利 </t>
    </r>
    <r>
      <rPr>
        <sz val="11"/>
        <color rgb="FF808080"/>
        <rFont val="Cambria"/>
        <family val="0"/>
        <charset val="1"/>
      </rPr>
      <t xml:space="preserve">4.743</t>
    </r>
    <r>
      <rPr>
        <sz val="11"/>
        <color rgb="FF808080"/>
        <rFont val="Noto Sans CJK SC"/>
        <family val="2"/>
      </rPr>
      <t xml:space="preserve">＋買回 </t>
    </r>
    <r>
      <rPr>
        <sz val="11"/>
        <color rgb="FF808080"/>
        <rFont val="Cambria"/>
        <family val="0"/>
        <charset val="1"/>
      </rPr>
      <t xml:space="preserve">0.6</t>
    </r>
  </si>
  <si>
    <t xml:space="preserve">F#116</t>
  </si>
  <si>
    <r>
      <rPr>
        <sz val="11"/>
        <color theme="1"/>
        <rFont val="Noto Sans CJK SC"/>
        <family val="2"/>
      </rPr>
      <t xml:space="preserve">營運現金流；財年 </t>
    </r>
    <r>
      <rPr>
        <sz val="11"/>
        <color theme="1"/>
        <rFont val="Calibri"/>
        <family val="2"/>
        <charset val="1"/>
      </rPr>
      <t xml:space="preserve">6/1–5/31</t>
    </r>
    <r>
      <rPr>
        <sz val="11"/>
        <color theme="1"/>
        <rFont val="Noto Sans CJK SC"/>
        <family val="2"/>
      </rPr>
      <t xml:space="preserve">；含客戶預付 </t>
    </r>
    <r>
      <rPr>
        <sz val="11"/>
        <color theme="1"/>
        <rFont val="Calibri"/>
        <family val="2"/>
        <charset val="1"/>
      </rPr>
      <t xml:space="preserve">4.592</t>
    </r>
  </si>
  <si>
    <r>
      <rPr>
        <sz val="11"/>
        <color theme="1"/>
        <rFont val="Calibri"/>
        <family val="2"/>
        <charset val="1"/>
      </rPr>
      <t xml:space="preserve">Oracle 10-K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oracle/data/oracle_facts_20261007.json</t>
    </r>
    <r>
      <rPr>
        <sz val="11"/>
        <color theme="1"/>
        <rFont val="Noto Sans CJK SC"/>
        <family val="2"/>
      </rPr>
      <t xml:space="preserve">）</t>
    </r>
  </si>
  <si>
    <t xml:space="preserve">F#117</t>
  </si>
  <si>
    <t xml:space="preserve">F#118</t>
  </si>
  <si>
    <t xml:space="preserve">F#119</t>
  </si>
  <si>
    <r>
      <rPr>
        <sz val="11"/>
        <color rgb="FF808080"/>
        <rFont val="Noto Sans CJK SC"/>
        <family val="2"/>
      </rPr>
      <t xml:space="preserve">股利 </t>
    </r>
    <r>
      <rPr>
        <sz val="11"/>
        <color rgb="FF808080"/>
        <rFont val="Cambria"/>
        <family val="0"/>
        <charset val="1"/>
      </rPr>
      <t xml:space="preserve">5.787</t>
    </r>
    <r>
      <rPr>
        <sz val="11"/>
        <color rgb="FF808080"/>
        <rFont val="Noto Sans CJK SC"/>
        <family val="2"/>
      </rPr>
      <t xml:space="preserve">＋買回 </t>
    </r>
    <r>
      <rPr>
        <sz val="11"/>
        <color rgb="FF808080"/>
        <rFont val="Cambria"/>
        <family val="0"/>
        <charset val="1"/>
      </rPr>
      <t xml:space="preserve">0.095</t>
    </r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</si>
  <si>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</si>
  <si>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https://www.sec.gov/Archives/edgar/data/1341439/000119312526387905/orcl-ex99_1.htm</t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</si>
  <si>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）</t>
    </r>
  </si>
  <si>
    <t xml:space="preserve">https://www.fool.com/earnings/call-transcripts/2026/09/11/oracle-orcl-q1-2027-earnings-call-transcript/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</si>
  <si>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段更正：出處改為 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not exceeding $70 billion</t>
    </r>
    <r>
      <rPr>
        <sz val="11"/>
        <color theme="1"/>
        <rFont val="Noto Sans CJK SC"/>
        <family val="2"/>
      </rPr>
      <t xml:space="preserve">」），非新聞稿；引述非原文</t>
    </r>
  </si>
  <si>
    <t xml:space="preserve">F#124</t>
  </si>
  <si>
    <r>
      <rPr>
        <sz val="11"/>
        <color theme="1"/>
        <rFont val="Calibri"/>
        <family val="2"/>
        <charset val="1"/>
      </rPr>
      <t xml:space="preserve">2025-09 18.0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檔）＋</t>
    </r>
    <r>
      <rPr>
        <sz val="11"/>
        <color theme="1"/>
        <rFont val="Calibri"/>
        <family val="2"/>
        <charset val="1"/>
      </rPr>
      <t xml:space="preserve">2026-02-04 25.0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檔；訂單 </t>
    </r>
    <r>
      <rPr>
        <sz val="11"/>
        <color theme="1"/>
        <rFont val="Calibri"/>
        <family val="2"/>
        <charset val="1"/>
      </rPr>
      <t xml:space="preserve">&gt;125</t>
    </r>
    <r>
      <rPr>
        <sz val="11"/>
        <color theme="1"/>
        <rFont val="Noto Sans CJK SC"/>
        <family val="2"/>
      </rPr>
      <t xml:space="preserve">）</t>
    </r>
  </si>
  <si>
    <t xml:space="preserve">F#125</t>
  </si>
  <si>
    <t xml:space="preserve">2026-05-31</t>
  </si>
  <si>
    <t xml:space="preserve">term_loan</t>
  </si>
  <si>
    <r>
      <rPr>
        <sz val="11"/>
        <color rgb="FF808080"/>
        <rFont val="Noto Sans CJK SC"/>
        <family val="2"/>
      </rPr>
      <t xml:space="preserve">定期貸款 </t>
    </r>
    <r>
      <rPr>
        <sz val="11"/>
        <color rgb="FF808080"/>
        <rFont val="Cambria"/>
        <family val="0"/>
        <charset val="1"/>
      </rPr>
      <t xml:space="preserve">SOFR+1.125–1.625%</t>
    </r>
    <r>
      <rPr>
        <sz val="11"/>
        <color rgb="FF808080"/>
        <rFont val="Noto Sans CJK SC"/>
        <family val="2"/>
      </rPr>
      <t xml:space="preserve">；另商業本票 </t>
    </r>
    <r>
      <rPr>
        <sz val="11"/>
        <color rgb="FF808080"/>
        <rFont val="Cambria"/>
        <family val="0"/>
        <charset val="1"/>
      </rPr>
      <t xml:space="preserve">1.468</t>
    </r>
    <r>
      <rPr>
        <sz val="11"/>
        <color rgb="FF808080"/>
        <rFont val="Noto Sans CJK SC"/>
        <family val="2"/>
      </rPr>
      <t xml:space="preserve">；循環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CJK SC"/>
        <family val="2"/>
      </rPr>
      <t xml:space="preserve">（未動用）</t>
    </r>
  </si>
  <si>
    <t xml:space="preserve">F#126</t>
  </si>
  <si>
    <t xml:space="preserve">2026-02</t>
  </si>
  <si>
    <r>
      <rPr>
        <sz val="11"/>
        <color theme="1"/>
        <rFont val="Noto Sans CJK SC"/>
        <family val="2"/>
      </rPr>
      <t xml:space="preserve">強制轉換特別股 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（年股利 </t>
    </r>
    <r>
      <rPr>
        <sz val="11"/>
        <color theme="1"/>
        <rFont val="Calibri"/>
        <family val="2"/>
        <charset val="1"/>
      </rPr>
      <t xml:space="preserve">6.5%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</si>
  <si>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IFR</t>
    </r>
  </si>
  <si>
    <t xml:space="preserve">https://www.ifre.com/bonds/2381048/us50bn-funding-blitz-shows-oracles-market-access-and-its-vulnerability</t>
  </si>
  <si>
    <r>
      <rPr>
        <sz val="11"/>
        <color theme="1"/>
        <rFont val="Calibri"/>
        <family val="2"/>
        <charset val="1"/>
      </rPr>
      <t xml:space="preserve">Oracle Q4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</si>
  <si>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https://www.sec.gov/Archives/edgar/data/1341439/000119312526265848/orcl-ex99_1.htm</t>
  </si>
  <si>
    <t xml:space="preserve">Oracle 10-Q FY27Q1</t>
  </si>
  <si>
    <t xml:space="preserve">https://www.sec.gov/Archives/edgar/data/1341439/000119312526389274/orcl-20260831.htm</t>
  </si>
  <si>
    <t xml:space="preserve">F#132</t>
  </si>
  <si>
    <t xml:space="preserve">2025-09</t>
  </si>
  <si>
    <r>
      <rPr>
        <sz val="11"/>
        <color theme="1"/>
        <rFont val="Calibri"/>
        <family val="2"/>
        <charset val="1"/>
      </rPr>
      <t xml:space="preserve">Vantage </t>
    </r>
    <r>
      <rPr>
        <sz val="11"/>
        <color theme="1"/>
        <rFont val="Noto Sans CJK SC"/>
        <family val="2"/>
      </rPr>
      <t xml:space="preserve">開發商債（德州 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Shackelford 23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Wisconsin Port Washington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JPM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MUFG</t>
    </r>
    <r>
      <rPr>
        <sz val="11"/>
        <color theme="1"/>
        <rFont val="Noto Sans CJK SC"/>
        <family val="2"/>
      </rPr>
      <t xml:space="preserve">；約 </t>
    </r>
    <r>
      <rPr>
        <sz val="11"/>
        <color theme="1"/>
        <rFont val="Calibri"/>
        <family val="2"/>
        <charset val="1"/>
      </rPr>
      <t xml:space="preserve">SOFR+250bp</t>
    </r>
    <r>
      <rPr>
        <sz val="11"/>
        <color theme="1"/>
        <rFont val="Noto Sans CJK SC"/>
        <family val="2"/>
      </rPr>
      <t xml:space="preserve">；承租 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、最終用戶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</si>
  <si>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知情人士</t>
    </r>
  </si>
  <si>
    <t xml:space="preserve">https://datacenterdynamics.com/en/news/jpmorgan-chase-and-mitsubishi-ufj-lead-38bn-debt-package-for-oracle-linked-data-centers-report/</t>
  </si>
  <si>
    <t xml:space="preserve">F#133</t>
  </si>
  <si>
    <t xml:space="preserve">2025-Q4</t>
  </si>
  <si>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 Mexico</t>
    </r>
    <r>
      <rPr>
        <sz val="11"/>
        <color theme="1"/>
        <rFont val="Noto Sans CJK SC"/>
        <family val="2"/>
      </rPr>
      <t xml:space="preserve">）銀團貸款約 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報價 </t>
    </r>
    <r>
      <rPr>
        <sz val="11"/>
        <color theme="1"/>
        <rFont val="Calibri"/>
        <family val="2"/>
        <charset val="1"/>
      </rPr>
      <t xml:space="preserve">89–91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 2026-09-24 </t>
    </r>
    <r>
      <rPr>
        <sz val="11"/>
        <color theme="1"/>
        <rFont val="Noto Sans CJK SC"/>
        <family val="2"/>
      </rPr>
      <t xml:space="preserve">發不可抗力通知</t>
    </r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</si>
  <si>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（記者報導）</t>
    </r>
  </si>
  <si>
    <r>
      <rPr>
        <sz val="11"/>
        <color theme="1"/>
        <rFont val="Calibri"/>
        <family val="2"/>
        <charset val="1"/>
      </rPr>
      <t xml:space="preserve">The Star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</si>
  <si>
    <t xml:space="preserve">https://www.thestar.com.my/tech/tech-news/2026/09/19/oracle039s-18-billion-data-center-debt-under-pressure-ft-reports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</si>
  <si>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段更正（承重）：不可抗力為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致 </t>
    </r>
    <r>
      <rPr>
        <sz val="11"/>
        <color theme="1"/>
        <rFont val="Calibri"/>
        <family val="2"/>
        <charset val="1"/>
      </rPr>
      <t xml:space="preserve">Blue Owl</t>
    </r>
    <r>
      <rPr>
        <sz val="11"/>
        <color theme="1"/>
        <rFont val="Noto Sans CJK SC"/>
        <family val="2"/>
      </rPr>
      <t xml:space="preserve">），通知日期不明；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Jupiter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remains on schedule</t>
    </r>
    <r>
      <rPr>
        <sz val="11"/>
        <color theme="1"/>
        <rFont val="Noto Sans CJK SC"/>
        <family val="2"/>
      </rPr>
      <t xml:space="preserve">」</t>
    </r>
  </si>
  <si>
    <t xml:space="preserve">F#134</t>
  </si>
  <si>
    <t xml:space="preserve">2025-05</t>
  </si>
  <si>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Blue Owl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Primary Digital</t>
    </r>
    <r>
      <rPr>
        <sz val="11"/>
        <color theme="1"/>
        <rFont val="Noto Sans CJK SC"/>
        <family val="2"/>
      </rPr>
      <t xml:space="preserve">）債＋股約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 </t>
    </r>
    <r>
      <rPr>
        <sz val="11"/>
        <color theme="1"/>
        <rFont val="Noto Sans CJK SC"/>
        <family val="2"/>
      </rPr>
      <t xml:space="preserve">兩筆貸款合計約 </t>
    </r>
    <r>
      <rPr>
        <sz val="11"/>
        <color theme="1"/>
        <rFont val="Calibri"/>
        <family val="2"/>
        <charset val="1"/>
      </rPr>
      <t xml:space="preserve">9.6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7.1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Oracle 15 </t>
    </r>
    <r>
      <rPr>
        <sz val="11"/>
        <color theme="1"/>
        <rFont val="Noto Sans CJK SC"/>
        <family val="2"/>
      </rPr>
      <t xml:space="preserve">年租約</t>
    </r>
  </si>
  <si>
    <r>
      <rPr>
        <sz val="11"/>
        <color theme="1"/>
        <rFont val="Calibri"/>
        <family val="2"/>
        <charset val="1"/>
      </rPr>
      <t xml:space="preserve">Spyglass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The Information</t>
    </r>
  </si>
  <si>
    <t xml:space="preserve">https://spyglass.org/the-stargate-data-center-layer-cake/</t>
  </si>
  <si>
    <t xml:space="preserve">F#135</t>
  </si>
  <si>
    <t xml:space="preserve">2025-12</t>
  </si>
  <si>
    <r>
      <rPr>
        <sz val="11"/>
        <color rgb="FF808080"/>
        <rFont val="Cambria"/>
        <family val="0"/>
        <charset val="1"/>
      </rPr>
      <t xml:space="preserve">Michigan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Saline</t>
    </r>
    <r>
      <rPr>
        <sz val="11"/>
        <color rgb="FF808080"/>
        <rFont val="Noto Sans CJK SC"/>
        <family val="2"/>
      </rPr>
      <t xml:space="preserve">）約 </t>
    </r>
    <r>
      <rPr>
        <sz val="11"/>
        <color rgb="FF808080"/>
        <rFont val="Cambria"/>
        <family val="0"/>
        <charset val="1"/>
      </rPr>
      <t xml:space="preserve">10 </t>
    </r>
    <r>
      <rPr>
        <sz val="11"/>
        <color rgb="FF808080"/>
        <rFont val="Noto Sans CJK SC"/>
        <family val="2"/>
      </rPr>
      <t xml:space="preserve">專案：</t>
    </r>
    <r>
      <rPr>
        <sz val="11"/>
        <color rgb="FF808080"/>
        <rFont val="Cambria"/>
        <family val="0"/>
        <charset val="1"/>
      </rPr>
      <t xml:space="preserve">Blue Owl </t>
    </r>
    <r>
      <rPr>
        <sz val="11"/>
        <color rgb="FF808080"/>
        <rFont val="Noto Sans CJK SC"/>
        <family val="2"/>
      </rPr>
      <t xml:space="preserve">退出出資（</t>
    </r>
    <r>
      <rPr>
        <sz val="11"/>
        <color rgb="FF808080"/>
        <rFont val="Cambria"/>
        <family val="0"/>
        <charset val="1"/>
      </rPr>
      <t xml:space="preserve">Oracle </t>
    </r>
    <r>
      <rPr>
        <sz val="11"/>
        <color rgb="FF808080"/>
        <rFont val="Noto Sans CJK SC"/>
        <family val="2"/>
      </rPr>
      <t xml:space="preserve">稱另覓夥伴）</t>
    </r>
  </si>
  <si>
    <r>
      <rPr>
        <sz val="11"/>
        <color rgb="FF808080"/>
        <rFont val="Cambria"/>
        <family val="0"/>
        <charset val="1"/>
      </rPr>
      <t xml:space="preserve">Capital Brief</t>
    </r>
    <r>
      <rPr>
        <sz val="11"/>
        <color rgb="FF808080"/>
        <rFont val="Noto Sans CJK SC"/>
        <family val="2"/>
      </rPr>
      <t xml:space="preserve">（僅標題）</t>
    </r>
  </si>
  <si>
    <t xml:space="preserve">https://www.capitalbrief.com/briefing/oracle-says-blue-owl-will-not-fund-its-usd10bn-michigan-data-centre-c1a39b26-076a-48b5-b704-51997664ac54/</t>
  </si>
  <si>
    <r>
      <rPr>
        <sz val="11"/>
        <color theme="1"/>
        <rFont val="Calibri"/>
        <family val="2"/>
        <charset val="1"/>
      </rPr>
      <t xml:space="preserve">PPC Land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報告轉述）</t>
    </r>
  </si>
  <si>
    <t xml:space="preserve">https://ppc.land/s-p-cuts-oracle-to-bbb-as-ai-buildout-widens-cash-deficit-to-42bn/</t>
  </si>
  <si>
    <t xml:space="preserve">F#137</t>
  </si>
  <si>
    <t xml:space="preserve">營運現金流（含客戶預付）</t>
  </si>
  <si>
    <r>
      <rPr>
        <sz val="11"/>
        <color theme="1"/>
        <rFont val="Calibri"/>
        <family val="2"/>
        <charset val="1"/>
      </rPr>
      <t xml:space="preserve">CoreWeave Q4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財報新聞稿</t>
    </r>
  </si>
  <si>
    <t xml:space="preserve">https://www.businesswire.com/news/home/20260226281661/en/CoreWeave-Reports-Strong-Fourth-Quarter-and-Fiscal-Year-2025-Results</t>
  </si>
  <si>
    <t xml:space="preserve">F#138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</si>
  <si>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購置（現金）；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應計口徑約 </t>
    </r>
    <r>
      <rPr>
        <sz val="11"/>
        <color theme="1"/>
        <rFont val="Calibri"/>
        <family val="2"/>
        <charset val="1"/>
      </rPr>
      <t xml:space="preserve">14.9</t>
    </r>
  </si>
  <si>
    <t xml:space="preserve">F#139</t>
  </si>
  <si>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現金資本支出</t>
    </r>
  </si>
  <si>
    <r>
      <rPr>
        <sz val="11"/>
        <color rgb="FF808080"/>
        <rFont val="Cambria"/>
        <family val="0"/>
        <charset val="1"/>
      </rPr>
      <t xml:space="preserve">CoreWeave Q4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FY2025 </t>
    </r>
    <r>
      <rPr>
        <sz val="11"/>
        <color rgb="FF808080"/>
        <rFont val="Noto Sans CJK SC"/>
        <family val="2"/>
      </rPr>
      <t xml:space="preserve">財報新聞稿</t>
    </r>
  </si>
  <si>
    <t xml:space="preserve">F#140</t>
  </si>
  <si>
    <r>
      <rPr>
        <sz val="11"/>
        <color theme="1"/>
        <rFont val="Noto Sans CJK SC"/>
        <family val="2"/>
      </rPr>
      <t xml:space="preserve">發債淨收入（多為 </t>
    </r>
    <r>
      <rPr>
        <sz val="11"/>
        <color theme="1"/>
        <rFont val="Calibri"/>
        <family val="2"/>
        <charset val="1"/>
      </rPr>
      <t xml:space="preserve">DDTL GPU </t>
    </r>
    <r>
      <rPr>
        <sz val="11"/>
        <color theme="1"/>
        <rFont val="Noto Sans CJK SC"/>
        <family val="2"/>
      </rPr>
      <t xml:space="preserve">擔保）；還款 </t>
    </r>
    <r>
      <rPr>
        <sz val="11"/>
        <color theme="1"/>
        <rFont val="Calibri"/>
        <family val="2"/>
        <charset val="1"/>
      </rPr>
      <t xml:space="preserve">0.589</t>
    </r>
  </si>
  <si>
    <t xml:space="preserve">F#141</t>
  </si>
  <si>
    <t xml:space="preserve">F#142</t>
  </si>
  <si>
    <t xml:space="preserve">F#143</t>
  </si>
  <si>
    <t xml:space="preserve">F#144</t>
  </si>
  <si>
    <r>
      <rPr>
        <sz val="11"/>
        <color theme="1"/>
        <rFont val="Noto Sans CJK SC"/>
        <family val="2"/>
      </rPr>
      <t xml:space="preserve">發債淨收入（多為 </t>
    </r>
    <r>
      <rPr>
        <sz val="11"/>
        <color theme="1"/>
        <rFont val="Calibri"/>
        <family val="2"/>
        <charset val="1"/>
      </rPr>
      <t xml:space="preserve">DDTL GPU </t>
    </r>
    <r>
      <rPr>
        <sz val="11"/>
        <color theme="1"/>
        <rFont val="Noto Sans CJK SC"/>
        <family val="2"/>
      </rPr>
      <t xml:space="preserve">擔保）；還款 </t>
    </r>
    <r>
      <rPr>
        <sz val="11"/>
        <color theme="1"/>
        <rFont val="Calibri"/>
        <family val="2"/>
        <charset val="1"/>
      </rPr>
      <t xml:space="preserve">3.399</t>
    </r>
  </si>
  <si>
    <t xml:space="preserve">F#145</t>
  </si>
  <si>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淨額（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</t>
    </r>
  </si>
  <si>
    <t xml:space="preserve">F#146</t>
  </si>
  <si>
    <t xml:space="preserve">2025-12-31</t>
  </si>
  <si>
    <r>
      <rPr>
        <sz val="11"/>
        <color theme="1"/>
        <rFont val="Noto Sans CJK SC"/>
        <family val="2"/>
      </rPr>
      <t xml:space="preserve">總借款 </t>
    </r>
    <r>
      <rPr>
        <sz val="11"/>
        <color theme="1"/>
        <rFont val="Calibri"/>
        <family val="2"/>
        <charset val="1"/>
      </rPr>
      <t xml:space="preserve">7.926 → 21.373</t>
    </r>
    <r>
      <rPr>
        <sz val="11"/>
        <color theme="1"/>
        <rFont val="Noto Sans CJK SC"/>
        <family val="2"/>
      </rPr>
      <t xml:space="preserve">（流動＋非流動）</t>
    </r>
  </si>
  <si>
    <t xml:space="preserve">F#147</t>
  </si>
  <si>
    <r>
      <rPr>
        <sz val="11"/>
        <color theme="1"/>
        <rFont val="Noto Sans CJK SC"/>
        <family val="2"/>
      </rPr>
      <t xml:space="preserve">含利息付現 </t>
    </r>
    <r>
      <rPr>
        <sz val="11"/>
        <color theme="1"/>
        <rFont val="Calibri"/>
        <family val="2"/>
        <charset val="1"/>
      </rPr>
      <t xml:space="preserve">0.806</t>
    </r>
    <r>
      <rPr>
        <sz val="11"/>
        <color theme="1"/>
        <rFont val="Noto Sans CJK SC"/>
        <family val="2"/>
      </rPr>
      <t xml:space="preserve">、預付 </t>
    </r>
    <r>
      <rPr>
        <sz val="11"/>
        <color theme="1"/>
        <rFont val="Calibri"/>
        <family val="2"/>
        <charset val="1"/>
      </rPr>
      <t xml:space="preserve">1.365</t>
    </r>
  </si>
  <si>
    <r>
      <rPr>
        <sz val="11"/>
        <color theme="1"/>
        <rFont val="Calibri"/>
        <family val="2"/>
        <charset val="1"/>
      </rPr>
      <t xml:space="preserve">coreweave/company.json ytdActual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2026Q2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</si>
  <si>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https://www.sec.gov/Archives/edgar/data/0001769628/000176962826000366/crwv-20260630.htm</t>
  </si>
  <si>
    <t xml:space="preserve">F#148</t>
  </si>
  <si>
    <r>
      <rPr>
        <sz val="11"/>
        <color theme="1"/>
        <rFont val="Noto Sans CJK SC"/>
        <family val="2"/>
      </rPr>
      <t xml:space="preserve">應計口徑 </t>
    </r>
    <r>
      <rPr>
        <sz val="11"/>
        <color theme="1"/>
        <rFont val="Calibri"/>
        <family val="2"/>
        <charset val="1"/>
      </rPr>
      <t xml:space="preserve">16.139</t>
    </r>
  </si>
  <si>
    <t xml:space="preserve">F#149</t>
  </si>
  <si>
    <r>
      <rPr>
        <sz val="11"/>
        <color rgb="FF808080"/>
        <rFont val="Cambria"/>
        <family val="0"/>
        <charset val="1"/>
      </rPr>
      <t xml:space="preserve">coreweave/company.json ytdActual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10-Q 2026Q2</t>
    </r>
    <r>
      <rPr>
        <sz val="11"/>
        <color rgb="FF808080"/>
        <rFont val="Noto Sans CJK SC"/>
        <family val="2"/>
      </rPr>
      <t xml:space="preserve">）</t>
    </r>
  </si>
  <si>
    <t xml:space="preserve">F#150</t>
  </si>
  <si>
    <r>
      <rPr>
        <sz val="11"/>
        <color theme="1"/>
        <rFont val="Noto Sans CJK SC"/>
        <family val="2"/>
      </rPr>
      <t xml:space="preserve">籌資流入（</t>
    </r>
    <r>
      <rPr>
        <sz val="11"/>
        <color theme="1"/>
        <rFont val="Calibri"/>
        <family val="2"/>
        <charset val="1"/>
      </rPr>
      <t xml:space="preserve">DDTL 4.0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、優先票據、可轉債）；還款 </t>
    </r>
    <r>
      <rPr>
        <sz val="11"/>
        <color theme="1"/>
        <rFont val="Calibri"/>
        <family val="2"/>
        <charset val="1"/>
      </rPr>
      <t xml:space="preserve">5.219</t>
    </r>
  </si>
  <si>
    <t xml:space="preserve">F#151</t>
  </si>
  <si>
    <r>
      <rPr>
        <sz val="11"/>
        <color rgb="FF808080"/>
        <rFont val="Cambria"/>
        <family val="0"/>
        <charset val="1"/>
      </rPr>
      <t xml:space="preserve">DDTL 4.0 </t>
    </r>
    <r>
      <rPr>
        <sz val="11"/>
        <color rgb="FF808080"/>
        <rFont val="Noto Sans CJK SC"/>
        <family val="2"/>
      </rPr>
      <t xml:space="preserve">非追索 </t>
    </r>
    <r>
      <rPr>
        <sz val="11"/>
        <color rgb="FF808080"/>
        <rFont val="Cambria"/>
        <family val="0"/>
        <charset val="1"/>
      </rPr>
      <t xml:space="preserve">SOFR+2.25%</t>
    </r>
    <r>
      <rPr>
        <sz val="11"/>
        <color rgb="FF808080"/>
        <rFont val="Noto Sans CJK SC"/>
        <family val="2"/>
      </rPr>
      <t xml:space="preserve">，</t>
    </r>
    <r>
      <rPr>
        <sz val="11"/>
        <color rgb="FF808080"/>
        <rFont val="Cambria"/>
        <family val="0"/>
        <charset val="1"/>
      </rPr>
      <t xml:space="preserve">2032-03</t>
    </r>
    <r>
      <rPr>
        <sz val="11"/>
        <color rgb="FF808080"/>
        <rFont val="Noto Sans CJK SC"/>
        <family val="2"/>
      </rPr>
      <t xml:space="preserve">，可動用至 </t>
    </r>
    <r>
      <rPr>
        <sz val="11"/>
        <color rgb="FF808080"/>
        <rFont val="Cambria"/>
        <family val="0"/>
        <charset val="1"/>
      </rPr>
      <t xml:space="preserve">2027-06</t>
    </r>
    <r>
      <rPr>
        <sz val="11"/>
        <color rgb="FF808080"/>
        <rFont val="Noto Sans CJK SC"/>
        <family val="2"/>
      </rPr>
      <t xml:space="preserve">（已動用 </t>
    </r>
    <r>
      <rPr>
        <sz val="11"/>
        <color rgb="FF808080"/>
        <rFont val="Cambria"/>
        <family val="0"/>
        <charset val="1"/>
      </rPr>
      <t xml:space="preserve">2.837</t>
    </r>
    <r>
      <rPr>
        <sz val="11"/>
        <color rgb="FF808080"/>
        <rFont val="Noto Sans CJK SC"/>
        <family val="2"/>
      </rPr>
      <t xml:space="preserve">）</t>
    </r>
  </si>
  <si>
    <t xml:space="preserve">F#152</t>
  </si>
  <si>
    <r>
      <rPr>
        <sz val="11"/>
        <color rgb="FF808080"/>
        <rFont val="Cambria"/>
        <family val="0"/>
        <charset val="1"/>
      </rPr>
      <t xml:space="preserve">2031 9.75% 2.75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2026-04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2032 9.625% 1.25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EUR 2.0bn 8.50%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2.279</t>
    </r>
    <r>
      <rPr>
        <sz val="11"/>
        <color rgb="FF808080"/>
        <rFont val="Noto Sans CJK SC"/>
        <family val="2"/>
      </rPr>
      <t xml:space="preserve">）</t>
    </r>
  </si>
  <si>
    <t xml:space="preserve">F#153</t>
  </si>
  <si>
    <r>
      <rPr>
        <sz val="11"/>
        <color rgb="FF808080"/>
        <rFont val="Cambria"/>
        <family val="0"/>
        <charset val="1"/>
      </rPr>
      <t xml:space="preserve">2032 </t>
    </r>
    <r>
      <rPr>
        <sz val="11"/>
        <color rgb="FF808080"/>
        <rFont val="Noto Sans CJK SC"/>
        <family val="2"/>
      </rPr>
      <t xml:space="preserve">可轉債 </t>
    </r>
    <r>
      <rPr>
        <sz val="11"/>
        <color rgb="FF808080"/>
        <rFont val="Cambria"/>
        <family val="0"/>
        <charset val="1"/>
      </rPr>
      <t xml:space="preserve">1.75%</t>
    </r>
  </si>
  <si>
    <t xml:space="preserve">F#154</t>
  </si>
  <si>
    <r>
      <rPr>
        <sz val="11"/>
        <color theme="1"/>
        <rFont val="Calibri"/>
        <family val="2"/>
        <charset val="1"/>
      </rPr>
      <t xml:space="preserve">NVIDIA 2.0 @87.20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1.0 @109</t>
    </r>
  </si>
  <si>
    <r>
      <rPr>
        <sz val="11"/>
        <color theme="1"/>
        <rFont val="Calibri"/>
        <family val="2"/>
        <charset val="1"/>
      </rPr>
      <t xml:space="preserve">CoreWeave Q2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</si>
  <si>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https://www.marketbeat.com/instant-alerts/coreweave-q2-earnings-call-highlights-2026-08-11/</t>
  </si>
  <si>
    <t xml:space="preserve">F#156</t>
  </si>
  <si>
    <r>
      <rPr>
        <sz val="11"/>
        <color rgb="FF808080"/>
        <rFont val="Noto Sans CJK SC"/>
        <family val="2"/>
      </rPr>
      <t xml:space="preserve">尚未起租租賃；在帳租約付款 </t>
    </r>
    <r>
      <rPr>
        <sz val="11"/>
        <color rgb="FF808080"/>
        <rFont val="Cambria"/>
        <family val="0"/>
        <charset val="1"/>
      </rPr>
      <t xml:space="preserve">29.37</t>
    </r>
  </si>
  <si>
    <t xml:space="preserve">F#157</t>
  </si>
  <si>
    <r>
      <rPr>
        <sz val="11"/>
        <color rgb="FF808080"/>
        <rFont val="Noto Sans CJK SC"/>
        <family val="2"/>
      </rPr>
      <t xml:space="preserve">淨負債水位（模型 </t>
    </r>
    <r>
      <rPr>
        <sz val="11"/>
        <color rgb="FF808080"/>
        <rFont val="Cambria"/>
        <family val="0"/>
        <charset val="1"/>
      </rPr>
      <t xml:space="preserve">valuation.netDebt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</si>
  <si>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文件轉述）</t>
    </r>
  </si>
  <si>
    <t xml:space="preserve">https://www.fool.com/investing/2025/10/05/coreweave-nvidia-6-3-billion-backstop-explained/</t>
  </si>
  <si>
    <t xml:space="preserve">F#159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</si>
  <si>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4.1</t>
    </r>
  </si>
  <si>
    <r>
      <rPr>
        <sz val="11"/>
        <color theme="1"/>
        <rFont val="Calibri"/>
        <family val="2"/>
        <charset val="1"/>
      </rPr>
      <t xml:space="preserve">AOL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）</t>
    </r>
  </si>
  <si>
    <t xml:space="preserve">https://www.aol.com/finance/nebius-group-mushrooming-capex-overshadows-184542714.html</t>
  </si>
  <si>
    <t xml:space="preserve">F#160</t>
  </si>
  <si>
    <r>
      <rPr>
        <sz val="11"/>
        <color rgb="FF808080"/>
        <rFont val="Noto Sans CJK SC"/>
        <family val="2"/>
      </rPr>
      <t xml:space="preserve">可轉債 </t>
    </r>
    <r>
      <rPr>
        <sz val="11"/>
        <color rgb="FF808080"/>
        <rFont val="Cambria"/>
        <family val="0"/>
        <charset val="1"/>
      </rPr>
      <t xml:space="preserve">2025-06 1.0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2029 2%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2031 3%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2025-09 3.163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2030 1%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2032 2.75%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</si>
  <si>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Nebius 20-F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debt.convertibles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</si>
  <si>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https://www.sec.gov/Archives/edgar/data/0001513845/000110465926052948/nbis-20251231x20f.htm</t>
  </si>
  <si>
    <t xml:space="preserve">F#161</t>
  </si>
  <si>
    <r>
      <rPr>
        <sz val="11"/>
        <color rgb="FF808080"/>
        <rFont val="Noto Sans CJK SC"/>
        <family val="2"/>
      </rPr>
      <t xml:space="preserve">含客戶預付（遞延營收增加 </t>
    </r>
    <r>
      <rPr>
        <sz val="11"/>
        <color rgb="FF808080"/>
        <rFont val="Cambria"/>
        <family val="0"/>
        <charset val="1"/>
      </rPr>
      <t xml:space="preserve">4.395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</si>
  <si>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nebius/company.json ytdActual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Q2 2026 6-K</t>
    </r>
    <r>
      <rPr>
        <sz val="11"/>
        <color rgb="FF808080"/>
        <rFont val="Noto Sans CJK SC"/>
        <family val="2"/>
      </rPr>
      <t xml:space="preserve">）</t>
    </r>
  </si>
  <si>
    <t xml:space="preserve">F#162</t>
  </si>
  <si>
    <r>
      <rPr>
        <sz val="11"/>
        <color theme="1"/>
        <rFont val="Calibri"/>
        <family val="2"/>
        <charset val="1"/>
      </rPr>
      <t xml:space="preserve">Q1 2.473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5.657</t>
    </r>
  </si>
  <si>
    <r>
      <rPr>
        <sz val="11"/>
        <color theme="1"/>
        <rFont val="Calibri"/>
        <family val="2"/>
        <charset val="1"/>
      </rPr>
      <t xml:space="preserve">Nebius 6-K 2026-08-12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99.2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財報新聞稿、未經查核簡明合併財報）</t>
    </r>
  </si>
  <si>
    <t xml:space="preserve">https://www.sec.gov/Archives/edgar/data/1513845/000110465926094568/tm2622968d1_ex99-1.htm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</si>
  <si>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段更正：原 </t>
    </r>
    <r>
      <rPr>
        <sz val="11"/>
        <color theme="1"/>
        <rFont val="Calibri"/>
        <family val="2"/>
        <charset val="1"/>
      </rPr>
      <t xml:space="preserve">url </t>
    </r>
    <r>
      <rPr>
        <sz val="11"/>
        <color theme="1"/>
        <rFont val="Noto Sans CJK SC"/>
        <family val="2"/>
      </rPr>
      <t xml:space="preserve">指向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20-F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H1</t>
    </r>
    <r>
      <rPr>
        <sz val="11"/>
        <color theme="1"/>
        <rFont val="Noto Sans CJK SC"/>
        <family val="2"/>
      </rPr>
      <t xml:space="preserve">）；改引 </t>
    </r>
    <r>
      <rPr>
        <sz val="11"/>
        <color theme="1"/>
        <rFont val="Calibri"/>
        <family val="2"/>
        <charset val="1"/>
      </rPr>
      <t xml:space="preserve">6-K 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nebius/data/nebius_facts_20261007.json *.q2_26</t>
    </r>
    <r>
      <rPr>
        <sz val="11"/>
        <color theme="1"/>
        <rFont val="Noto Sans CJK SC"/>
        <family val="2"/>
      </rPr>
      <t xml:space="preserve">）</t>
    </r>
  </si>
  <si>
    <t xml:space="preserve">F#163</t>
  </si>
  <si>
    <t xml:space="preserve">F#164</t>
  </si>
  <si>
    <r>
      <rPr>
        <sz val="11"/>
        <color theme="1"/>
        <rFont val="Noto Sans CJK SC"/>
        <family val="2"/>
      </rPr>
      <t xml:space="preserve">可轉債 </t>
    </r>
    <r>
      <rPr>
        <sz val="11"/>
        <color theme="1"/>
        <rFont val="Calibri"/>
        <family val="2"/>
        <charset val="1"/>
      </rPr>
      <t xml:space="preserve">1.25% 2031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2.625% 2033</t>
    </r>
  </si>
  <si>
    <t xml:space="preserve">F#167</t>
  </si>
  <si>
    <r>
      <rPr>
        <sz val="11"/>
        <color theme="1"/>
        <rFont val="Calibri"/>
        <family val="2"/>
        <charset val="1"/>
      </rPr>
      <t xml:space="preserve">ATM </t>
    </r>
    <r>
      <rPr>
        <sz val="11"/>
        <color theme="1"/>
        <rFont val="Noto Sans CJK SC"/>
        <family val="2"/>
      </rPr>
      <t xml:space="preserve">淨額 </t>
    </r>
    <r>
      <rPr>
        <sz val="11"/>
        <color theme="1"/>
        <rFont val="Calibri"/>
        <family val="2"/>
        <charset val="1"/>
      </rPr>
      <t xml:space="preserve">2.811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預付認股權證 </t>
    </r>
    <r>
      <rPr>
        <sz val="11"/>
        <color theme="1"/>
        <rFont val="Calibri"/>
        <family val="2"/>
        <charset val="1"/>
      </rPr>
      <t xml:space="preserve">2.0</t>
    </r>
  </si>
  <si>
    <t xml:space="preserve">F#168</t>
  </si>
  <si>
    <t xml:space="preserve">尚未起租租賃</t>
  </si>
  <si>
    <t xml:space="preserve">F#169</t>
  </si>
  <si>
    <r>
      <rPr>
        <sz val="11"/>
        <color theme="1"/>
        <rFont val="Noto Sans CJK SC"/>
        <family val="2"/>
      </rPr>
      <t xml:space="preserve">淨現金水位（模型 </t>
    </r>
    <r>
      <rPr>
        <sz val="11"/>
        <color theme="1"/>
        <rFont val="Calibri"/>
        <family val="2"/>
        <charset val="1"/>
      </rPr>
      <t xml:space="preserve">valuation.netDebt</t>
    </r>
    <r>
      <rPr>
        <sz val="11"/>
        <color theme="1"/>
        <rFont val="Noto Sans CJK SC"/>
        <family val="2"/>
      </rPr>
      <t xml:space="preserve">，負＝淨現金）</t>
    </r>
  </si>
  <si>
    <r>
      <rPr>
        <sz val="11"/>
        <color theme="1"/>
        <rFont val="Calibri"/>
        <family val="2"/>
        <charset val="1"/>
      </rPr>
      <t xml:space="preserve">Chartmill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AOL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</si>
  <si>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Zacks 2026-09-11</t>
    </r>
    <r>
      <rPr>
        <sz val="11"/>
        <color theme="1"/>
        <rFont val="Noto Sans CJK SC"/>
        <family val="2"/>
      </rPr>
      <t xml:space="preserve">；『約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內部』是 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針對 </t>
    </r>
    <r>
      <rPr>
        <sz val="11"/>
        <color theme="1"/>
        <rFont val="Calibri"/>
        <family val="2"/>
        <charset val="1"/>
      </rPr>
      <t xml:space="preserve">16–20 </t>
    </r>
    <r>
      <rPr>
        <sz val="11"/>
        <color theme="1"/>
        <rFont val="Noto Sans CJK SC"/>
        <family val="2"/>
      </rPr>
      <t xml:space="preserve">的說法，套到 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須註明</t>
    </r>
  </si>
  <si>
    <t xml:space="preserve">F#171</t>
  </si>
  <si>
    <t xml:space="preserve">2025-03-31</t>
  </si>
  <si>
    <r>
      <rPr>
        <sz val="11"/>
        <color rgb="FF808080"/>
        <rFont val="Cambria"/>
        <family val="0"/>
        <charset val="1"/>
      </rPr>
      <t xml:space="preserve">SoftBank </t>
    </r>
    <r>
      <rPr>
        <sz val="11"/>
        <color rgb="FF808080"/>
        <rFont val="Noto Sans CJK SC"/>
        <family val="2"/>
      </rPr>
      <t xml:space="preserve">領投，投後 </t>
    </r>
    <r>
      <rPr>
        <sz val="11"/>
        <color rgb="FF808080"/>
        <rFont val="Cambria"/>
        <family val="0"/>
        <charset val="1"/>
      </rPr>
      <t xml:space="preserve">300</t>
    </r>
    <r>
      <rPr>
        <sz val="11"/>
        <color rgb="FF808080"/>
        <rFont val="Noto Sans CJK SC"/>
        <family val="2"/>
      </rPr>
      <t xml:space="preserve">；分期到位</t>
    </r>
  </si>
  <si>
    <t xml:space="preserve">Bloomberg</t>
  </si>
  <si>
    <t xml:space="preserve">https://www.bloomberg.com/news/articles/2025-03-31/openai-finalizes-40-billion-funding-at-300-billion-valuation</t>
  </si>
  <si>
    <t xml:space="preserve">F#172</t>
  </si>
  <si>
    <t xml:space="preserve">2025-10</t>
  </si>
  <si>
    <r>
      <rPr>
        <sz val="11"/>
        <color rgb="FF808080"/>
        <rFont val="Noto Sans CJK SC"/>
        <family val="2"/>
      </rPr>
      <t xml:space="preserve">員工次級出售（非新股），估值 </t>
    </r>
    <r>
      <rPr>
        <sz val="11"/>
        <color rgb="FF808080"/>
        <rFont val="Cambria"/>
        <family val="0"/>
        <charset val="1"/>
      </rPr>
      <t xml:space="preserve">500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Thrive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SoftBank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T. Rowe </t>
    </r>
    <r>
      <rPr>
        <sz val="11"/>
        <color rgb="FF808080"/>
        <rFont val="Noto Sans CJK SC"/>
        <family val="2"/>
      </rPr>
      <t xml:space="preserve">等</t>
    </r>
  </si>
  <si>
    <r>
      <rPr>
        <sz val="11"/>
        <color rgb="FF808080"/>
        <rFont val="Cambria"/>
        <family val="0"/>
        <charset val="1"/>
      </rPr>
      <t xml:space="preserve">Dealroom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TechLeap</t>
    </r>
  </si>
  <si>
    <t xml:space="preserve">https://finder.techleap.nl/news/feed/openai-raises-6-6b-at-500b-valuation</t>
  </si>
  <si>
    <t xml:space="preserve">F#173</t>
  </si>
  <si>
    <t xml:space="preserve">2026-03-31</t>
  </si>
  <si>
    <r>
      <rPr>
        <sz val="11"/>
        <color theme="1"/>
        <rFont val="Noto Sans CJK SC"/>
        <family val="2"/>
      </rPr>
      <t xml:space="preserve">投後 </t>
    </r>
    <r>
      <rPr>
        <sz val="11"/>
        <color theme="1"/>
        <rFont val="Calibri"/>
        <family val="2"/>
        <charset val="1"/>
      </rPr>
      <t xml:space="preserve">852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Amazon 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即時＋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條件）、</t>
    </r>
    <r>
      <rPr>
        <sz val="11"/>
        <color theme="1"/>
        <rFont val="Calibri"/>
        <family val="2"/>
        <charset val="1"/>
      </rPr>
      <t xml:space="preserve">NVIDIA 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SoftBank 30</t>
    </r>
    <r>
      <rPr>
        <sz val="11"/>
        <color theme="1"/>
        <rFont val="Noto Sans CJK SC"/>
        <family val="2"/>
      </rPr>
      <t xml:space="preserve">、其他約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＋散戶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無條件部分 </t>
    </r>
    <r>
      <rPr>
        <sz val="11"/>
        <color theme="1"/>
        <rFont val="Calibri"/>
        <family val="2"/>
        <charset val="1"/>
      </rPr>
      <t xml:space="preserve">87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</si>
  <si>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Bloomberg</t>
    </r>
  </si>
  <si>
    <t xml:space="preserve">https://finance.yahoo.com/markets/stocks/articles/openai-closes-122bn-funding-round-093126735.html</t>
  </si>
  <si>
    <t xml:space="preserve">F#174</t>
  </si>
  <si>
    <t xml:space="preserve">2026-09-29</t>
  </si>
  <si>
    <r>
      <rPr>
        <sz val="11"/>
        <color rgb="FF808080"/>
        <rFont val="Noto Sans CJK SC"/>
        <family val="2"/>
      </rPr>
      <t xml:space="preserve">洽談至少 </t>
    </r>
    <r>
      <rPr>
        <sz val="11"/>
        <color rgb="FF808080"/>
        <rFont val="Cambria"/>
        <family val="0"/>
        <charset val="1"/>
      </rPr>
      <t xml:space="preserve">30</t>
    </r>
    <r>
      <rPr>
        <sz val="11"/>
        <color rgb="FF808080"/>
        <rFont val="Noto Sans CJK SC"/>
        <family val="2"/>
      </rPr>
      <t xml:space="preserve">、估值約 </t>
    </r>
    <r>
      <rPr>
        <sz val="11"/>
        <color rgb="FF808080"/>
        <rFont val="Cambria"/>
        <family val="0"/>
        <charset val="1"/>
      </rPr>
      <t xml:space="preserve">1.4 </t>
    </r>
    <r>
      <rPr>
        <sz val="11"/>
        <color rgb="FF808080"/>
        <rFont val="Noto Sans CJK SC"/>
        <family val="2"/>
      </rPr>
      <t xml:space="preserve">兆（</t>
    </r>
    <r>
      <rPr>
        <sz val="11"/>
        <color rgb="FF808080"/>
        <rFont val="Cambria"/>
        <family val="0"/>
        <charset val="1"/>
      </rPr>
      <t xml:space="preserve">Bloomberg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WSJ </t>
    </r>
    <r>
      <rPr>
        <sz val="11"/>
        <color rgb="FF808080"/>
        <rFont val="Noto Sans CJK SC"/>
        <family val="2"/>
      </rPr>
      <t xml:space="preserve">稱 </t>
    </r>
    <r>
      <rPr>
        <sz val="11"/>
        <color rgb="FF808080"/>
        <rFont val="Cambria"/>
        <family val="0"/>
        <charset val="1"/>
      </rPr>
      <t xml:space="preserve">&gt;1.2 </t>
    </r>
    <r>
      <rPr>
        <sz val="11"/>
        <color rgb="FF808080"/>
        <rFont val="Noto Sans CJK SC"/>
        <family val="2"/>
      </rPr>
      <t xml:space="preserve">兆；</t>
    </r>
    <r>
      <rPr>
        <sz val="11"/>
        <color rgb="FF808080"/>
        <rFont val="Cambria"/>
        <family val="0"/>
        <charset val="1"/>
      </rPr>
      <t xml:space="preserve">IPO </t>
    </r>
    <r>
      <rPr>
        <sz val="11"/>
        <color rgb="FF808080"/>
        <rFont val="Noto Sans CJK SC"/>
        <family val="2"/>
      </rPr>
      <t xml:space="preserve">延至 </t>
    </r>
    <r>
      <rPr>
        <sz val="11"/>
        <color rgb="FF808080"/>
        <rFont val="Cambria"/>
        <family val="0"/>
        <charset val="1"/>
      </rPr>
      <t xml:space="preserve">2027</t>
    </r>
  </si>
  <si>
    <r>
      <rPr>
        <sz val="11"/>
        <color rgb="FF808080"/>
        <rFont val="Cambria"/>
        <family val="0"/>
        <charset val="1"/>
      </rPr>
      <t xml:space="preserve">Pulse 2.0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</si>
  <si>
    <t xml:space="preserve">https://pulse2.com/openai-reportedly-targets-at-least-30-billion-funding-at-1-4-trillion-valuation/</t>
  </si>
  <si>
    <t xml:space="preserve">F#175</t>
  </si>
  <si>
    <t xml:space="preserve">2024-10</t>
  </si>
  <si>
    <t xml:space="preserve">private_credit</t>
  </si>
  <si>
    <r>
      <rPr>
        <sz val="11"/>
        <color rgb="FF808080"/>
        <rFont val="Noto Sans CJK SC"/>
        <family val="2"/>
      </rPr>
      <t xml:space="preserve">循環信用額度 </t>
    </r>
    <r>
      <rPr>
        <sz val="11"/>
        <color rgb="FF808080"/>
        <rFont val="Cambria"/>
        <family val="0"/>
        <charset val="1"/>
      </rPr>
      <t xml:space="preserve">4.0</t>
    </r>
    <r>
      <rPr>
        <sz val="11"/>
        <color rgb="FF808080"/>
        <rFont val="Noto Sans CJK SC"/>
        <family val="2"/>
      </rPr>
      <t xml:space="preserve">（流動性逾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</si>
  <si>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TipRanks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The Fly</t>
    </r>
  </si>
  <si>
    <t xml:space="preserve">https://www.tipranks.com/news/the-fly/openai-announces-4b-credit-facility-allowing-access-to-over-10b-in-liquidity</t>
  </si>
  <si>
    <t xml:space="preserve">F#176</t>
  </si>
  <si>
    <r>
      <rPr>
        <sz val="11"/>
        <color rgb="FF808080"/>
        <rFont val="Cambria"/>
        <family val="0"/>
        <charset val="1"/>
      </rPr>
      <t xml:space="preserve">BofA </t>
    </r>
    <r>
      <rPr>
        <sz val="11"/>
        <color rgb="FF808080"/>
        <rFont val="Noto Sans CJK SC"/>
        <family val="2"/>
      </rPr>
      <t xml:space="preserve">首筆信用額度 </t>
    </r>
    <r>
      <rPr>
        <sz val="11"/>
        <color rgb="FF808080"/>
        <rFont val="Cambria"/>
        <family val="0"/>
        <charset val="1"/>
      </rPr>
      <t xml:space="preserve">0.52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IPO </t>
    </r>
    <r>
      <rPr>
        <sz val="11"/>
        <color rgb="FF808080"/>
        <rFont val="Noto Sans CJK SC"/>
        <family val="2"/>
      </rPr>
      <t xml:space="preserve">前）</t>
    </r>
  </si>
  <si>
    <r>
      <rPr>
        <sz val="11"/>
        <color rgb="FF808080"/>
        <rFont val="Cambria"/>
        <family val="0"/>
        <charset val="1"/>
      </rPr>
      <t xml:space="preserve">The Star </t>
    </r>
    <r>
      <rPr>
        <sz val="11"/>
        <color rgb="FF808080"/>
        <rFont val="Noto Sans CJK SC"/>
        <family val="2"/>
      </rPr>
      <t xml:space="preserve">轉 </t>
    </r>
    <r>
      <rPr>
        <sz val="11"/>
        <color rgb="FF808080"/>
        <rFont val="Cambria"/>
        <family val="0"/>
        <charset val="1"/>
      </rPr>
      <t xml:space="preserve">Reuters</t>
    </r>
  </si>
  <si>
    <t xml:space="preserve">https://www.thestar.com.my/tech/tech-news/2026/07/09/bofa-extends-first-520-million-loan-to-openai-ahead-of-ipo-source-says</t>
  </si>
  <si>
    <t xml:space="preserve">F#177</t>
  </si>
  <si>
    <r>
      <rPr>
        <sz val="11"/>
        <color theme="1"/>
        <rFont val="Noto Sans CJK SC"/>
        <family val="2"/>
      </rPr>
      <t xml:space="preserve">內部文件：</t>
    </r>
    <r>
      <rPr>
        <sz val="11"/>
        <color theme="1"/>
        <rFont val="Calibri"/>
        <family val="2"/>
        <charset val="1"/>
      </rPr>
      <t xml:space="preserve">2024 −2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2025 −8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2026 −25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2027 −57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2028 −85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2029 −51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+39</t>
    </r>
  </si>
  <si>
    <r>
      <rPr>
        <sz val="11"/>
        <color theme="1"/>
        <rFont val="Calibri"/>
        <family val="2"/>
        <charset val="1"/>
      </rPr>
      <t xml:space="preserve">The Decoder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The Information</t>
    </r>
  </si>
  <si>
    <t xml:space="preserve">https://the-decoder.com/openai-adds-111-billion-to-its-cash-burn-forecast-as-ai-costs-spiral-beyond-projections/</t>
  </si>
  <si>
    <t xml:space="preserve">F#179</t>
  </si>
  <si>
    <t xml:space="preserve">2025-01</t>
  </si>
  <si>
    <r>
      <rPr>
        <sz val="11"/>
        <color rgb="FF808080"/>
        <rFont val="Cambria"/>
        <family val="0"/>
        <charset val="1"/>
      </rPr>
      <t xml:space="preserve">Stargate </t>
    </r>
    <r>
      <rPr>
        <sz val="11"/>
        <color rgb="FF808080"/>
        <rFont val="Noto Sans CJK SC"/>
        <family val="2"/>
      </rPr>
      <t xml:space="preserve">股本：</t>
    </r>
    <r>
      <rPr>
        <sz val="11"/>
        <color rgb="FF808080"/>
        <rFont val="Cambria"/>
        <family val="0"/>
        <charset val="1"/>
      </rPr>
      <t xml:space="preserve">OpenAI 19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SoftBank 19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Oracle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MGX 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7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持 </t>
    </r>
    <r>
      <rPr>
        <sz val="11"/>
        <color rgb="FF808080"/>
        <rFont val="Cambria"/>
        <family val="0"/>
        <charset val="1"/>
      </rPr>
      <t xml:space="preserve">40%</t>
    </r>
    <r>
      <rPr>
        <sz val="11"/>
        <color rgb="FF808080"/>
        <rFont val="Noto Sans CJK SC"/>
        <family val="2"/>
      </rPr>
      <t xml:space="preserve">；其餘多以債務</t>
    </r>
  </si>
  <si>
    <r>
      <rPr>
        <sz val="11"/>
        <color rgb="FF808080"/>
        <rFont val="Cambria"/>
        <family val="0"/>
        <charset val="1"/>
      </rPr>
      <t xml:space="preserve">DCD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The Information</t>
    </r>
  </si>
  <si>
    <t xml:space="preserve">https://datacenterdynamics.com/en/news/openai-and-softbank-to-both-invest-19bn-in-stargate-report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</si>
  <si>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value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19+19+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7</t>
    </r>
    <r>
      <rPr>
        <sz val="11"/>
        <color rgb="FF808080"/>
        <rFont val="Noto Sans CJK SC"/>
        <family val="2"/>
      </rPr>
      <t xml:space="preserve">＝</t>
    </r>
    <r>
      <rPr>
        <sz val="11"/>
        <color rgb="FF808080"/>
        <rFont val="Cambria"/>
        <family val="0"/>
        <charset val="1"/>
      </rPr>
      <t xml:space="preserve">45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SA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The Information 'roughly $45B'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55 </t>
    </r>
    <r>
      <rPr>
        <sz val="11"/>
        <color rgb="FF808080"/>
        <rFont val="Noto Sans CJK SC"/>
        <family val="2"/>
      </rPr>
      <t xml:space="preserve">為首期 </t>
    </r>
    <r>
      <rPr>
        <sz val="11"/>
        <color rgb="FF808080"/>
        <rFont val="Cambria"/>
        <family val="0"/>
        <charset val="1"/>
      </rPr>
      <t xml:space="preserve">100 </t>
    </r>
    <r>
      <rPr>
        <sz val="11"/>
        <color rgb="FF808080"/>
        <rFont val="Noto Sans CJK SC"/>
        <family val="2"/>
      </rPr>
      <t xml:space="preserve">尚缺額；持股 </t>
    </r>
    <r>
      <rPr>
        <sz val="11"/>
        <color rgb="FF808080"/>
        <rFont val="Cambria"/>
        <family val="0"/>
        <charset val="1"/>
      </rPr>
      <t xml:space="preserve">40% </t>
    </r>
    <r>
      <rPr>
        <sz val="11"/>
        <color rgb="FF808080"/>
        <rFont val="Noto Sans CJK SC"/>
        <family val="2"/>
      </rPr>
      <t xml:space="preserve">兩來源說法不一</t>
    </r>
  </si>
  <si>
    <t xml:space="preserve">F#180</t>
  </si>
  <si>
    <r>
      <rPr>
        <sz val="11"/>
        <color theme="1"/>
        <rFont val="Calibri"/>
        <family val="2"/>
        <charset val="1"/>
      </rPr>
      <t xml:space="preserve">Ohio 10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年租約）：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擔保首期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完工價值最多 </t>
    </r>
    <r>
      <rPr>
        <sz val="11"/>
        <color theme="1"/>
        <rFont val="Calibri"/>
        <family val="2"/>
        <charset val="1"/>
      </rPr>
      <t xml:space="preserve">105</t>
    </r>
    <r>
      <rPr>
        <sz val="11"/>
        <color theme="1"/>
        <rFont val="Noto Sans CJK SC"/>
        <family val="2"/>
      </rPr>
      <t xml:space="preserve">（原議 </t>
    </r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另投 </t>
    </r>
    <r>
      <rPr>
        <sz val="11"/>
        <color theme="1"/>
        <rFont val="Calibri"/>
        <family val="2"/>
        <charset val="1"/>
      </rPr>
      <t xml:space="preserve">SB Energy 1.5</t>
    </r>
  </si>
  <si>
    <r>
      <rPr>
        <sz val="11"/>
        <color theme="1"/>
        <rFont val="Calibri"/>
        <family val="2"/>
        <charset val="1"/>
      </rPr>
      <t xml:space="preserve">Free Press Journal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WSJ</t>
    </r>
  </si>
  <si>
    <t xml:space="preserve">https://www.freepressjournal.in/tech/openai-signs-20-year-10-gigawatt-ohio-data-center-lease-backed-by-nvidia-all-details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</si>
  <si>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段更正：『</t>
    </r>
    <r>
      <rPr>
        <sz val="11"/>
        <color theme="1"/>
        <rFont val="Calibri"/>
        <family val="2"/>
        <charset val="1"/>
      </rPr>
      <t xml:space="preserve">a portion of the value</t>
    </r>
    <r>
      <rPr>
        <sz val="11"/>
        <color theme="1"/>
        <rFont val="Noto Sans CJK SC"/>
        <family val="2"/>
      </rPr>
      <t xml:space="preserve">』（非完工價值）；記者轉述、尚未簽約</t>
    </r>
  </si>
  <si>
    <t xml:space="preserve">F#181</t>
  </si>
  <si>
    <r>
      <rPr>
        <sz val="11"/>
        <color rgb="FF808080"/>
        <rFont val="Cambria"/>
        <family val="0"/>
        <charset val="1"/>
      </rPr>
      <t xml:space="preserve">NVIDIA 30 </t>
    </r>
    <r>
      <rPr>
        <sz val="11"/>
        <color rgb="FF808080"/>
        <rFont val="Noto Sans CJK SC"/>
        <family val="2"/>
      </rPr>
      <t xml:space="preserve">股權取代 </t>
    </r>
    <r>
      <rPr>
        <sz val="11"/>
        <color rgb="FF808080"/>
        <rFont val="Cambria"/>
        <family val="0"/>
        <charset val="1"/>
      </rPr>
      <t xml:space="preserve">2025-09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100 </t>
    </r>
    <r>
      <rPr>
        <sz val="11"/>
        <color rgb="FF808080"/>
        <rFont val="Noto Sans CJK SC"/>
        <family val="2"/>
      </rPr>
      <t xml:space="preserve">意向書（</t>
    </r>
    <r>
      <rPr>
        <sz val="11"/>
        <color rgb="FF808080"/>
        <rFont val="Cambria"/>
        <family val="0"/>
        <charset val="1"/>
      </rPr>
      <t xml:space="preserve">FT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CNBC </t>
    </r>
    <r>
      <rPr>
        <sz val="11"/>
        <color rgb="FF808080"/>
        <rFont val="Noto Sans CJK SC"/>
        <family val="2"/>
      </rPr>
      <t xml:space="preserve">稱兩者分開</t>
    </r>
  </si>
  <si>
    <r>
      <rPr>
        <sz val="11"/>
        <color rgb="FF808080"/>
        <rFont val="Cambria"/>
        <family val="0"/>
        <charset val="1"/>
      </rPr>
      <t xml:space="preserve">DCD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FT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CNBC</t>
    </r>
  </si>
  <si>
    <t xml:space="preserve">https://www.datacenterdynamics.com/en/news/nvidia-plans-30bn-investment-in-upcoming-openai-funding-round/</t>
  </si>
  <si>
    <t xml:space="preserve">F#182</t>
  </si>
  <si>
    <t xml:space="preserve">2025-10-06</t>
  </si>
  <si>
    <r>
      <rPr>
        <sz val="11"/>
        <color rgb="FF808080"/>
        <rFont val="Cambria"/>
        <family val="0"/>
        <charset val="1"/>
      </rPr>
      <t xml:space="preserve">AMD </t>
    </r>
    <r>
      <rPr>
        <sz val="11"/>
        <color rgb="FF808080"/>
        <rFont val="Noto Sans CJK SC"/>
        <family val="2"/>
      </rPr>
      <t xml:space="preserve">發給 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1.6 </t>
    </r>
    <r>
      <rPr>
        <sz val="11"/>
        <color rgb="FF808080"/>
        <rFont val="Noto Sans CJK SC"/>
        <family val="2"/>
      </rPr>
      <t xml:space="preserve">億股認股權證，首批隨 </t>
    </r>
    <r>
      <rPr>
        <sz val="11"/>
        <color rgb="FF808080"/>
        <rFont val="Cambria"/>
        <family val="0"/>
        <charset val="1"/>
      </rPr>
      <t xml:space="preserve">1 GW MI450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2026H2</t>
    </r>
    <r>
      <rPr>
        <sz val="11"/>
        <color rgb="FF808080"/>
        <rFont val="Noto Sans CJK SC"/>
        <family val="2"/>
      </rPr>
      <t xml:space="preserve">）歸屬；金額隨股價</t>
    </r>
  </si>
  <si>
    <r>
      <rPr>
        <sz val="11"/>
        <color rgb="FF808080"/>
        <rFont val="Cambria"/>
        <family val="0"/>
        <charset val="1"/>
      </rPr>
      <t xml:space="preserve">AMD </t>
    </r>
    <r>
      <rPr>
        <sz val="11"/>
        <color rgb="FF808080"/>
        <rFont val="Noto Sans CJK SC"/>
        <family val="2"/>
      </rPr>
      <t xml:space="preserve">新聞稿</t>
    </r>
  </si>
  <si>
    <t xml:space="preserve">https://newsroom.amd.com/news/amd-and-openai-announce-strategic-partnership-to-d/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</si>
  <si>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value</t>
    </r>
    <r>
      <rPr>
        <sz val="11"/>
        <color rgb="FF808080"/>
        <rFont val="Noto Sans CJK SC"/>
        <family val="2"/>
      </rPr>
      <t xml:space="preserve">：原文無美元金額；</t>
    </r>
    <r>
      <rPr>
        <sz val="11"/>
        <color rgb="FF808080"/>
        <rFont val="Cambria"/>
        <family val="0"/>
        <charset val="1"/>
      </rPr>
      <t xml:space="preserve">tag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AMD </t>
    </r>
    <r>
      <rPr>
        <sz val="11"/>
        <color rgb="FF808080"/>
        <rFont val="Noto Sans CJK SC"/>
        <family val="2"/>
      </rPr>
      <t xml:space="preserve">自家新聞稿；歸屬另綁股價與里程碑</t>
    </r>
  </si>
  <si>
    <t xml:space="preserve">F#183</t>
  </si>
  <si>
    <t xml:space="preserve">2026-03-27</t>
  </si>
  <si>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無擔保過橋貸款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到期），用於追加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累計約 </t>
    </r>
    <r>
      <rPr>
        <sz val="11"/>
        <color theme="1"/>
        <rFont val="Calibri"/>
        <family val="2"/>
        <charset val="1"/>
      </rPr>
      <t xml:space="preserve">64.6</t>
    </r>
    <r>
      <rPr>
        <sz val="11"/>
        <color theme="1"/>
        <rFont val="Noto Sans CJK SC"/>
        <family val="2"/>
      </rPr>
      <t xml:space="preserve">、持股約 </t>
    </r>
    <r>
      <rPr>
        <sz val="11"/>
        <color theme="1"/>
        <rFont val="Calibri"/>
        <family val="2"/>
        <charset val="1"/>
      </rPr>
      <t xml:space="preserve">13%</t>
    </r>
  </si>
  <si>
    <t xml:space="preserve">TNW</t>
  </si>
  <si>
    <t xml:space="preserve">https://thenextweb.com/news/softbank-40-billion-bridge-loan-openai</t>
  </si>
  <si>
    <t xml:space="preserve">F#184</t>
  </si>
  <si>
    <t xml:space="preserve">2025-03-03</t>
  </si>
  <si>
    <r>
      <rPr>
        <sz val="11"/>
        <color rgb="FF808080"/>
        <rFont val="Cambria"/>
        <family val="0"/>
        <charset val="1"/>
      </rPr>
      <t xml:space="preserve">Series E </t>
    </r>
    <r>
      <rPr>
        <sz val="11"/>
        <color rgb="FF808080"/>
        <rFont val="Noto Sans CJK SC"/>
        <family val="2"/>
      </rPr>
      <t xml:space="preserve">投後 </t>
    </r>
    <r>
      <rPr>
        <sz val="11"/>
        <color rgb="FF808080"/>
        <rFont val="Cambria"/>
        <family val="0"/>
        <charset val="1"/>
      </rPr>
      <t xml:space="preserve">61.5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Lightspeed </t>
    </r>
    <r>
      <rPr>
        <sz val="11"/>
        <color rgb="FF808080"/>
        <rFont val="Noto Sans CJK SC"/>
        <family val="2"/>
      </rPr>
      <t xml:space="preserve">領投（</t>
    </r>
    <r>
      <rPr>
        <sz val="11"/>
        <color rgb="FF808080"/>
        <rFont val="Cambria"/>
        <family val="0"/>
        <charset val="1"/>
      </rPr>
      <t xml:space="preserve">SRC_ANT_314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</si>
  <si>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Anthropic </t>
    </r>
    <r>
      <rPr>
        <sz val="11"/>
        <color rgb="FF808080"/>
        <rFont val="Noto Sans CJK SC"/>
        <family val="2"/>
      </rPr>
      <t xml:space="preserve">新聞稿</t>
    </r>
  </si>
  <si>
    <t xml:space="preserve">https://www.anthropic.com/news/anthropic-raises-series-e-at-usd61-5b-post-money-valuation</t>
  </si>
  <si>
    <t xml:space="preserve">F#185</t>
  </si>
  <si>
    <t xml:space="preserve">2025-09-02</t>
  </si>
  <si>
    <r>
      <rPr>
        <sz val="11"/>
        <color rgb="FF808080"/>
        <rFont val="Cambria"/>
        <family val="0"/>
        <charset val="1"/>
      </rPr>
      <t xml:space="preserve">Series F </t>
    </r>
    <r>
      <rPr>
        <sz val="11"/>
        <color rgb="FF808080"/>
        <rFont val="Noto Sans CJK SC"/>
        <family val="2"/>
      </rPr>
      <t xml:space="preserve">投後 </t>
    </r>
    <r>
      <rPr>
        <sz val="11"/>
        <color rgb="FF808080"/>
        <rFont val="Cambria"/>
        <family val="0"/>
        <charset val="1"/>
      </rPr>
      <t xml:space="preserve">183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ICONIQ </t>
    </r>
    <r>
      <rPr>
        <sz val="11"/>
        <color rgb="FF808080"/>
        <rFont val="Noto Sans CJK SC"/>
        <family val="2"/>
      </rPr>
      <t xml:space="preserve">領投（</t>
    </r>
    <r>
      <rPr>
        <sz val="11"/>
        <color rgb="FF808080"/>
        <rFont val="Cambria"/>
        <family val="0"/>
        <charset val="1"/>
      </rPr>
      <t xml:space="preserve">SRC_ANT_312</t>
    </r>
    <r>
      <rPr>
        <sz val="11"/>
        <color rgb="FF808080"/>
        <rFont val="Noto Sans CJK SC"/>
        <family val="2"/>
      </rPr>
      <t xml:space="preserve">）</t>
    </r>
  </si>
  <si>
    <t xml:space="preserve">https://www.anthropic.com/news/anthropic-raises-series-f-at-usd183b-post-money-valuation</t>
  </si>
  <si>
    <t xml:space="preserve">F#186</t>
  </si>
  <si>
    <t xml:space="preserve">2026-02-12</t>
  </si>
  <si>
    <r>
      <rPr>
        <sz val="11"/>
        <color theme="1"/>
        <rFont val="Calibri"/>
        <family val="2"/>
        <charset val="1"/>
      </rPr>
      <t xml:space="preserve">Series G </t>
    </r>
    <r>
      <rPr>
        <sz val="11"/>
        <color theme="1"/>
        <rFont val="Noto Sans CJK SC"/>
        <family val="2"/>
      </rPr>
      <t xml:space="preserve">投後 </t>
    </r>
    <r>
      <rPr>
        <sz val="11"/>
        <color theme="1"/>
        <rFont val="Calibri"/>
        <family val="2"/>
        <charset val="1"/>
      </rPr>
      <t xml:space="preserve">380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Coatue </t>
    </r>
    <r>
      <rPr>
        <sz val="11"/>
        <color theme="1"/>
        <rFont val="Noto Sans CJK SC"/>
        <family val="2"/>
      </rPr>
      <t xml:space="preserve">領投；含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先前承諾一部分（</t>
    </r>
    <r>
      <rPr>
        <sz val="11"/>
        <color theme="1"/>
        <rFont val="Calibri"/>
        <family val="2"/>
        <charset val="1"/>
      </rPr>
      <t xml:space="preserve">SRC_ANT_302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</si>
  <si>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新聞稿</t>
    </r>
  </si>
  <si>
    <t xml:space="preserve">https://www.anthropic.com/news/anthropic-raises-30-billion-series-g-funding-380-billion-post-money-valuation</t>
  </si>
  <si>
    <t xml:space="preserve">F#187</t>
  </si>
  <si>
    <t xml:space="preserve">2026-05-28</t>
  </si>
  <si>
    <r>
      <rPr>
        <sz val="11"/>
        <color theme="1"/>
        <rFont val="Calibri"/>
        <family val="2"/>
        <charset val="1"/>
      </rPr>
      <t xml:space="preserve">Series H </t>
    </r>
    <r>
      <rPr>
        <sz val="11"/>
        <color theme="1"/>
        <rFont val="Noto Sans CJK SC"/>
        <family val="2"/>
      </rPr>
      <t xml:space="preserve">投後 </t>
    </r>
    <r>
      <rPr>
        <sz val="11"/>
        <color theme="1"/>
        <rFont val="Calibri"/>
        <family val="2"/>
        <charset val="1"/>
      </rPr>
      <t xml:space="preserve">965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雲端業者先前承諾（</t>
    </r>
    <r>
      <rPr>
        <sz val="11"/>
        <color theme="1"/>
        <rFont val="Calibri"/>
        <family val="2"/>
        <charset val="1"/>
      </rPr>
      <t xml:space="preserve">Amazon 5</t>
    </r>
    <r>
      <rPr>
        <sz val="11"/>
        <color theme="1"/>
        <rFont val="Noto Sans CJK SC"/>
        <family val="2"/>
      </rPr>
      <t xml:space="preserve">）→ 新現金約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Samsung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hynix </t>
    </r>
    <r>
      <rPr>
        <sz val="11"/>
        <color theme="1"/>
        <rFont val="Noto Sans CJK SC"/>
        <family val="2"/>
      </rPr>
      <t xml:space="preserve">參與（</t>
    </r>
    <r>
      <rPr>
        <sz val="11"/>
        <color theme="1"/>
        <rFont val="Calibri"/>
        <family val="2"/>
        <charset val="1"/>
      </rPr>
      <t xml:space="preserve">SRC_ANT_298–301</t>
    </r>
    <r>
      <rPr>
        <sz val="11"/>
        <color theme="1"/>
        <rFont val="Noto Sans CJK SC"/>
        <family val="2"/>
      </rPr>
      <t xml:space="preserve">）</t>
    </r>
  </si>
  <si>
    <t xml:space="preserve">https://www.anthropic.com/news/series-h</t>
  </si>
  <si>
    <t xml:space="preserve">F#188</t>
  </si>
  <si>
    <t xml:space="preserve">2025-11-18</t>
  </si>
  <si>
    <r>
      <rPr>
        <sz val="11"/>
        <color rgb="FF808080"/>
        <rFont val="Cambria"/>
        <family val="0"/>
        <charset val="1"/>
      </rPr>
      <t xml:space="preserve">NVIDIA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5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Anthropic </t>
    </r>
    <r>
      <rPr>
        <sz val="11"/>
        <color rgb="FF808080"/>
        <rFont val="Noto Sans CJK SC"/>
        <family val="2"/>
      </rPr>
      <t xml:space="preserve">承諾 </t>
    </r>
    <r>
      <rPr>
        <sz val="11"/>
        <color rgb="FF808080"/>
        <rFont val="Cambria"/>
        <family val="0"/>
        <charset val="1"/>
      </rPr>
      <t xml:space="preserve">Azure 30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SRC_ANT_330</t>
    </r>
    <r>
      <rPr>
        <sz val="11"/>
        <color rgb="FF808080"/>
        <rFont val="Noto Sans CJK SC"/>
        <family val="2"/>
      </rPr>
      <t xml:space="preserve">）</t>
    </r>
  </si>
  <si>
    <t xml:space="preserve">https://www.anthropic.com/news/microsoft-nvidia-anthropic-announce-strategic-partnerships</t>
  </si>
  <si>
    <t xml:space="preserve">F#189</t>
  </si>
  <si>
    <t xml:space="preserve">2026-09</t>
  </si>
  <si>
    <r>
      <rPr>
        <sz val="11"/>
        <color rgb="FF808080"/>
        <rFont val="Noto Sans CJK SC"/>
        <family val="2"/>
      </rPr>
      <t xml:space="preserve">循環信用額度 </t>
    </r>
    <r>
      <rPr>
        <sz val="11"/>
        <color rgb="FF808080"/>
        <rFont val="Cambria"/>
        <family val="0"/>
        <charset val="1"/>
      </rPr>
      <t xml:space="preserve">15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Morgan Stanley </t>
    </r>
    <r>
      <rPr>
        <sz val="11"/>
        <color rgb="FF808080"/>
        <rFont val="Noto Sans CJK SC"/>
        <family val="2"/>
      </rPr>
      <t xml:space="preserve">主導）（</t>
    </r>
    <r>
      <rPr>
        <sz val="11"/>
        <color rgb="FF808080"/>
        <rFont val="Cambria"/>
        <family val="0"/>
        <charset val="1"/>
      </rPr>
      <t xml:space="preserve">SRC_ANT_306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344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</si>
  <si>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Quartz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ZeroHedge</t>
    </r>
  </si>
  <si>
    <t xml:space="preserve">https://qz.com/anthropic-15-billion-credit-facility-ipo-090426</t>
  </si>
  <si>
    <t xml:space="preserve">F#190</t>
  </si>
  <si>
    <t xml:space="preserve">2026-06</t>
  </si>
  <si>
    <r>
      <rPr>
        <sz val="11"/>
        <color theme="1"/>
        <rFont val="Calibri"/>
        <family val="2"/>
        <charset val="1"/>
      </rPr>
      <t xml:space="preserve">Compute SPV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購約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租給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Apollo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Blackstone </t>
    </r>
    <r>
      <rPr>
        <sz val="11"/>
        <color theme="1"/>
        <rFont val="Noto Sans CJK SC"/>
        <family val="2"/>
      </rPr>
      <t xml:space="preserve">出債；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對優先層提供殘值支持；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4.5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8.5%</t>
    </r>
  </si>
  <si>
    <r>
      <rPr>
        <sz val="11"/>
        <color theme="1"/>
        <rFont val="Calibri"/>
        <family val="2"/>
        <charset val="1"/>
      </rPr>
      <t xml:space="preserve">Forkast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Channel Insider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</si>
  <si>
    <t xml:space="preserve">https://forkast.news/anthropic-spvs-stack-71-billion-in-chip-lease-debt-in-60-days/</t>
  </si>
  <si>
    <t xml:space="preserve">F#191</t>
  </si>
  <si>
    <t xml:space="preserve">gpu_debt_talks</t>
  </si>
  <si>
    <r>
      <rPr>
        <sz val="11"/>
        <color theme="1"/>
        <rFont val="Noto Sans CJK SC"/>
        <family val="2"/>
      </rPr>
      <t xml:space="preserve">第二檔 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初步 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 </t>
    </r>
    <r>
      <rPr>
        <sz val="11"/>
        <color theme="1"/>
        <rFont val="Noto Sans CJK SC"/>
        <family val="2"/>
      </rPr>
      <t xml:space="preserve">洽談），結構同上；招股書稱 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&gt;71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SRC_ANT_307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</si>
  <si>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Forkast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Bloomberg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</si>
  <si>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段更正（承重）：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為初步洽談（</t>
    </r>
    <r>
      <rPr>
        <sz val="11"/>
        <color theme="1"/>
        <rFont val="Calibri"/>
        <family val="2"/>
        <charset val="1"/>
      </rPr>
      <t xml:space="preserve">Bloomberg 2026-08-04</t>
    </r>
    <r>
      <rPr>
        <sz val="11"/>
        <color theme="1"/>
        <rFont val="Noto Sans CJK SC"/>
        <family val="2"/>
      </rPr>
      <t xml:space="preserve">），未完成；『累計 </t>
    </r>
    <r>
      <rPr>
        <sz val="11"/>
        <color theme="1"/>
        <rFont val="Calibri"/>
        <family val="2"/>
        <charset val="1"/>
      </rPr>
      <t xml:space="preserve">&gt;71</t>
    </r>
    <r>
      <rPr>
        <sz val="11"/>
        <color theme="1"/>
        <rFont val="Noto Sans CJK SC"/>
        <family val="2"/>
      </rPr>
      <t xml:space="preserve">』為 </t>
    </r>
    <r>
      <rPr>
        <sz val="11"/>
        <color theme="1"/>
        <rFont val="Calibri"/>
        <family val="2"/>
        <charset val="1"/>
      </rPr>
      <t xml:space="preserve">ZeroHedge </t>
    </r>
    <r>
      <rPr>
        <sz val="11"/>
        <color theme="1"/>
        <rFont val="Noto Sans CJK SC"/>
        <family val="2"/>
      </rPr>
      <t xml:space="preserve">轉述招股書草稿、未證實。已完成只有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F190</t>
    </r>
    <r>
      <rPr>
        <sz val="11"/>
        <color theme="1"/>
        <rFont val="Noto Sans CJK SC"/>
        <family val="2"/>
      </rPr>
      <t xml:space="preserve">）</t>
    </r>
  </si>
  <si>
    <t xml:space="preserve">F#192</t>
  </si>
  <si>
    <t xml:space="preserve">2026-10-01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</si>
  <si>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42 </t>
    </r>
    <r>
      <rPr>
        <sz val="11"/>
        <color theme="1"/>
        <rFont val="Noto Sans CJK SC"/>
        <family val="2"/>
      </rPr>
      <t xml:space="preserve">租賃融資（可轉股，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後）（</t>
    </r>
    <r>
      <rPr>
        <sz val="11"/>
        <color theme="1"/>
        <rFont val="Calibri"/>
        <family val="2"/>
        <charset val="1"/>
      </rPr>
      <t xml:space="preserve">SRC_ANT_251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</si>
  <si>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The Star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（申報文件）</t>
    </r>
  </si>
  <si>
    <t xml:space="preserve">https://www.thestar.com.my/tech/tech-news/2026/10/01/exclusive-broadcom-to-lend-anthropic-up-to-42-billion-to-lease-its-chips-filing-says</t>
  </si>
  <si>
    <t xml:space="preserve">F#193</t>
  </si>
  <si>
    <t xml:space="preserve">2026-08-03</t>
  </si>
  <si>
    <r>
      <rPr>
        <sz val="11"/>
        <color rgb="FF808080"/>
        <rFont val="Cambria"/>
        <family val="0"/>
        <charset val="1"/>
      </rPr>
      <t xml:space="preserve">Nexus Hubbard </t>
    </r>
    <r>
      <rPr>
        <sz val="11"/>
        <color rgb="FF808080"/>
        <rFont val="Noto Sans CJK SC"/>
        <family val="2"/>
      </rPr>
      <t xml:space="preserve">園區融資約 </t>
    </r>
    <r>
      <rPr>
        <sz val="11"/>
        <color rgb="FF808080"/>
        <rFont val="Cambria"/>
        <family val="0"/>
        <charset val="1"/>
      </rPr>
      <t xml:space="preserve">15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14 </t>
    </r>
    <r>
      <rPr>
        <sz val="11"/>
        <color rgb="FF808080"/>
        <rFont val="Noto Sans CJK SC"/>
        <family val="2"/>
      </rPr>
      <t xml:space="preserve">過橋），</t>
    </r>
    <r>
      <rPr>
        <sz val="11"/>
        <color rgb="FF808080"/>
        <rFont val="Cambria"/>
        <family val="0"/>
        <charset val="1"/>
      </rPr>
      <t xml:space="preserve">Google </t>
    </r>
    <r>
      <rPr>
        <sz val="11"/>
        <color rgb="FF808080"/>
        <rFont val="Noto Sans CJK SC"/>
        <family val="2"/>
      </rPr>
      <t xml:space="preserve">擔保租金與電費、取約 </t>
    </r>
    <r>
      <rPr>
        <sz val="11"/>
        <color rgb="FF808080"/>
        <rFont val="Cambria"/>
        <family val="0"/>
        <charset val="1"/>
      </rPr>
      <t xml:space="preserve">20% </t>
    </r>
    <r>
      <rPr>
        <sz val="11"/>
        <color rgb="FF808080"/>
        <rFont val="Noto Sans CJK SC"/>
        <family val="2"/>
      </rPr>
      <t xml:space="preserve">股權（</t>
    </r>
    <r>
      <rPr>
        <sz val="11"/>
        <color rgb="FF808080"/>
        <rFont val="Cambria"/>
        <family val="0"/>
        <charset val="1"/>
      </rPr>
      <t xml:space="preserve">SRC_ANT_239</t>
    </r>
    <r>
      <rPr>
        <sz val="11"/>
        <color rgb="FF808080"/>
        <rFont val="Noto Sans CJK SC"/>
        <family val="2"/>
      </rPr>
      <t xml:space="preserve">）</t>
    </r>
  </si>
  <si>
    <t xml:space="preserve">Global Data Center Hub</t>
  </si>
  <si>
    <t xml:space="preserve">https://www.globaldatacenterhub.com/p/morgan-stanley-leads-15-billion-financing</t>
  </si>
  <si>
    <t xml:space="preserve">F#194</t>
  </si>
  <si>
    <t xml:space="preserve">2025-11-12</t>
  </si>
  <si>
    <t xml:space="preserve">capex_commitment</t>
  </si>
  <si>
    <r>
      <rPr>
        <sz val="11"/>
        <color rgb="FF808080"/>
        <rFont val="Noto Sans CJK SC"/>
        <family val="2"/>
      </rPr>
      <t xml:space="preserve">與 </t>
    </r>
    <r>
      <rPr>
        <sz val="11"/>
        <color rgb="FF808080"/>
        <rFont val="Cambria"/>
        <family val="0"/>
        <charset val="1"/>
      </rPr>
      <t xml:space="preserve">Fluidstack </t>
    </r>
    <r>
      <rPr>
        <sz val="11"/>
        <color rgb="FF808080"/>
        <rFont val="Noto Sans CJK SC"/>
        <family val="2"/>
      </rPr>
      <t xml:space="preserve">自建美國基礎設施 </t>
    </r>
    <r>
      <rPr>
        <sz val="11"/>
        <color rgb="FF808080"/>
        <rFont val="Cambria"/>
        <family val="0"/>
        <charset val="1"/>
      </rPr>
      <t xml:space="preserve">50</t>
    </r>
    <r>
      <rPr>
        <sz val="11"/>
        <color rgb="FF808080"/>
        <rFont val="Noto Sans CJK SC"/>
        <family val="2"/>
      </rPr>
      <t xml:space="preserve">（德州、紐約）（</t>
    </r>
    <r>
      <rPr>
        <sz val="11"/>
        <color rgb="FF808080"/>
        <rFont val="Cambria"/>
        <family val="0"/>
        <charset val="1"/>
      </rPr>
      <t xml:space="preserve">SRC_ANT_212</t>
    </r>
    <r>
      <rPr>
        <sz val="11"/>
        <color rgb="FF808080"/>
        <rFont val="Noto Sans CJK SC"/>
        <family val="2"/>
      </rPr>
      <t xml:space="preserve">）</t>
    </r>
  </si>
  <si>
    <t xml:space="preserve">https://www.anthropic.com/news/anthropic-invests-50-billion-in-american-ai-infrastructure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</si>
  <si>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item</t>
    </r>
    <r>
      <rPr>
        <sz val="11"/>
        <color rgb="FF808080"/>
        <rFont val="Noto Sans CJK SC"/>
        <family val="2"/>
      </rPr>
      <t xml:space="preserve">：原文無 </t>
    </r>
    <r>
      <rPr>
        <sz val="11"/>
        <color rgb="FF808080"/>
        <rFont val="Cambria"/>
        <family val="0"/>
        <charset val="1"/>
      </rPr>
      <t xml:space="preserve">JV</t>
    </r>
    <r>
      <rPr>
        <sz val="11"/>
        <color rgb="FF808080"/>
        <rFont val="Noto Sans CJK SC"/>
        <family val="2"/>
      </rPr>
      <t xml:space="preserve">／表外</t>
    </r>
  </si>
  <si>
    <t xml:space="preserve">F#195</t>
  </si>
  <si>
    <r>
      <rPr>
        <sz val="11"/>
        <color rgb="FF808080"/>
        <rFont val="Cambria"/>
        <family val="0"/>
        <charset val="1"/>
      </rPr>
      <t xml:space="preserve">2024 </t>
    </r>
    <r>
      <rPr>
        <sz val="11"/>
        <color rgb="FF808080"/>
        <rFont val="Noto Sans CJK SC"/>
        <family val="2"/>
      </rPr>
      <t xml:space="preserve">燒錢 </t>
    </r>
    <r>
      <rPr>
        <sz val="11"/>
        <color rgb="FF808080"/>
        <rFont val="Cambria"/>
        <family val="0"/>
        <charset val="1"/>
      </rPr>
      <t xml:space="preserve">5.6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SRC_ANT_290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</si>
  <si>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Yahoo Finance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The Information</t>
    </r>
    <r>
      <rPr>
        <sz val="11"/>
        <color rgb="FF808080"/>
        <rFont val="Noto Sans CJK SC"/>
        <family val="2"/>
      </rPr>
      <t xml:space="preserve">）</t>
    </r>
  </si>
  <si>
    <t xml:space="preserve">https://finance.yahoo.com/news/anthropic-projects-soaring-growth-34-002016708.html</t>
  </si>
  <si>
    <t xml:space="preserve">F#196</t>
  </si>
  <si>
    <t xml:space="preserve">cash_level</t>
  </si>
  <si>
    <r>
      <rPr>
        <sz val="11"/>
        <color rgb="FF808080"/>
        <rFont val="Noto Sans CJK SC"/>
        <family val="2"/>
      </rPr>
      <t xml:space="preserve">現金與短投 </t>
    </r>
    <r>
      <rPr>
        <sz val="11"/>
        <color rgb="FF808080"/>
        <rFont val="Cambria"/>
        <family val="0"/>
        <charset val="1"/>
      </rPr>
      <t xml:space="preserve">20.28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 </t>
    </r>
    <r>
      <rPr>
        <sz val="11"/>
        <color rgb="FF808080"/>
        <rFont val="Noto Sans CJK SC"/>
        <family val="2"/>
      </rPr>
      <t xml:space="preserve">年底；招股書草稿）（</t>
    </r>
    <r>
      <rPr>
        <sz val="11"/>
        <color rgb="FF808080"/>
        <rFont val="Cambria"/>
        <family val="0"/>
        <charset val="1"/>
      </rPr>
      <t xml:space="preserve">SRC_ANT_305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</si>
  <si>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TNW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Reuters </t>
    </r>
    <r>
      <rPr>
        <sz val="11"/>
        <color rgb="FF808080"/>
        <rFont val="Noto Sans CJK SC"/>
        <family val="2"/>
      </rPr>
      <t xml:space="preserve">所見草稿）</t>
    </r>
  </si>
  <si>
    <t xml:space="preserve">https://thenextweb.com/news/anthropic-ipo-prospectus-42bn-loss-518bn-compute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</si>
  <si>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item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20.28 </t>
    </r>
    <r>
      <rPr>
        <sz val="11"/>
        <color rgb="FF808080"/>
        <rFont val="Noto Sans CJK SC"/>
        <family val="2"/>
      </rPr>
      <t xml:space="preserve">為期末現金與短投存量；</t>
    </r>
    <r>
      <rPr>
        <sz val="11"/>
        <color rgb="FF808080"/>
        <rFont val="Cambria"/>
        <family val="0"/>
        <charset val="1"/>
      </rPr>
      <t xml:space="preserve">value</t>
    </r>
    <r>
      <rPr>
        <sz val="11"/>
        <color rgb="FF808080"/>
        <rFont val="Noto Sans CJK SC"/>
        <family val="2"/>
      </rPr>
      <t xml:space="preserve">：正值存量</t>
    </r>
  </si>
  <si>
    <t xml:space="preserve">F#197</t>
  </si>
  <si>
    <t xml:space="preserve">2026Q3</t>
  </si>
  <si>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營收 </t>
    </r>
    <r>
      <rPr>
        <sz val="11"/>
        <color rgb="FF808080"/>
        <rFont val="Cambria"/>
        <family val="0"/>
        <charset val="1"/>
      </rPr>
      <t xml:space="preserve">16.8</t>
    </r>
    <r>
      <rPr>
        <sz val="11"/>
        <color rgb="FF808080"/>
        <rFont val="Noto Sans CJK SC"/>
        <family val="2"/>
      </rPr>
      <t xml:space="preserve">、自由現金流為正（定性，未給金額）（</t>
    </r>
    <r>
      <rPr>
        <sz val="11"/>
        <color rgb="FF808080"/>
        <rFont val="Cambria"/>
        <family val="0"/>
        <charset val="1"/>
      </rPr>
      <t xml:space="preserve">SRC_ANT_384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386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</si>
  <si>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Euronews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Implicator</t>
    </r>
  </si>
  <si>
    <t xml:space="preserve">https://www.euronews.com/2026/10/15/anthropic-revenue-jumps-46-to-168bn-as-ai-firm-eyes-record-2-trillion-ipo-valuation</t>
  </si>
  <si>
    <t xml:space="preserve">F#198</t>
  </si>
  <si>
    <t xml:space="preserve">2026-11</t>
  </si>
  <si>
    <r>
      <rPr>
        <sz val="11"/>
        <color rgb="FF808080"/>
        <rFont val="Cambria"/>
        <family val="0"/>
        <charset val="1"/>
      </rPr>
      <t xml:space="preserve">IPO </t>
    </r>
    <r>
      <rPr>
        <sz val="11"/>
        <color rgb="FF808080"/>
        <rFont val="Noto Sans CJK SC"/>
        <family val="2"/>
      </rPr>
      <t xml:space="preserve">預計募約 </t>
    </r>
    <r>
      <rPr>
        <sz val="11"/>
        <color rgb="FF808080"/>
        <rFont val="Cambria"/>
        <family val="0"/>
        <charset val="1"/>
      </rPr>
      <t xml:space="preserve">100</t>
    </r>
    <r>
      <rPr>
        <sz val="11"/>
        <color rgb="FF808080"/>
        <rFont val="Noto Sans CJK SC"/>
        <family val="2"/>
      </rPr>
      <t xml:space="preserve">、估值 </t>
    </r>
    <r>
      <rPr>
        <sz val="11"/>
        <color rgb="FF808080"/>
        <rFont val="Cambria"/>
        <family val="0"/>
        <charset val="1"/>
      </rPr>
      <t xml:space="preserve">1.8–2 </t>
    </r>
    <r>
      <rPr>
        <sz val="11"/>
        <color rgb="FF808080"/>
        <rFont val="Noto Sans CJK SC"/>
        <family val="2"/>
      </rPr>
      <t xml:space="preserve">兆、</t>
    </r>
    <r>
      <rPr>
        <sz val="11"/>
        <color rgb="FF808080"/>
        <rFont val="Cambria"/>
        <family val="0"/>
        <charset val="1"/>
      </rPr>
      <t xml:space="preserve">11 </t>
    </r>
    <r>
      <rPr>
        <sz val="11"/>
        <color rgb="FF808080"/>
        <rFont val="Noto Sans CJK SC"/>
        <family val="2"/>
      </rPr>
      <t xml:space="preserve">月掛牌（</t>
    </r>
    <r>
      <rPr>
        <sz val="11"/>
        <color rgb="FF808080"/>
        <rFont val="Cambria"/>
        <family val="0"/>
        <charset val="1"/>
      </rPr>
      <t xml:space="preserve">SRC_ANT_340–342</t>
    </r>
    <r>
      <rPr>
        <sz val="11"/>
        <color rgb="FF808080"/>
        <rFont val="Noto Sans CJK SC"/>
        <family val="2"/>
      </rPr>
      <t xml:space="preserve">）</t>
    </r>
  </si>
  <si>
    <t xml:space="preserve">Yahoo Finance</t>
  </si>
  <si>
    <t xml:space="preserve">https://finance.yahoo.com/markets/stocks/articles/anthropic-targets-2-trillion-ipo-150408036.html</t>
  </si>
  <si>
    <t xml:space="preserve">F#199</t>
  </si>
  <si>
    <t xml:space="preserve">2026-05-20</t>
  </si>
  <si>
    <r>
      <rPr>
        <sz val="11"/>
        <color rgb="FF808080"/>
        <rFont val="Noto Sans CJK SC"/>
        <family val="2"/>
      </rPr>
      <t xml:space="preserve">付 </t>
    </r>
    <r>
      <rPr>
        <sz val="11"/>
        <color rgb="FF808080"/>
        <rFont val="Cambria"/>
        <family val="0"/>
        <charset val="1"/>
      </rPr>
      <t xml:space="preserve">SpaceX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xAI Colossus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Colossus II</t>
    </r>
    <r>
      <rPr>
        <sz val="11"/>
        <color rgb="FF808080"/>
        <rFont val="Noto Sans CJK SC"/>
        <family val="2"/>
      </rPr>
      <t xml:space="preserve">）每月 </t>
    </r>
    <r>
      <rPr>
        <sz val="11"/>
        <color rgb="FF808080"/>
        <rFont val="Cambria"/>
        <family val="0"/>
        <charset val="1"/>
      </rPr>
      <t xml:space="preserve">1.25 </t>
    </r>
    <r>
      <rPr>
        <sz val="11"/>
        <color rgb="FF808080"/>
        <rFont val="Noto Sans CJK SC"/>
        <family val="2"/>
      </rPr>
      <t xml:space="preserve">至 </t>
    </r>
    <r>
      <rPr>
        <sz val="11"/>
        <color rgb="FF808080"/>
        <rFont val="Cambria"/>
        <family val="0"/>
        <charset val="1"/>
      </rPr>
      <t xml:space="preserve">2029-05</t>
    </r>
    <r>
      <rPr>
        <sz val="11"/>
        <color rgb="FF808080"/>
        <rFont val="Noto Sans CJK SC"/>
        <family val="2"/>
      </rPr>
      <t xml:space="preserve">，年化 </t>
    </r>
    <r>
      <rPr>
        <sz val="11"/>
        <color rgb="FF808080"/>
        <rFont val="Cambria"/>
        <family val="0"/>
        <charset val="1"/>
      </rPr>
      <t xml:space="preserve">15 </t>
    </r>
    <r>
      <rPr>
        <sz val="11"/>
        <color rgb="FF808080"/>
        <rFont val="Noto Sans CJK SC"/>
        <family val="2"/>
      </rPr>
      <t xml:space="preserve">為上限；</t>
    </r>
    <r>
      <rPr>
        <sz val="11"/>
        <color rgb="FF808080"/>
        <rFont val="Cambria"/>
        <family val="0"/>
        <charset val="1"/>
      </rPr>
      <t xml:space="preserve">90 </t>
    </r>
    <r>
      <rPr>
        <sz val="11"/>
        <color rgb="FF808080"/>
        <rFont val="Noto Sans CJK SC"/>
        <family val="2"/>
      </rPr>
      <t xml:space="preserve">天可終止（</t>
    </r>
    <r>
      <rPr>
        <sz val="11"/>
        <color rgb="FF808080"/>
        <rFont val="Cambria"/>
        <family val="0"/>
        <charset val="1"/>
      </rPr>
      <t xml:space="preserve">SRC_ANT_227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</si>
  <si>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[Derived]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Reuters </t>
    </r>
    <r>
      <rPr>
        <sz val="11"/>
        <color rgb="FF808080"/>
        <rFont val="Noto Sans CJK SC"/>
        <family val="2"/>
      </rPr>
      <t xml:space="preserve">轉述 </t>
    </r>
    <r>
      <rPr>
        <sz val="11"/>
        <color rgb="FF808080"/>
        <rFont val="Cambria"/>
        <family val="0"/>
        <charset val="1"/>
      </rPr>
      <t xml:space="preserve">SpaceX S-1</t>
    </r>
    <r>
      <rPr>
        <sz val="11"/>
        <color rgb="FF808080"/>
        <rFont val="Noto Sans CJK SC"/>
        <family val="2"/>
      </rPr>
      <t xml:space="preserve">；年化 </t>
    </r>
    <r>
      <rPr>
        <sz val="11"/>
        <color rgb="FF808080"/>
        <rFont val="Cambria"/>
        <family val="0"/>
        <charset val="1"/>
      </rPr>
      <t xml:space="preserve">15 </t>
    </r>
    <r>
      <rPr>
        <sz val="11"/>
        <color rgb="FF808080"/>
        <rFont val="Noto Sans CJK SC"/>
        <family val="2"/>
      </rPr>
      <t xml:space="preserve">為上限，爬坡期減免）</t>
    </r>
  </si>
  <si>
    <r>
      <rPr>
        <sz val="11"/>
        <color rgb="FF808080"/>
        <rFont val="Cambria"/>
        <family val="0"/>
        <charset val="1"/>
      </rPr>
      <t xml:space="preserve">SpaceX IPO </t>
    </r>
    <r>
      <rPr>
        <sz val="11"/>
        <color rgb="FF808080"/>
        <rFont val="Noto Sans CJK SC"/>
        <family val="2"/>
      </rPr>
      <t xml:space="preserve">申報（</t>
    </r>
    <r>
      <rPr>
        <sz val="11"/>
        <color rgb="FF808080"/>
        <rFont val="Cambria"/>
        <family val="0"/>
        <charset val="1"/>
      </rPr>
      <t xml:space="preserve">Yahoo </t>
    </r>
    <r>
      <rPr>
        <sz val="11"/>
        <color rgb="FF808080"/>
        <rFont val="Noto Sans CJK SC"/>
        <family val="2"/>
      </rPr>
      <t xml:space="preserve">轉述）</t>
    </r>
  </si>
  <si>
    <t xml:space="preserve">https://finance.yahoo.com/sectors/technology/articles/anthropic-nears-first-quarterly-profit-000422401.html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</si>
  <si>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，取代 </t>
    </r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段）：這是 </t>
    </r>
    <r>
      <rPr>
        <sz val="11"/>
        <color rgb="FF808080"/>
        <rFont val="Cambria"/>
        <family val="0"/>
        <charset val="1"/>
      </rPr>
      <t xml:space="preserve">Anthropic </t>
    </r>
    <r>
      <rPr>
        <sz val="11"/>
        <color rgb="FF808080"/>
        <rFont val="Noto Sans CJK SC"/>
        <family val="2"/>
      </rPr>
      <t xml:space="preserve">付給 </t>
    </r>
    <r>
      <rPr>
        <sz val="11"/>
        <color rgb="FF808080"/>
        <rFont val="Cambria"/>
        <family val="0"/>
        <charset val="1"/>
      </rPr>
      <t xml:space="preserve">SpaceX </t>
    </r>
    <r>
      <rPr>
        <sz val="11"/>
        <color rgb="FF808080"/>
        <rFont val="Noto Sans CJK SC"/>
        <family val="2"/>
      </rPr>
      <t xml:space="preserve">的算力採購，不是融資 → 不採用；『至 </t>
    </r>
    <r>
      <rPr>
        <sz val="11"/>
        <color rgb="FF808080"/>
        <rFont val="Cambria"/>
        <family val="0"/>
        <charset val="1"/>
      </rPr>
      <t xml:space="preserve">2029-05</t>
    </r>
    <r>
      <rPr>
        <sz val="11"/>
        <color rgb="FF808080"/>
        <rFont val="Noto Sans CJK SC"/>
        <family val="2"/>
      </rPr>
      <t xml:space="preserve">』原文有（</t>
    </r>
    <r>
      <rPr>
        <sz val="11"/>
        <color rgb="FF808080"/>
        <rFont val="Cambria"/>
        <family val="0"/>
        <charset val="1"/>
      </rPr>
      <t xml:space="preserve">Reuters </t>
    </r>
    <r>
      <rPr>
        <sz val="11"/>
        <color rgb="FF808080"/>
        <rFont val="Noto Sans CJK SC"/>
        <family val="2"/>
      </rPr>
      <t xml:space="preserve">經 </t>
    </r>
    <r>
      <rPr>
        <sz val="11"/>
        <color rgb="FF808080"/>
        <rFont val="Cambria"/>
        <family val="0"/>
        <charset val="1"/>
      </rPr>
      <t xml:space="preserve">Yahoo</t>
    </r>
    <r>
      <rPr>
        <sz val="11"/>
        <color rgb="FF808080"/>
        <rFont val="Noto Sans CJK SC"/>
        <family val="2"/>
      </rPr>
      <t xml:space="preserve">），撤回 </t>
    </r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段刪除；年化 </t>
    </r>
    <r>
      <rPr>
        <sz val="11"/>
        <color rgb="FF808080"/>
        <rFont val="Cambria"/>
        <family val="0"/>
        <charset val="1"/>
      </rPr>
      <t xml:space="preserve">15 </t>
    </r>
    <r>
      <rPr>
        <sz val="11"/>
        <color rgb="FF808080"/>
        <rFont val="Noto Sans CJK SC"/>
        <family val="2"/>
      </rPr>
      <t xml:space="preserve">為 </t>
    </r>
    <r>
      <rPr>
        <sz val="11"/>
        <color rgb="FF808080"/>
        <rFont val="Cambria"/>
        <family val="0"/>
        <charset val="1"/>
      </rPr>
      <t xml:space="preserve">[Derived] </t>
    </r>
    <r>
      <rPr>
        <sz val="11"/>
        <color rgb="FF808080"/>
        <rFont val="Noto Sans CJK SC"/>
        <family val="2"/>
      </rPr>
      <t xml:space="preserve">上限（爬坡期減免）</t>
    </r>
  </si>
  <si>
    <t xml:space="preserve">F#200</t>
  </si>
  <si>
    <r>
      <rPr>
        <sz val="11"/>
        <color rgb="FF808080"/>
        <rFont val="Cambria"/>
        <family val="0"/>
        <charset val="1"/>
      </rPr>
      <t xml:space="preserve">xAI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SpaceX</t>
    </r>
    <r>
      <rPr>
        <sz val="11"/>
        <color rgb="FF808080"/>
        <rFont val="Noto Sans CJK SC"/>
        <family val="2"/>
      </rPr>
      <t xml:space="preserve">）</t>
    </r>
  </si>
  <si>
    <t xml:space="preserve">2025-07-01</t>
  </si>
  <si>
    <r>
      <rPr>
        <sz val="11"/>
        <color rgb="FF808080"/>
        <rFont val="Noto Sans CJK SC"/>
        <family val="2"/>
      </rPr>
      <t xml:space="preserve">債 </t>
    </r>
    <r>
      <rPr>
        <sz val="11"/>
        <color rgb="FF808080"/>
        <rFont val="Cambria"/>
        <family val="0"/>
        <charset val="1"/>
      </rPr>
      <t xml:space="preserve">5</t>
    </r>
    <r>
      <rPr>
        <sz val="11"/>
        <color rgb="FF808080"/>
        <rFont val="Noto Sans CJK SC"/>
        <family val="2"/>
      </rPr>
      <t xml:space="preserve">（債券＋貸款；</t>
    </r>
    <r>
      <rPr>
        <sz val="11"/>
        <color rgb="FF808080"/>
        <rFont val="Cambria"/>
        <family val="0"/>
        <charset val="1"/>
      </rPr>
      <t xml:space="preserve">Morgan Stanley </t>
    </r>
    <r>
      <rPr>
        <sz val="11"/>
        <color rgb="FF808080"/>
        <rFont val="Noto Sans CJK SC"/>
        <family val="2"/>
      </rPr>
      <t xml:space="preserve">安排）＋另 </t>
    </r>
    <r>
      <rPr>
        <sz val="11"/>
        <color rgb="FF808080"/>
        <rFont val="Cambria"/>
        <family val="0"/>
        <charset val="1"/>
      </rPr>
      <t xml:space="preserve">5 </t>
    </r>
    <r>
      <rPr>
        <sz val="11"/>
        <color rgb="FF808080"/>
        <rFont val="Noto Sans CJK SC"/>
        <family val="2"/>
      </rPr>
      <t xml:space="preserve">策略股權</t>
    </r>
  </si>
  <si>
    <r>
      <rPr>
        <sz val="11"/>
        <color rgb="FF808080"/>
        <rFont val="Cambria"/>
        <family val="0"/>
        <charset val="1"/>
      </rPr>
      <t xml:space="preserve">TechCrunch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Morgan Stanley </t>
    </r>
    <r>
      <rPr>
        <sz val="11"/>
        <color rgb="FF808080"/>
        <rFont val="Noto Sans CJK SC"/>
        <family val="2"/>
      </rPr>
      <t xml:space="preserve">於 </t>
    </r>
    <r>
      <rPr>
        <sz val="11"/>
        <color rgb="FF808080"/>
        <rFont val="Cambria"/>
        <family val="0"/>
        <charset val="1"/>
      </rPr>
      <t xml:space="preserve">X </t>
    </r>
    <r>
      <rPr>
        <sz val="11"/>
        <color rgb="FF808080"/>
        <rFont val="Noto Sans CJK SC"/>
        <family val="2"/>
      </rPr>
      <t xml:space="preserve">公布）</t>
    </r>
  </si>
  <si>
    <t xml:space="preserve">https://techcrunch.com/2025/07/01/xai-raises-10b-in-debt-and-equity/</t>
  </si>
  <si>
    <t xml:space="preserve">F#201</t>
  </si>
  <si>
    <r>
      <rPr>
        <sz val="11"/>
        <color rgb="FF808080"/>
        <rFont val="Noto Sans CJK SC"/>
        <family val="2"/>
      </rPr>
      <t xml:space="preserve">策略股權 </t>
    </r>
    <r>
      <rPr>
        <sz val="11"/>
        <color rgb="FF808080"/>
        <rFont val="Cambria"/>
        <family val="0"/>
        <charset val="1"/>
      </rPr>
      <t xml:space="preserve">5</t>
    </r>
    <r>
      <rPr>
        <sz val="11"/>
        <color rgb="FF808080"/>
        <rFont val="Noto Sans CJK SC"/>
        <family val="2"/>
      </rPr>
      <t xml:space="preserve">；累計募資約 </t>
    </r>
    <r>
      <rPr>
        <sz val="11"/>
        <color rgb="FF808080"/>
        <rFont val="Cambria"/>
        <family val="0"/>
        <charset val="1"/>
      </rPr>
      <t xml:space="preserve">17</t>
    </r>
    <r>
      <rPr>
        <sz val="11"/>
        <color rgb="FF808080"/>
        <rFont val="Noto Sans CJK SC"/>
        <family val="2"/>
      </rPr>
      <t xml:space="preserve">（含 </t>
    </r>
    <r>
      <rPr>
        <sz val="11"/>
        <color rgb="FF808080"/>
        <rFont val="Cambria"/>
        <family val="0"/>
        <charset val="1"/>
      </rPr>
      <t xml:space="preserve">2024-12 6.0</t>
    </r>
    <r>
      <rPr>
        <sz val="11"/>
        <color rgb="FF808080"/>
        <rFont val="Noto Sans CJK SC"/>
        <family val="2"/>
      </rPr>
      <t xml:space="preserve">）</t>
    </r>
  </si>
  <si>
    <t xml:space="preserve">F#202</t>
  </si>
  <si>
    <r>
      <rPr>
        <sz val="11"/>
        <color rgb="FF808080"/>
        <rFont val="Noto Sans CJK SC"/>
        <family val="2"/>
      </rPr>
      <t xml:space="preserve">報導 </t>
    </r>
    <r>
      <rPr>
        <sz val="11"/>
        <color rgb="FF808080"/>
        <rFont val="Cambria"/>
        <family val="0"/>
        <charset val="1"/>
      </rPr>
      <t xml:space="preserve">20 </t>
    </r>
    <r>
      <rPr>
        <sz val="11"/>
        <color rgb="FF808080"/>
        <rFont val="Noto Sans CJK SC"/>
        <family val="2"/>
      </rPr>
      <t xml:space="preserve">輪：股權 </t>
    </r>
    <r>
      <rPr>
        <sz val="11"/>
        <color rgb="FF808080"/>
        <rFont val="Cambria"/>
        <family val="0"/>
        <charset val="1"/>
      </rPr>
      <t xml:space="preserve">7.5</t>
    </r>
    <r>
      <rPr>
        <sz val="11"/>
        <color rgb="FF808080"/>
        <rFont val="Noto Sans CJK SC"/>
        <family val="2"/>
      </rPr>
      <t xml:space="preserve">＋最多 </t>
    </r>
    <r>
      <rPr>
        <sz val="11"/>
        <color rgb="FF808080"/>
        <rFont val="Cambria"/>
        <family val="0"/>
        <charset val="1"/>
      </rPr>
      <t xml:space="preserve">12.5 SPV </t>
    </r>
    <r>
      <rPr>
        <sz val="11"/>
        <color rgb="FF808080"/>
        <rFont val="Noto Sans CJK SC"/>
        <family val="2"/>
      </rPr>
      <t xml:space="preserve">債（</t>
    </r>
    <r>
      <rPr>
        <sz val="11"/>
        <color rgb="FF808080"/>
        <rFont val="Cambria"/>
        <family val="0"/>
        <charset val="1"/>
      </rPr>
      <t xml:space="preserve">SPV </t>
    </r>
    <r>
      <rPr>
        <sz val="11"/>
        <color rgb="FF808080"/>
        <rFont val="Noto Sans CJK SC"/>
        <family val="2"/>
      </rPr>
      <t xml:space="preserve">買 </t>
    </r>
    <r>
      <rPr>
        <sz val="11"/>
        <color rgb="FF808080"/>
        <rFont val="Cambria"/>
        <family val="0"/>
        <charset val="1"/>
      </rPr>
      <t xml:space="preserve">NVIDIA GPU </t>
    </r>
    <r>
      <rPr>
        <sz val="11"/>
        <color rgb="FF808080"/>
        <rFont val="Noto Sans CJK SC"/>
        <family val="2"/>
      </rPr>
      <t xml:space="preserve">租給 </t>
    </r>
    <r>
      <rPr>
        <sz val="11"/>
        <color rgb="FF808080"/>
        <rFont val="Cambria"/>
        <family val="0"/>
        <charset val="1"/>
      </rPr>
      <t xml:space="preserve">xAI 5 </t>
    </r>
    <r>
      <rPr>
        <sz val="11"/>
        <color rgb="FF808080"/>
        <rFont val="Noto Sans CJK SC"/>
        <family val="2"/>
      </rPr>
      <t xml:space="preserve">年；</t>
    </r>
    <r>
      <rPr>
        <sz val="11"/>
        <color rgb="FF808080"/>
        <rFont val="Cambria"/>
        <family val="0"/>
        <charset val="1"/>
      </rPr>
      <t xml:space="preserve">Apollo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Diameter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NVIDIA </t>
    </r>
    <r>
      <rPr>
        <sz val="11"/>
        <color rgb="FF808080"/>
        <rFont val="Noto Sans CJK SC"/>
        <family val="2"/>
      </rPr>
      <t xml:space="preserve">股權最多 </t>
    </r>
    <r>
      <rPr>
        <sz val="11"/>
        <color rgb="FF808080"/>
        <rFont val="Cambria"/>
        <family val="0"/>
        <charset val="1"/>
      </rPr>
      <t xml:space="preserve">2</t>
    </r>
  </si>
  <si>
    <r>
      <rPr>
        <sz val="11"/>
        <color rgb="FF808080"/>
        <rFont val="Cambria"/>
        <family val="0"/>
        <charset val="1"/>
      </rPr>
      <t xml:space="preserve">Yahoo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Verdict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</si>
  <si>
    <t xml:space="preserve">https://finance.yahoo.com/news/nvidia-reportedly-invest-2bn-elon-101712438.html</t>
  </si>
  <si>
    <t xml:space="preserve">F#203</t>
  </si>
  <si>
    <t xml:space="preserve">2026-01-07</t>
  </si>
  <si>
    <r>
      <rPr>
        <sz val="11"/>
        <color rgb="FF808080"/>
        <rFont val="Cambria"/>
        <family val="0"/>
        <charset val="1"/>
      </rPr>
      <t xml:space="preserve">Series E 20</t>
    </r>
    <r>
      <rPr>
        <sz val="11"/>
        <color rgb="FF808080"/>
        <rFont val="Noto Sans CJK SC"/>
        <family val="2"/>
      </rPr>
      <t xml:space="preserve">（原目標 </t>
    </r>
    <r>
      <rPr>
        <sz val="11"/>
        <color rgb="FF808080"/>
        <rFont val="Cambria"/>
        <family val="0"/>
        <charset val="1"/>
      </rPr>
      <t xml:space="preserve">15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Valor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StepStone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Fidelity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QIA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NVIDIA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Cisco </t>
    </r>
    <r>
      <rPr>
        <sz val="11"/>
        <color rgb="FF808080"/>
        <rFont val="Noto Sans CJK SC"/>
        <family val="2"/>
      </rPr>
      <t xml:space="preserve">策略投資；估值約 </t>
    </r>
    <r>
      <rPr>
        <sz val="11"/>
        <color rgb="FF808080"/>
        <rFont val="Cambria"/>
        <family val="0"/>
        <charset val="1"/>
      </rPr>
      <t xml:space="preserve">230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CNBC</t>
    </r>
    <r>
      <rPr>
        <sz val="11"/>
        <color rgb="FF808080"/>
        <rFont val="Noto Sans CJK SC"/>
        <family val="2"/>
      </rPr>
      <t xml:space="preserve">）</t>
    </r>
  </si>
  <si>
    <t xml:space="preserve">https://finance.yahoo.com/news/musk-xai-secures-20bn-series-103526032.html</t>
  </si>
  <si>
    <t xml:space="preserve">F#204</t>
  </si>
  <si>
    <t xml:space="preserve">valuation</t>
  </si>
  <si>
    <r>
      <rPr>
        <sz val="11"/>
        <color rgb="FF808080"/>
        <rFont val="Cambria"/>
        <family val="0"/>
        <charset val="1"/>
      </rPr>
      <t xml:space="preserve">SpaceX </t>
    </r>
    <r>
      <rPr>
        <sz val="11"/>
        <color rgb="FF808080"/>
        <rFont val="Noto Sans CJK SC"/>
        <family val="2"/>
      </rPr>
      <t xml:space="preserve">全股併購 </t>
    </r>
    <r>
      <rPr>
        <sz val="11"/>
        <color rgb="FF808080"/>
        <rFont val="Cambria"/>
        <family val="0"/>
        <charset val="1"/>
      </rPr>
      <t xml:space="preserve">xAI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xAI </t>
    </r>
    <r>
      <rPr>
        <sz val="11"/>
        <color rgb="FF808080"/>
        <rFont val="Noto Sans CJK SC"/>
        <family val="2"/>
      </rPr>
      <t xml:space="preserve">估值 </t>
    </r>
    <r>
      <rPr>
        <sz val="11"/>
        <color rgb="FF808080"/>
        <rFont val="Cambria"/>
        <family val="0"/>
        <charset val="1"/>
      </rPr>
      <t xml:space="preserve">250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SpaceX 1,000</t>
    </r>
    <r>
      <rPr>
        <sz val="11"/>
        <color rgb="FF808080"/>
        <rFont val="Noto Sans CJK SC"/>
        <family val="2"/>
      </rPr>
      <t xml:space="preserve">、合計 </t>
    </r>
    <r>
      <rPr>
        <sz val="11"/>
        <color rgb="FF808080"/>
        <rFont val="Cambria"/>
        <family val="0"/>
        <charset val="1"/>
      </rPr>
      <t xml:space="preserve">1.25 </t>
    </r>
    <r>
      <rPr>
        <sz val="11"/>
        <color rgb="FF808080"/>
        <rFont val="Noto Sans CJK SC"/>
        <family val="2"/>
      </rPr>
      <t xml:space="preserve">兆（員工備忘錄＋知情人士）</t>
    </r>
  </si>
  <si>
    <r>
      <rPr>
        <sz val="11"/>
        <color rgb="FF808080"/>
        <rFont val="Cambria"/>
        <family val="0"/>
        <charset val="1"/>
      </rPr>
      <t xml:space="preserve">Taipei Times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</si>
  <si>
    <t xml:space="preserve">https://www.taipeitimes.com/News/biz/archives/2026/02/04/2003851720</t>
  </si>
  <si>
    <t xml:space="preserve">F#205</t>
  </si>
  <si>
    <t xml:space="preserve">capex_ai_seg</t>
  </si>
  <si>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12.7</t>
    </r>
    <r>
      <rPr>
        <sz val="11"/>
        <color theme="1"/>
        <rFont val="Noto Sans CJK SC"/>
        <family val="2"/>
      </rPr>
      <t xml:space="preserve">；新增債務 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</si>
  <si>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SpaceX S-1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轉述）</t>
    </r>
  </si>
  <si>
    <t xml:space="preserve">https://finance.yahoo.com/markets/stocks/articles/financials-look-reckless-lifting-xai-000608351.html</t>
  </si>
  <si>
    <t xml:space="preserve">F#206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</si>
  <si>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合併 </t>
    </r>
    <r>
      <rPr>
        <sz val="11"/>
        <color theme="1"/>
        <rFont val="Calibri"/>
        <family val="2"/>
        <charset val="1"/>
      </rPr>
      <t xml:space="preserve">OCF 2025</t>
    </r>
  </si>
  <si>
    <r>
      <rPr>
        <sz val="11"/>
        <color theme="1"/>
        <rFont val="Calibri"/>
        <family val="2"/>
        <charset val="1"/>
      </rPr>
      <t xml:space="preserve">SpaceX S-1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REX </t>
    </r>
    <r>
      <rPr>
        <sz val="11"/>
        <color theme="1"/>
        <rFont val="Noto Sans CJK SC"/>
        <family val="2"/>
      </rPr>
      <t xml:space="preserve">轉述）</t>
    </r>
  </si>
  <si>
    <t xml:space="preserve">https://www.rexshares.com/spacexs-75-billion-ipo-in-five-charts/</t>
  </si>
  <si>
    <t xml:space="preserve">F#207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</si>
  <si>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合併資本支出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占比由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升至 </t>
    </r>
    <r>
      <rPr>
        <sz val="11"/>
        <color theme="1"/>
        <rFont val="Calibri"/>
        <family val="2"/>
        <charset val="1"/>
      </rPr>
      <t xml:space="preserve">76%</t>
    </r>
    <r>
      <rPr>
        <sz val="11"/>
        <color theme="1"/>
        <rFont val="Noto Sans CJK SC"/>
        <family val="2"/>
      </rPr>
      <t xml:space="preserve">）</t>
    </r>
  </si>
  <si>
    <t xml:space="preserve">F#208</t>
  </si>
  <si>
    <t xml:space="preserve">6.8 − 20.7</t>
  </si>
  <si>
    <t xml:space="preserve">SpaceX S-1</t>
  </si>
  <si>
    <t xml:space="preserve">F#209</t>
  </si>
  <si>
    <t xml:space="preserve">bridge_refi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</si>
  <si>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過橋貸款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 </t>
    </r>
    <r>
      <rPr>
        <sz val="11"/>
        <color theme="1"/>
        <rFont val="Noto Sans CJK SC"/>
        <family val="2"/>
      </rPr>
      <t xml:space="preserve">到期）償還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舊債</t>
    </r>
  </si>
  <si>
    <r>
      <rPr>
        <sz val="11"/>
        <color theme="1"/>
        <rFont val="Calibri"/>
        <family val="2"/>
        <charset val="1"/>
      </rPr>
      <t xml:space="preserve">SpaceX S-1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</si>
  <si>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段更正：用途『償還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舊債』不在 </t>
    </r>
    <r>
      <rPr>
        <sz val="11"/>
        <color theme="1"/>
        <rFont val="Calibri"/>
        <family val="2"/>
        <charset val="1"/>
      </rPr>
      <t xml:space="preserve">rexshares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F214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債為再融資關係，不重複計入</t>
    </r>
  </si>
  <si>
    <t xml:space="preserve">F#210</t>
  </si>
  <si>
    <t xml:space="preserve">2026Q1</t>
  </si>
  <si>
    <r>
      <rPr>
        <sz val="11"/>
        <color theme="1"/>
        <rFont val="Noto Sans CJK SC"/>
        <family val="2"/>
      </rPr>
      <t xml:space="preserve">合併 </t>
    </r>
    <r>
      <rPr>
        <sz val="11"/>
        <color theme="1"/>
        <rFont val="Calibri"/>
        <family val="2"/>
        <charset val="1"/>
      </rPr>
      <t xml:space="preserve">10.1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7.7</t>
    </r>
  </si>
  <si>
    <t xml:space="preserve">F#211</t>
  </si>
  <si>
    <t xml:space="preserve">2026Q2</t>
  </si>
  <si>
    <r>
      <rPr>
        <sz val="11"/>
        <color theme="1"/>
        <rFont val="Noto Sans CJK SC"/>
        <family val="2"/>
      </rPr>
      <t xml:space="preserve">合併約 </t>
    </r>
    <r>
      <rPr>
        <sz val="11"/>
        <color theme="1"/>
        <rFont val="Calibri"/>
        <family val="2"/>
        <charset val="1"/>
      </rPr>
      <t xml:space="preserve">18.4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 </t>
    </r>
    <r>
      <rPr>
        <sz val="11"/>
        <color theme="1"/>
        <rFont val="Calibri"/>
        <family val="2"/>
        <charset val="1"/>
      </rPr>
      <t xml:space="preserve">15.8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稱下兩季相近</t>
    </r>
  </si>
  <si>
    <r>
      <rPr>
        <sz val="11"/>
        <color theme="1"/>
        <rFont val="Calibri"/>
        <family val="2"/>
        <charset val="1"/>
      </rPr>
      <t xml:space="preserve">Nasdaq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Q2 </t>
    </r>
    <r>
      <rPr>
        <sz val="11"/>
        <color theme="1"/>
        <rFont val="Noto Sans CJK SC"/>
        <family val="2"/>
      </rPr>
      <t xml:space="preserve">法說）</t>
    </r>
  </si>
  <si>
    <t xml:space="preserve">https://www.nasdaq.com/articles/spacex-q2-earnings-call-highlights</t>
  </si>
  <si>
    <t xml:space="preserve">F#212</t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</si>
  <si>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OCF</t>
    </r>
    <r>
      <rPr>
        <sz val="11"/>
        <color theme="1"/>
        <rFont val="Noto Sans CJK SC"/>
        <family val="2"/>
      </rPr>
      <t xml:space="preserve">（第三方由申報整理）；</t>
    </r>
    <r>
      <rPr>
        <sz val="11"/>
        <color theme="1"/>
        <rFont val="Calibri"/>
        <family val="2"/>
        <charset val="1"/>
      </rPr>
      <t xml:space="preserve">H1 FCF </t>
    </r>
    <r>
      <rPr>
        <sz val="11"/>
        <color theme="1"/>
        <rFont val="Noto Sans CJK SC"/>
        <family val="2"/>
      </rPr>
      <t xml:space="preserve">約 −</t>
    </r>
    <r>
      <rPr>
        <sz val="11"/>
        <color theme="1"/>
        <rFont val="Calibri"/>
        <family val="2"/>
        <charset val="1"/>
      </rPr>
      <t xml:space="preserve">25</t>
    </r>
  </si>
  <si>
    <t xml:space="preserve">AI2Work</t>
  </si>
  <si>
    <t xml:space="preserve">https://ai2.work/blog/spacex-put-15-8b-into-ai-compute-in-one-quarter-what-it-means</t>
  </si>
  <si>
    <t xml:space="preserve">F#213</t>
  </si>
  <si>
    <t xml:space="preserve">2026-06-12</t>
  </si>
  <si>
    <r>
      <rPr>
        <sz val="11"/>
        <color theme="1"/>
        <rFont val="Calibri"/>
        <family val="2"/>
        <charset val="1"/>
      </rPr>
      <t xml:space="preserve">IPO 555M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@135</t>
    </r>
    <r>
      <rPr>
        <sz val="11"/>
        <color theme="1"/>
        <rFont val="Noto Sans CJK SC"/>
        <family val="2"/>
      </rPr>
      <t xml:space="preserve">，總額約 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、淨額約 </t>
    </r>
    <r>
      <rPr>
        <sz val="11"/>
        <color theme="1"/>
        <rFont val="Calibri"/>
        <family val="2"/>
        <charset val="1"/>
      </rPr>
      <t xml:space="preserve">85.7</t>
    </r>
    <r>
      <rPr>
        <sz val="11"/>
        <color theme="1"/>
        <rFont val="Noto Sans CJK SC"/>
        <family val="2"/>
      </rPr>
      <t xml:space="preserve">（含超額配售）</t>
    </r>
  </si>
  <si>
    <r>
      <rPr>
        <sz val="11"/>
        <color theme="1"/>
        <rFont val="Calibri"/>
        <family val="2"/>
        <charset val="1"/>
      </rPr>
      <t xml:space="preserve">Michigan Public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Nasdaq</t>
    </r>
  </si>
  <si>
    <t xml:space="preserve">https://www.michiganpublic.org/2026-06-12/spacex-stock-lifts-off-rising-above-its-ipo-price</t>
  </si>
  <si>
    <t xml:space="preserve">F#214</t>
  </si>
  <si>
    <r>
      <rPr>
        <sz val="11"/>
        <color theme="1"/>
        <rFont val="Noto Sans CJK SC"/>
        <family val="2"/>
      </rPr>
      <t xml:space="preserve">首次投資級優先票據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，部分償還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過橋；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末現金與有價證券約 </t>
    </r>
    <r>
      <rPr>
        <sz val="11"/>
        <color theme="1"/>
        <rFont val="Calibri"/>
        <family val="2"/>
        <charset val="1"/>
      </rPr>
      <t xml:space="preserve">100</t>
    </r>
  </si>
  <si>
    <t xml:space="preserve">F#215</t>
  </si>
  <si>
    <t xml:space="preserve">Crusoe</t>
  </si>
  <si>
    <t xml:space="preserve">other</t>
  </si>
  <si>
    <r>
      <rPr>
        <sz val="11"/>
        <color rgb="FF808080"/>
        <rFont val="Cambria"/>
        <family val="0"/>
        <charset val="1"/>
      </rPr>
      <t xml:space="preserve">Series E</t>
    </r>
    <r>
      <rPr>
        <sz val="11"/>
        <color rgb="FF808080"/>
        <rFont val="Noto Sans CJK SC"/>
        <family val="2"/>
      </rPr>
      <t xml:space="preserve">，估值 </t>
    </r>
    <r>
      <rPr>
        <sz val="11"/>
        <color rgb="FF808080"/>
        <rFont val="Cambria"/>
        <family val="0"/>
        <charset val="1"/>
      </rPr>
      <t xml:space="preserve">&gt;10</t>
    </r>
  </si>
  <si>
    <r>
      <rPr>
        <sz val="11"/>
        <color rgb="FF808080"/>
        <rFont val="Cambria"/>
        <family val="0"/>
        <charset val="1"/>
      </rPr>
      <t xml:space="preserve">[</t>
    </r>
    <r>
      <rPr>
        <sz val="11"/>
        <color rgb="FF808080"/>
        <rFont val="Noto Sans CJK SC"/>
        <family val="2"/>
      </rPr>
      <t xml:space="preserve">報導</t>
    </r>
    <r>
      <rPr>
        <sz val="11"/>
        <color rgb="FF808080"/>
        <rFont val="Cambria"/>
        <family val="0"/>
        <charset val="1"/>
      </rPr>
      <t xml:space="preserve">]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AI Weekly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Series E </t>
    </r>
    <r>
      <rPr>
        <sz val="11"/>
        <color rgb="FF808080"/>
        <rFont val="Noto Sans CJK SC"/>
        <family val="2"/>
      </rPr>
      <t xml:space="preserve">為背景敘述）</t>
    </r>
  </si>
  <si>
    <t xml:space="preserve">AI Weekly</t>
  </si>
  <si>
    <t xml:space="preserve">https://aiweekly.co/alerts/crusoe-closes-3b-round-at-30b-valuation-tripling-series-e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</si>
  <si>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tag</t>
    </r>
    <r>
      <rPr>
        <sz val="11"/>
        <color rgb="FF808080"/>
        <rFont val="Noto Sans CJK SC"/>
        <family val="2"/>
      </rPr>
      <t xml:space="preserve">：非公司公告</t>
    </r>
  </si>
  <si>
    <t xml:space="preserve">F#216</t>
  </si>
  <si>
    <t xml:space="preserve">2026-09-03</t>
  </si>
  <si>
    <r>
      <rPr>
        <sz val="11"/>
        <color rgb="FF808080"/>
        <rFont val="Cambria"/>
        <family val="0"/>
        <charset val="1"/>
      </rPr>
      <t xml:space="preserve">Series F &gt;3</t>
    </r>
    <r>
      <rPr>
        <sz val="11"/>
        <color rgb="FF808080"/>
        <rFont val="Noto Sans CJK SC"/>
        <family val="2"/>
      </rPr>
      <t xml:space="preserve">（另見 </t>
    </r>
    <r>
      <rPr>
        <sz val="11"/>
        <color rgb="FF808080"/>
        <rFont val="Cambria"/>
        <family val="0"/>
        <charset val="1"/>
      </rPr>
      <t xml:space="preserve">3.9 </t>
    </r>
    <r>
      <rPr>
        <sz val="11"/>
        <color rgb="FF808080"/>
        <rFont val="Noto Sans CJK SC"/>
        <family val="2"/>
      </rPr>
      <t xml:space="preserve">說法），估值約 </t>
    </r>
    <r>
      <rPr>
        <sz val="11"/>
        <color rgb="FF808080"/>
        <rFont val="Cambria"/>
        <family val="0"/>
        <charset val="1"/>
      </rPr>
      <t xml:space="preserve">30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Atreides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Valor </t>
    </r>
    <r>
      <rPr>
        <sz val="11"/>
        <color rgb="FF808080"/>
        <rFont val="Noto Sans CJK SC"/>
        <family val="2"/>
      </rPr>
      <t xml:space="preserve">領投，</t>
    </r>
    <r>
      <rPr>
        <sz val="11"/>
        <color rgb="FF808080"/>
        <rFont val="Cambria"/>
        <family val="0"/>
        <charset val="1"/>
      </rPr>
      <t xml:space="preserve">Mubadala</t>
    </r>
    <r>
      <rPr>
        <sz val="11"/>
        <color rgb="FF808080"/>
        <rFont val="Noto Sans CJK SC"/>
        <family val="2"/>
      </rPr>
      <t xml:space="preserve">；同日 </t>
    </r>
    <r>
      <rPr>
        <sz val="11"/>
        <color rgb="FF808080"/>
        <rFont val="Cambria"/>
        <family val="0"/>
        <charset val="1"/>
      </rPr>
      <t xml:space="preserve">Jane Street 13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5 </t>
    </r>
    <r>
      <rPr>
        <sz val="11"/>
        <color rgb="FF808080"/>
        <rFont val="Noto Sans CJK SC"/>
        <family val="2"/>
      </rPr>
      <t xml:space="preserve">年雲端合約（非融資）</t>
    </r>
  </si>
  <si>
    <t xml:space="preserve">https://news.bgov.com/crypto/crusoe-raises-over-3-billion-in-round-at-30-billion-valuation</t>
  </si>
  <si>
    <t xml:space="preserve">F#217</t>
  </si>
  <si>
    <t xml:space="preserve">Nscale</t>
  </si>
  <si>
    <t xml:space="preserve">2026-03-09</t>
  </si>
  <si>
    <r>
      <rPr>
        <sz val="11"/>
        <color theme="1"/>
        <rFont val="Calibri"/>
        <family val="2"/>
        <charset val="1"/>
      </rPr>
      <t xml:space="preserve">Series C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14.6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Aker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8090 </t>
    </r>
    <r>
      <rPr>
        <sz val="11"/>
        <color theme="1"/>
        <rFont val="Noto Sans CJK SC"/>
        <family val="2"/>
      </rPr>
      <t xml:space="preserve">領投；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Lenovo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Nokia </t>
    </r>
    <r>
      <rPr>
        <sz val="11"/>
        <color theme="1"/>
        <rFont val="Noto Sans CJK SC"/>
        <family val="2"/>
      </rPr>
      <t xml:space="preserve">參與</t>
    </r>
  </si>
  <si>
    <t xml:space="preserve">DCD</t>
  </si>
  <si>
    <t xml:space="preserve">https://www.datacenterdynamics.com/en/news/nscale-raises-2bn-in-series-c-funding-at-146bn-valuation/</t>
  </si>
  <si>
    <t xml:space="preserve">F#218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</si>
  <si>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擔保 </t>
    </r>
    <r>
      <rPr>
        <sz val="11"/>
        <color theme="1"/>
        <rFont val="Calibri"/>
        <family val="2"/>
        <charset val="1"/>
      </rPr>
      <t xml:space="preserve">DDTL 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Pimco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Blue Owl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LuminArx</t>
    </r>
    <r>
      <rPr>
        <sz val="11"/>
        <color theme="1"/>
        <rFont val="Noto Sans CJK SC"/>
        <family val="2"/>
      </rPr>
      <t xml:space="preserve">）</t>
    </r>
  </si>
  <si>
    <t xml:space="preserve">F#219</t>
  </si>
  <si>
    <t xml:space="preserve">Lambda</t>
  </si>
  <si>
    <r>
      <rPr>
        <sz val="11"/>
        <color rgb="FF808080"/>
        <rFont val="Noto Sans CJK SC"/>
        <family val="2"/>
      </rPr>
      <t xml:space="preserve">私募短期債約 </t>
    </r>
    <r>
      <rPr>
        <sz val="11"/>
        <color rgb="FF808080"/>
        <rFont val="Cambria"/>
        <family val="0"/>
        <charset val="1"/>
      </rPr>
      <t xml:space="preserve">1.0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JPM </t>
    </r>
    <r>
      <rPr>
        <sz val="11"/>
        <color rgb="FF808080"/>
        <rFont val="Noto Sans CJK SC"/>
        <family val="2"/>
      </rPr>
      <t xml:space="preserve">安排，</t>
    </r>
    <r>
      <rPr>
        <sz val="11"/>
        <color rgb="FF808080"/>
        <rFont val="Cambria"/>
        <family val="0"/>
        <charset val="1"/>
      </rPr>
      <t xml:space="preserve">GPU </t>
    </r>
    <r>
      <rPr>
        <sz val="11"/>
        <color rgb="FF808080"/>
        <rFont val="Noto Sans CJK SC"/>
        <family val="2"/>
      </rPr>
      <t xml:space="preserve">租給 </t>
    </r>
    <r>
      <rPr>
        <sz val="11"/>
        <color rgb="FF808080"/>
        <rFont val="Cambria"/>
        <family val="0"/>
        <charset val="1"/>
      </rPr>
      <t xml:space="preserve">Microsoft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0.926 GPU </t>
    </r>
    <r>
      <rPr>
        <sz val="11"/>
        <color rgb="FF808080"/>
        <rFont val="Noto Sans CJK SC"/>
        <family val="2"/>
      </rPr>
      <t xml:space="preserve">貸款；洽談最多 </t>
    </r>
    <r>
      <rPr>
        <sz val="11"/>
        <color rgb="FF808080"/>
        <rFont val="Cambria"/>
        <family val="0"/>
        <charset val="1"/>
      </rPr>
      <t xml:space="preserve">3 </t>
    </r>
    <r>
      <rPr>
        <sz val="11"/>
        <color rgb="FF808080"/>
        <rFont val="Noto Sans CJK SC"/>
        <family val="2"/>
      </rPr>
      <t xml:space="preserve">股權</t>
    </r>
  </si>
  <si>
    <r>
      <rPr>
        <sz val="11"/>
        <color rgb="FF808080"/>
        <rFont val="Cambria"/>
        <family val="0"/>
        <charset val="1"/>
      </rPr>
      <t xml:space="preserve">Vested Finance</t>
    </r>
    <r>
      <rPr>
        <sz val="11"/>
        <color rgb="FF808080"/>
        <rFont val="Noto Sans CJK SC"/>
        <family val="2"/>
      </rPr>
      <t xml:space="preserve">（彙整報導）</t>
    </r>
  </si>
  <si>
    <t xml:space="preserve">https://community.vestedfinance.com/t/nvidia-backed-lambda-is-borrowing-big-to-build-the-ai-infrastructure-boom/19439</t>
  </si>
  <si>
    <t xml:space="preserve">F#220</t>
  </si>
  <si>
    <t xml:space="preserve">IREN</t>
  </si>
  <si>
    <t xml:space="preserve">2026-05</t>
  </si>
  <si>
    <r>
      <rPr>
        <sz val="11"/>
        <color theme="1"/>
        <rFont val="Noto Sans CJK SC"/>
        <family val="2"/>
      </rPr>
      <t xml:space="preserve">投資級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融資 </t>
    </r>
    <r>
      <rPr>
        <sz val="11"/>
        <color theme="1"/>
        <rFont val="Calibri"/>
        <family val="2"/>
        <charset val="1"/>
      </rPr>
      <t xml:space="preserve">3.6</t>
    </r>
    <r>
      <rPr>
        <sz val="11"/>
        <color theme="1"/>
        <rFont val="Noto Sans CJK SC"/>
        <family val="2"/>
      </rPr>
      <t xml:space="preserve">（對應 </t>
    </r>
    <r>
      <rPr>
        <sz val="11"/>
        <color theme="1"/>
        <rFont val="Calibri"/>
        <family val="2"/>
        <charset val="1"/>
      </rPr>
      <t xml:space="preserve">Microsoft 9.7 </t>
    </r>
    <r>
      <rPr>
        <sz val="11"/>
        <color theme="1"/>
        <rFont val="Noto Sans CJK SC"/>
        <family val="2"/>
      </rPr>
      <t xml:space="preserve">合約）＋客戶預付約 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，合計覆蓋約 </t>
    </r>
    <r>
      <rPr>
        <sz val="11"/>
        <color theme="1"/>
        <rFont val="Calibri"/>
        <family val="2"/>
        <charset val="1"/>
      </rPr>
      <t xml:space="preserve">95% GPU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</si>
  <si>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IREN 10-K FY2026</t>
    </r>
  </si>
  <si>
    <t xml:space="preserve">https://www.zacks.com/stock/news/2888607/will-irens-93b-funding-cover-its-150k-gpu-expansion-costs</t>
  </si>
  <si>
    <t xml:space="preserve">F#221</t>
  </si>
  <si>
    <t xml:space="preserve">customer_contract</t>
  </si>
  <si>
    <r>
      <rPr>
        <sz val="11"/>
        <color rgb="FF808080"/>
        <rFont val="Cambria"/>
        <family val="0"/>
        <charset val="1"/>
      </rPr>
      <t xml:space="preserve">Microsoft 9.7 GPU </t>
    </r>
    <r>
      <rPr>
        <sz val="11"/>
        <color rgb="FF808080"/>
        <rFont val="Noto Sans CJK SC"/>
        <family val="2"/>
      </rPr>
      <t xml:space="preserve">雲端合約；</t>
    </r>
    <r>
      <rPr>
        <sz val="11"/>
        <color rgb="FF808080"/>
        <rFont val="Cambria"/>
        <family val="0"/>
        <charset val="1"/>
      </rPr>
      <t xml:space="preserve">NVIDIA </t>
    </r>
    <r>
      <rPr>
        <sz val="11"/>
        <color rgb="FF808080"/>
        <rFont val="Noto Sans CJK SC"/>
        <family val="2"/>
      </rPr>
      <t xml:space="preserve">認股權證最多 </t>
    </r>
    <r>
      <rPr>
        <sz val="11"/>
        <color rgb="FF808080"/>
        <rFont val="Cambria"/>
        <family val="0"/>
        <charset val="1"/>
      </rPr>
      <t xml:space="preserve">2.1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TNW 2026-05-10</t>
    </r>
    <r>
      <rPr>
        <sz val="11"/>
        <color rgb="FF808080"/>
        <rFont val="Noto Sans CJK SC"/>
        <family val="2"/>
      </rPr>
      <t xml:space="preserve">）；預付 </t>
    </r>
    <r>
      <rPr>
        <sz val="11"/>
        <color rgb="FF808080"/>
        <rFont val="Cambria"/>
        <family val="0"/>
        <charset val="1"/>
      </rPr>
      <t xml:space="preserve">1.9 </t>
    </r>
    <r>
      <rPr>
        <sz val="11"/>
        <color rgb="FF808080"/>
        <rFont val="Noto Sans CJK SC"/>
        <family val="2"/>
      </rPr>
      <t xml:space="preserve">另附出處（見 </t>
    </r>
    <r>
      <rPr>
        <sz val="11"/>
        <color rgb="FF808080"/>
        <rFont val="Cambria"/>
        <family val="0"/>
        <charset val="1"/>
      </rPr>
      <t xml:space="preserve">F#220</t>
    </r>
    <r>
      <rPr>
        <sz val="11"/>
        <color rgb="FF808080"/>
        <rFont val="Noto Sans CJK SC"/>
        <family val="2"/>
      </rPr>
      <t xml:space="preserve">）</t>
    </r>
  </si>
  <si>
    <t xml:space="preserve">Data Center Knowledge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</si>
  <si>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item</t>
    </r>
    <r>
      <rPr>
        <sz val="11"/>
        <color rgb="FF808080"/>
        <rFont val="Noto Sans CJK SC"/>
        <family val="2"/>
      </rPr>
      <t xml:space="preserve">：合約營收非融資；與 </t>
    </r>
    <r>
      <rPr>
        <sz val="11"/>
        <color rgb="FF808080"/>
        <rFont val="Cambria"/>
        <family val="0"/>
        <charset val="1"/>
      </rPr>
      <t xml:space="preserve">F#31 </t>
    </r>
    <r>
      <rPr>
        <sz val="11"/>
        <color rgb="FF808080"/>
        <rFont val="Noto Sans CJK SC"/>
        <family val="2"/>
      </rPr>
      <t xml:space="preserve">重複；</t>
    </r>
    <r>
      <rPr>
        <sz val="11"/>
        <color rgb="FF808080"/>
        <rFont val="Cambria"/>
        <family val="0"/>
        <charset val="1"/>
      </rPr>
      <t xml:space="preserve">detail</t>
    </r>
    <r>
      <rPr>
        <sz val="11"/>
        <color rgb="FF808080"/>
        <rFont val="Noto Sans CJK SC"/>
        <family val="2"/>
      </rPr>
      <t xml:space="preserve">：預付不在兩來源</t>
    </r>
  </si>
  <si>
    <t xml:space="preserve">F#222</t>
  </si>
  <si>
    <r>
      <rPr>
        <sz val="11"/>
        <color rgb="FF808080"/>
        <rFont val="Cambria"/>
        <family val="0"/>
        <charset val="1"/>
      </rPr>
      <t xml:space="preserve">NVIDIA</t>
    </r>
    <r>
      <rPr>
        <sz val="11"/>
        <color rgb="FF808080"/>
        <rFont val="Noto Sans CJK SC"/>
        <family val="2"/>
      </rPr>
      <t xml:space="preserve">（供應商）</t>
    </r>
  </si>
  <si>
    <t xml:space="preserve">2026-04-26</t>
  </si>
  <si>
    <t xml:space="preserve">investment_stock_nonmkt</t>
  </si>
  <si>
    <r>
      <rPr>
        <sz val="11"/>
        <color rgb="FF808080"/>
        <rFont val="Noto Sans CJK SC"/>
        <family val="2"/>
      </rPr>
      <t xml:space="preserve">非上市權益證券帳面（</t>
    </r>
    <r>
      <rPr>
        <sz val="11"/>
        <color rgb="FF808080"/>
        <rFont val="Cambria"/>
        <family val="0"/>
        <charset val="1"/>
      </rPr>
      <t xml:space="preserve">2026-01-25 </t>
    </r>
    <r>
      <rPr>
        <sz val="11"/>
        <color rgb="FF808080"/>
        <rFont val="Noto Sans CJK SC"/>
        <family val="2"/>
      </rPr>
      <t xml:space="preserve">為 </t>
    </r>
    <r>
      <rPr>
        <sz val="11"/>
        <color rgb="FF808080"/>
        <rFont val="Cambria"/>
        <family val="0"/>
        <charset val="1"/>
      </rPr>
      <t xml:space="preserve">22.251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</si>
  <si>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NVIDIA 10-Q</t>
    </r>
    <r>
      <rPr>
        <sz val="11"/>
        <color rgb="FF808080"/>
        <rFont val="Noto Sans CJK SC"/>
        <family val="2"/>
      </rPr>
      <t xml:space="preserve">（期末 </t>
    </r>
    <r>
      <rPr>
        <sz val="11"/>
        <color rgb="FF808080"/>
        <rFont val="Cambria"/>
        <family val="0"/>
        <charset val="1"/>
      </rPr>
      <t xml:space="preserve">2026-04-26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</si>
  <si>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https://www.sec.gov/Archives/edgar/data/0001045810/000104581026000052/nvda-20260426.htm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</si>
  <si>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段連帶更正（同 </t>
    </r>
    <r>
      <rPr>
        <sz val="11"/>
        <color rgb="FF808080"/>
        <rFont val="Cambria"/>
        <family val="0"/>
        <charset val="1"/>
      </rPr>
      <t xml:space="preserve">F#226 </t>
    </r>
    <r>
      <rPr>
        <sz val="11"/>
        <color rgb="FF808080"/>
        <rFont val="Noto Sans CJK SC"/>
        <family val="2"/>
      </rPr>
      <t xml:space="preserve">口徑）：</t>
    </r>
    <r>
      <rPr>
        <sz val="11"/>
        <color rgb="FF808080"/>
        <rFont val="Cambria"/>
        <family val="0"/>
        <charset val="1"/>
      </rPr>
      <t xml:space="preserve">NVIDIA </t>
    </r>
    <r>
      <rPr>
        <sz val="11"/>
        <color rgb="FF808080"/>
        <rFont val="Noto Sans CJK SC"/>
        <family val="2"/>
      </rPr>
      <t xml:space="preserve">非上市權益存量是投資組合，不是供應商融資流量 → </t>
    </r>
    <r>
      <rPr>
        <sz val="11"/>
        <color rgb="FF808080"/>
        <rFont val="Cambria"/>
        <family val="0"/>
        <charset val="1"/>
      </rPr>
      <t xml:space="preserve">item </t>
    </r>
    <r>
      <rPr>
        <sz val="11"/>
        <color rgb="FF808080"/>
        <rFont val="Noto Sans CJK SC"/>
        <family val="2"/>
      </rPr>
      <t xml:space="preserve">改 </t>
    </r>
    <r>
      <rPr>
        <sz val="11"/>
        <color rgb="FF808080"/>
        <rFont val="Cambria"/>
        <family val="0"/>
        <charset val="1"/>
      </rPr>
      <t xml:space="preserve">investment_stock_nonmkt</t>
    </r>
    <r>
      <rPr>
        <sz val="11"/>
        <color rgb="FF808080"/>
        <rFont val="Noto Sans CJK SC"/>
        <family val="2"/>
      </rPr>
      <t xml:space="preserve">、不採用</t>
    </r>
  </si>
  <si>
    <t xml:space="preserve">F#223</t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</si>
  <si>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（供應商）</t>
    </r>
  </si>
  <si>
    <r>
      <rPr>
        <sz val="11"/>
        <color theme="1"/>
        <rFont val="Noto Sans CJK SC"/>
        <family val="2"/>
      </rPr>
      <t xml:space="preserve">投資承諾 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（附條件，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內）</t>
    </r>
  </si>
  <si>
    <t xml:space="preserve">NVIDIA 10-Q</t>
  </si>
  <si>
    <t xml:space="preserve">F#224</t>
  </si>
  <si>
    <r>
      <rPr>
        <sz val="11"/>
        <color theme="1"/>
        <rFont val="Noto Sans CJK SC"/>
        <family val="2"/>
      </rPr>
      <t xml:space="preserve">為夥伴機房租約提供保證（換取認股權證）最大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5–7 </t>
    </r>
    <r>
      <rPr>
        <sz val="11"/>
        <color theme="1"/>
        <rFont val="Noto Sans CJK SC"/>
        <family val="2"/>
      </rPr>
      <t xml:space="preserve">年；託管 </t>
    </r>
    <r>
      <rPr>
        <sz val="11"/>
        <color theme="1"/>
        <rFont val="Calibri"/>
        <family val="2"/>
        <charset val="1"/>
      </rPr>
      <t xml:space="preserve">0.712</t>
    </r>
  </si>
  <si>
    <t xml:space="preserve">F#225</t>
  </si>
  <si>
    <r>
      <rPr>
        <sz val="11"/>
        <color theme="1"/>
        <rFont val="Noto Sans CJK SC"/>
        <family val="2"/>
      </rPr>
      <t xml:space="preserve">多年雲端服務協議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（向雲業者回租算力，主要 </t>
    </r>
    <r>
      <rPr>
        <sz val="11"/>
        <color theme="1"/>
        <rFont val="Calibri"/>
        <family val="2"/>
        <charset val="1"/>
      </rPr>
      <t xml:space="preserve">R&amp;D</t>
    </r>
    <r>
      <rPr>
        <sz val="11"/>
        <color theme="1"/>
        <rFont val="Noto Sans CJK SC"/>
        <family val="2"/>
      </rPr>
      <t xml:space="preserve">）</t>
    </r>
  </si>
  <si>
    <t xml:space="preserve">F#226</t>
  </si>
  <si>
    <t xml:space="preserve">2026-07-26</t>
  </si>
  <si>
    <r>
      <rPr>
        <sz val="11"/>
        <color rgb="FF808080"/>
        <rFont val="Noto Sans CJK SC"/>
        <family val="2"/>
      </rPr>
      <t xml:space="preserve">非上市證券 </t>
    </r>
    <r>
      <rPr>
        <sz val="11"/>
        <color rgb="FF808080"/>
        <rFont val="Cambria"/>
        <family val="0"/>
        <charset val="1"/>
      </rPr>
      <t xml:space="preserve">51.157</t>
    </r>
    <r>
      <rPr>
        <sz val="11"/>
        <color rgb="FF808080"/>
        <rFont val="Noto Sans CJK SC"/>
        <family val="2"/>
      </rPr>
      <t xml:space="preserve">（其中非上市權益 </t>
    </r>
    <r>
      <rPr>
        <sz val="11"/>
        <color rgb="FF808080"/>
        <rFont val="Cambria"/>
        <family val="0"/>
        <charset val="1"/>
      </rPr>
      <t xml:space="preserve">47.898</t>
    </r>
    <r>
      <rPr>
        <sz val="11"/>
        <color rgb="FF808080"/>
        <rFont val="Noto Sans CJK SC"/>
        <family val="2"/>
      </rPr>
      <t xml:space="preserve">）；另上市權益 </t>
    </r>
    <r>
      <rPr>
        <sz val="11"/>
        <color rgb="FF808080"/>
        <rFont val="Cambria"/>
        <family val="0"/>
        <charset val="1"/>
      </rPr>
      <t xml:space="preserve">42.783</t>
    </r>
    <r>
      <rPr>
        <sz val="11"/>
        <color rgb="FF808080"/>
        <rFont val="Noto Sans CJK SC"/>
        <family val="2"/>
      </rPr>
      <t xml:space="preserve">（兩者口徑不同不相加）；來源自稱多為 </t>
    </r>
    <r>
      <rPr>
        <sz val="11"/>
        <color rgb="FF808080"/>
        <rFont val="Cambria"/>
        <family val="0"/>
        <charset val="1"/>
      </rPr>
      <t xml:space="preserve">AI </t>
    </r>
    <r>
      <rPr>
        <sz val="11"/>
        <color rgb="FF808080"/>
        <rFont val="Noto Sans CJK SC"/>
        <family val="2"/>
      </rPr>
      <t xml:space="preserve">生成，應以 </t>
    </r>
    <r>
      <rPr>
        <sz val="11"/>
        <color rgb="FF808080"/>
        <rFont val="Cambria"/>
        <family val="0"/>
        <charset val="1"/>
      </rPr>
      <t xml:space="preserve">10-Q </t>
    </r>
    <r>
      <rPr>
        <sz val="11"/>
        <color rgb="FF808080"/>
        <rFont val="Noto Sans CJK SC"/>
        <family val="2"/>
      </rPr>
      <t xml:space="preserve">核</t>
    </r>
  </si>
  <si>
    <r>
      <rPr>
        <sz val="11"/>
        <color rgb="FF808080"/>
        <rFont val="Cambria"/>
        <family val="0"/>
        <charset val="1"/>
      </rPr>
      <t xml:space="preserve">Artiverse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10-Q </t>
    </r>
    <r>
      <rPr>
        <sz val="11"/>
        <color rgb="FF808080"/>
        <rFont val="Noto Sans CJK SC"/>
        <family val="2"/>
      </rPr>
      <t xml:space="preserve">轉述）</t>
    </r>
  </si>
  <si>
    <t xml:space="preserve">https://www.artiverse.ca/nvidias-ai-investment-portfolio-hits-99-billion/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</si>
  <si>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item</t>
    </r>
    <r>
      <rPr>
        <sz val="11"/>
        <color rgb="FF808080"/>
        <rFont val="Noto Sans CJK SC"/>
        <family val="2"/>
      </rPr>
      <t xml:space="preserve">：投資組合存量≠供應商融資；連帶 </t>
    </r>
    <r>
      <rPr>
        <sz val="11"/>
        <color rgb="FF808080"/>
        <rFont val="Cambria"/>
        <family val="0"/>
        <charset val="1"/>
      </rPr>
      <t xml:space="preserve">F#222 </t>
    </r>
    <r>
      <rPr>
        <sz val="11"/>
        <color rgb="FF808080"/>
        <rFont val="Noto Sans CJK SC"/>
        <family val="2"/>
      </rPr>
      <t xml:space="preserve">同口徑（</t>
    </r>
    <r>
      <rPr>
        <sz val="11"/>
        <color rgb="FF808080"/>
        <rFont val="Cambria"/>
        <family val="0"/>
        <charset val="1"/>
      </rPr>
      <t xml:space="preserve">Excel O224</t>
    </r>
    <r>
      <rPr>
        <sz val="11"/>
        <color rgb="FF808080"/>
        <rFont val="Noto Sans CJK SC"/>
        <family val="2"/>
      </rPr>
      <t xml:space="preserve">＝</t>
    </r>
    <r>
      <rPr>
        <sz val="11"/>
        <color rgb="FF808080"/>
        <rFont val="Cambria"/>
        <family val="0"/>
        <charset val="1"/>
      </rPr>
      <t xml:space="preserve">1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detail</t>
    </r>
    <r>
      <rPr>
        <sz val="11"/>
        <color rgb="FF808080"/>
        <rFont val="Noto Sans CJK SC"/>
        <family val="2"/>
      </rPr>
      <t xml:space="preserve">：口徑混加</t>
    </r>
  </si>
  <si>
    <t xml:space="preserve">F#227</t>
  </si>
  <si>
    <t xml:space="preserve">市場合計</t>
  </si>
  <si>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07-07</t>
    </r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</si>
  <si>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2026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7/7 </t>
    </r>
    <r>
      <rPr>
        <sz val="11"/>
        <color theme="1"/>
        <rFont val="Noto Sans CJK SC"/>
        <family val="2"/>
      </rPr>
      <t xml:space="preserve">發債約 </t>
    </r>
    <r>
      <rPr>
        <sz val="11"/>
        <color theme="1"/>
        <rFont val="Calibri"/>
        <family val="2"/>
        <charset val="1"/>
      </rPr>
      <t xml:space="preserve">194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全年約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Goldman </t>
    </r>
    <r>
      <rPr>
        <sz val="11"/>
        <color theme="1"/>
        <rFont val="Noto Sans CJK SC"/>
        <family val="2"/>
      </rPr>
      <t xml:space="preserve">估五家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400</t>
    </r>
  </si>
  <si>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LSEG </t>
    </r>
    <r>
      <rPr>
        <sz val="11"/>
        <color theme="1"/>
        <rFont val="Noto Sans CJK SC"/>
        <family val="2"/>
      </rPr>
      <t xml:space="preserve">數據）</t>
    </r>
  </si>
  <si>
    <t xml:space="preserve">https://wdez.com/2026/07/29/hyperscaler-debt-binge-pushes-yields-up-as-investor-demand-cools/</t>
  </si>
  <si>
    <t xml:space="preserve">F#205b</t>
  </si>
  <si>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新增債務 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）；由 </t>
    </r>
    <r>
      <rPr>
        <sz val="11"/>
        <color theme="1"/>
        <rFont val="Calibri"/>
        <family val="2"/>
        <charset val="1"/>
      </rPr>
      <t xml:space="preserve">F#205 detail </t>
    </r>
    <r>
      <rPr>
        <sz val="11"/>
        <color theme="1"/>
        <rFont val="Noto Sans CJK SC"/>
        <family val="2"/>
      </rPr>
      <t xml:space="preserve">拆出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</si>
  <si>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F#205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段屬實）拆出；</t>
    </r>
    <r>
      <rPr>
        <sz val="11"/>
        <color theme="1"/>
        <rFont val="Calibri"/>
        <family val="2"/>
        <charset val="1"/>
      </rPr>
      <t xml:space="preserve">F#200–202 </t>
    </r>
    <r>
      <rPr>
        <sz val="11"/>
        <color theme="1"/>
        <rFont val="Noto Sans CJK SC"/>
        <family val="2"/>
      </rPr>
      <t xml:space="preserve">未抽查維持不採用</t>
    </r>
  </si>
  <si>
    <t xml:space="preserve">G:msft_lnc0</t>
  </si>
  <si>
    <t xml:space="preserve">2025-06-30</t>
  </si>
  <si>
    <t xml:space="preserve">尚未起租租賃（期初存量）</t>
  </si>
  <si>
    <t xml:space="preserve">G_review_funding_facility.md §1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</si>
  <si>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F27</t>
    </r>
    <r>
      <rPr>
        <sz val="11"/>
        <color theme="1"/>
        <rFont val="Noto Sans CJK SC"/>
        <family val="2"/>
      </rPr>
      <t xml:space="preserve">：前一年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月為 </t>
    </r>
    <r>
      <rPr>
        <sz val="11"/>
        <color theme="1"/>
        <rFont val="Calibri"/>
        <family val="2"/>
        <charset val="1"/>
      </rPr>
      <t xml:space="preserve">92.7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btw.media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</si>
  <si>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G:orcl_lnc0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</si>
  <si>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F129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260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）</t>
    </r>
  </si>
  <si>
    <t xml:space="preserve">G:amzn_lnc0</t>
  </si>
  <si>
    <r>
      <rPr>
        <sz val="11"/>
        <color theme="1"/>
        <rFont val="Calibri"/>
        <family val="2"/>
        <charset val="1"/>
      </rPr>
      <t xml:space="preserve">F77 detail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96.4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F77 </t>
    </r>
    <r>
      <rPr>
        <sz val="11"/>
        <color theme="1"/>
        <rFont val="Noto Sans CJK SC"/>
        <family val="2"/>
      </rPr>
      <t xml:space="preserve">屬實）</t>
    </r>
  </si>
  <si>
    <r>
      <rPr>
        <sz val="11"/>
        <color theme="1"/>
        <rFont val="Calibri"/>
        <family val="2"/>
        <charset val="1"/>
      </rPr>
      <t xml:space="preserve">Facility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廠房資本支出（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，世代加權；</t>
    </r>
    <r>
      <rPr>
        <sz val="11"/>
        <color theme="1"/>
        <rFont val="Calibri"/>
        <family val="2"/>
        <charset val="1"/>
      </rPr>
      <t xml:space="preserve">VR200 12.67 $B</t>
    </r>
    <r>
      <rPr>
        <sz val="11"/>
        <color theme="1"/>
        <rFont val="Noto Sans CJK SC"/>
        <family val="2"/>
      </rPr>
      <t xml:space="preserve">）拆分（</t>
    </r>
    <r>
      <rPr>
        <sz val="11"/>
        <color theme="1"/>
        <rFont val="Calibri"/>
        <family val="2"/>
        <charset val="1"/>
      </rPr>
      <t xml:space="preserve">P_facility_power.md </t>
    </r>
    <r>
      <rPr>
        <sz val="11"/>
        <color theme="1"/>
        <rFont val="Noto Sans CJK SC"/>
        <family val="2"/>
      </rPr>
      <t xml:space="preserve">建議表，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段核對）；備援發電機改為倍數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單價（基準 </t>
    </r>
    <r>
      <rPr>
        <sz val="11"/>
        <color theme="1"/>
        <rFont val="Calibri"/>
        <family val="2"/>
        <charset val="1"/>
      </rPr>
      <t xml:space="preserve">1.6 × 1.0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Decisions GL11-04</t>
    </r>
    <r>
      <rPr>
        <sz val="11"/>
        <color theme="1"/>
        <rFont val="Noto Sans CJK SC"/>
        <family val="2"/>
      </rPr>
      <t xml:space="preserve">），差額從『其他專業服務』扣；殘差列『其他／未拆』使合計＝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。自建發電另列（不在 </t>
    </r>
    <r>
      <rPr>
        <sz val="11"/>
        <color theme="1"/>
        <rFont val="Calibri"/>
        <family val="2"/>
        <charset val="1"/>
      </rPr>
      <t xml:space="preserve">12.67 </t>
    </r>
    <r>
      <rPr>
        <sz val="11"/>
        <color theme="1"/>
        <rFont val="Noto Sans CJK SC"/>
        <family val="2"/>
      </rPr>
      <t xml:space="preserve">內）：每 </t>
    </r>
    <r>
      <rPr>
        <sz val="11"/>
        <color theme="1"/>
        <rFont val="Calibri"/>
        <family val="2"/>
        <charset val="1"/>
      </rPr>
      <t xml:space="preserve">IT GW 1.44 GW × </t>
    </r>
    <r>
      <rPr>
        <sz val="11"/>
        <color theme="1"/>
        <rFont val="Noto Sans CJK SC"/>
        <family val="2"/>
      </rPr>
      <t xml:space="preserve">單價，乘自建比例。市場金額＝主路徑（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各項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</si>
  <si>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IT GW </t>
    </r>
    <r>
      <rPr>
        <b val="true"/>
        <sz val="11"/>
        <rFont val="Noto Sans CJK SC"/>
        <family val="2"/>
      </rPr>
      <t xml:space="preserve">廠房資本支出（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，世代加權）</t>
    </r>
  </si>
  <si>
    <t xml:space="preserve">　配電</t>
  </si>
  <si>
    <r>
      <rPr>
        <sz val="11"/>
        <color theme="1"/>
        <rFont val="Noto Sans CJK SC"/>
        <family val="2"/>
      </rPr>
      <t xml:space="preserve">　備援發電機（倍數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單價）</t>
    </r>
  </si>
  <si>
    <t xml:space="preserve">fac_gen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</si>
  <si>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與電池</t>
    </r>
  </si>
  <si>
    <t xml:space="preserve">　冷卻</t>
  </si>
  <si>
    <t xml:space="preserve">　建築（殼體與結構）</t>
  </si>
  <si>
    <t xml:space="preserve">　施工人工與工程設計</t>
  </si>
  <si>
    <r>
      <rPr>
        <sz val="11"/>
        <color theme="1"/>
        <rFont val="Noto Sans CJK SC"/>
        <family val="2"/>
      </rPr>
      <t xml:space="preserve">　其他專業服務（扣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調整差額）</t>
    </r>
  </si>
  <si>
    <t xml:space="preserve">fac_prof</t>
  </si>
  <si>
    <r>
      <rPr>
        <sz val="11"/>
        <color theme="1"/>
        <rFont val="Noto Sans CJK SC"/>
        <family val="2"/>
      </rPr>
      <t xml:space="preserve">　網路、消防、安防、</t>
    </r>
    <r>
      <rPr>
        <sz val="11"/>
        <color theme="1"/>
        <rFont val="Calibri"/>
        <family val="2"/>
        <charset val="1"/>
      </rPr>
      <t xml:space="preserve">BMS</t>
    </r>
  </si>
  <si>
    <t xml:space="preserve">　土地</t>
  </si>
  <si>
    <r>
      <rPr>
        <sz val="11"/>
        <color theme="1"/>
        <rFont val="Noto Sans CJK SC"/>
        <family val="2"/>
      </rPr>
      <t xml:space="preserve">　其他／未拆（殘差＝</t>
    </r>
    <r>
      <rPr>
        <sz val="11"/>
        <color theme="1"/>
        <rFont val="Calibri"/>
        <family val="2"/>
        <charset val="1"/>
      </rPr>
      <t xml:space="preserve">TK − Σ </t>
    </r>
    <r>
      <rPr>
        <sz val="11"/>
        <color theme="1"/>
        <rFont val="Noto Sans CJK SC"/>
        <family val="2"/>
      </rPr>
      <t xml:space="preserve">上列）</t>
    </r>
  </si>
  <si>
    <t xml:space="preserve">fac_resid</t>
  </si>
  <si>
    <r>
      <rPr>
        <sz val="11"/>
        <color theme="1"/>
        <rFont val="Noto Sans CJK SC"/>
        <family val="2"/>
      </rPr>
      <t xml:space="preserve">　拆分合計（須＝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</si>
  <si>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自建發電（另計，不在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廠房內；僅有自建的園區）</t>
    </r>
  </si>
  <si>
    <t xml:space="preserve">fac_self</t>
  </si>
  <si>
    <r>
      <rPr>
        <b val="true"/>
        <sz val="11"/>
        <rFont val="Noto Sans CJK SC"/>
        <family val="2"/>
      </rPr>
      <t xml:space="preserve">實物量（每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）</t>
    </r>
  </si>
  <si>
    <t xml:space="preserve">　設施電力</t>
  </si>
  <si>
    <t xml:space="preserve">　備援發電機</t>
  </si>
  <si>
    <t xml:space="preserve">　自建發電（有自建者）</t>
  </si>
  <si>
    <r>
      <rPr>
        <sz val="11"/>
        <color theme="1"/>
        <rFont val="Noto Sans CJK SC"/>
        <family val="2"/>
      </rPr>
      <t xml:space="preserve">　主變壓器（含一台退出備援；</t>
    </r>
    <r>
      <rPr>
        <sz val="11"/>
        <color theme="1"/>
        <rFont val="Calibri"/>
        <family val="2"/>
        <charset val="1"/>
      </rPr>
      <t xml:space="preserve">P#50 ModulEdge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ComEd </t>
    </r>
    <r>
      <rPr>
        <sz val="11"/>
        <color theme="1"/>
        <rFont val="Noto Sans CJK SC"/>
        <family val="2"/>
      </rPr>
      <t xml:space="preserve">例）</t>
    </r>
  </si>
  <si>
    <r>
      <rPr>
        <b val="true"/>
        <sz val="11"/>
        <rFont val="Noto Sans CJK SC"/>
        <family val="2"/>
      </rPr>
      <t xml:space="preserve">市場層（主路徑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年新增 </t>
    </r>
    <r>
      <rPr>
        <b val="true"/>
        <sz val="11"/>
        <rFont val="Cambria"/>
        <family val="0"/>
        <charset val="1"/>
      </rPr>
      <t xml:space="preserve">IT GW ×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各項；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</si>
  <si>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</si>
  <si>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　市場：配電</t>
  </si>
  <si>
    <t xml:space="preserve">mkt_dist</t>
  </si>
  <si>
    <r>
      <rPr>
        <sz val="11"/>
        <color theme="1"/>
        <rFont val="Noto Sans CJK SC"/>
        <family val="2"/>
      </rPr>
      <t xml:space="preserve">　市場：備援發電機（倍數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單價）</t>
    </r>
  </si>
  <si>
    <t xml:space="preserve">mkt_gen</t>
  </si>
  <si>
    <r>
      <rPr>
        <sz val="11"/>
        <color theme="1"/>
        <rFont val="Noto Sans CJK SC"/>
        <family val="2"/>
      </rPr>
      <t xml:space="preserve">　市場：</t>
    </r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與電池</t>
    </r>
  </si>
  <si>
    <t xml:space="preserve">mkt_ups</t>
  </si>
  <si>
    <t xml:space="preserve">　市場：冷卻</t>
  </si>
  <si>
    <t xml:space="preserve">mkt_cool</t>
  </si>
  <si>
    <t xml:space="preserve">　市場：建築（殼體與結構）</t>
  </si>
  <si>
    <t xml:space="preserve">mkt_bldg</t>
  </si>
  <si>
    <t xml:space="preserve">　市場：施工人工與工程設計</t>
  </si>
  <si>
    <t xml:space="preserve">mkt_labor</t>
  </si>
  <si>
    <r>
      <rPr>
        <sz val="11"/>
        <color theme="1"/>
        <rFont val="Noto Sans CJK SC"/>
        <family val="2"/>
      </rPr>
      <t xml:space="preserve">　市場：其他專業服務（扣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調整差額）</t>
    </r>
  </si>
  <si>
    <t xml:space="preserve">mkt_prof</t>
  </si>
  <si>
    <r>
      <rPr>
        <sz val="11"/>
        <color theme="1"/>
        <rFont val="Noto Sans CJK SC"/>
        <family val="2"/>
      </rPr>
      <t xml:space="preserve">　市場：網路、消防、安防、</t>
    </r>
    <r>
      <rPr>
        <sz val="11"/>
        <color theme="1"/>
        <rFont val="Calibri"/>
        <family val="2"/>
        <charset val="1"/>
      </rPr>
      <t xml:space="preserve">BMS</t>
    </r>
  </si>
  <si>
    <t xml:space="preserve">mkt_net</t>
  </si>
  <si>
    <t xml:space="preserve">　市場：土地</t>
  </si>
  <si>
    <t xml:space="preserve">mkt_land</t>
  </si>
  <si>
    <t xml:space="preserve">　市場：其他／未拆</t>
  </si>
  <si>
    <t xml:space="preserve">mkt_resid</t>
  </si>
  <si>
    <r>
      <rPr>
        <sz val="11"/>
        <color theme="1"/>
        <rFont val="Noto Sans CJK SC"/>
        <family val="2"/>
      </rPr>
      <t xml:space="preserve">　市場：廠房合計（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</si>
  <si>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市場：自建發電（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自建比例 </t>
    </r>
    <r>
      <rPr>
        <sz val="11"/>
        <color theme="1"/>
        <rFont val="Calibri"/>
        <family val="2"/>
        <charset val="1"/>
      </rPr>
      <t xml:space="preserve">self_sh</t>
    </r>
    <r>
      <rPr>
        <sz val="11"/>
        <color theme="1"/>
        <rFont val="Noto Sans CJK SC"/>
        <family val="2"/>
      </rPr>
      <t xml:space="preserve">）</t>
    </r>
  </si>
  <si>
    <t xml:space="preserve">mkt_self</t>
  </si>
  <si>
    <r>
      <rPr>
        <sz val="11"/>
        <color theme="1"/>
        <rFont val="Noto Sans CJK SC"/>
        <family val="2"/>
      </rPr>
      <t xml:space="preserve">　市場：備援發電機裝置量（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</si>
  <si>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市場：自建發電容量（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</si>
  <si>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延遲佐證：美國表後自建發電 規劃 </t>
    </r>
    <r>
      <rPr>
        <b val="true"/>
        <sz val="11"/>
        <rFont val="Cambria"/>
        <family val="0"/>
        <charset val="1"/>
      </rPr>
      <t xml:space="preserve">btm_plan 90 GW</t>
    </r>
    <r>
      <rPr>
        <b val="true"/>
        <sz val="11"/>
        <rFont val="Noto Sans CJK SC"/>
        <family val="2"/>
      </rPr>
      <t xml:space="preserve">／運轉 </t>
    </r>
    <r>
      <rPr>
        <b val="true"/>
        <sz val="11"/>
        <rFont val="Cambria"/>
        <family val="0"/>
        <charset val="1"/>
      </rPr>
      <t xml:space="preserve">btm_run 2 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P#39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Cleanview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段屬實）→ 運轉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規劃</t>
    </r>
  </si>
  <si>
    <r>
      <rPr>
        <sz val="11"/>
        <color theme="1"/>
        <rFont val="Calibri"/>
        <family val="2"/>
        <charset val="1"/>
      </rPr>
      <t xml:space="preserve">SegIn — AI</t>
    </r>
    <r>
      <rPr>
        <sz val="11"/>
        <color theme="1"/>
        <rFont val="Noto Sans CJK SC"/>
        <family val="2"/>
      </rPr>
      <t xml:space="preserve">半導體 次產業『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  <r>
      <rPr>
        <sz val="11"/>
        <color theme="1"/>
        <rFont val="Noto Sans CJK SC"/>
        <family val="2"/>
      </rPr>
      <t xml:space="preserve">』比例（只讀鏡像；權威在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半導體）：</t>
    </r>
    <r>
      <rPr>
        <sz val="11"/>
        <color theme="1"/>
        <rFont val="Calibri"/>
        <family val="2"/>
        <charset val="1"/>
      </rPr>
      <t xml:space="preserve">markets/invest_map/data/segments_ai_semis_v0.2.3.csv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5dea5c8</t>
    </r>
    <r>
      <rPr>
        <sz val="11"/>
        <color theme="1"/>
        <rFont val="Noto Sans CJK SC"/>
        <family val="2"/>
      </rPr>
      <t xml:space="preserve">）。比例為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平台橋接表（合計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頁套到全部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為近似）</t>
    </r>
  </si>
  <si>
    <t xml:space="preserve">次產業</t>
  </si>
  <si>
    <r>
      <rPr>
        <b val="true"/>
        <sz val="11"/>
        <rFont val="Cambria"/>
        <family val="0"/>
        <charset val="1"/>
      </rPr>
      <t xml:space="preserve">GB300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÷ IT</t>
    </r>
  </si>
  <si>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金額 </t>
    </r>
    <r>
      <rPr>
        <b val="true"/>
        <sz val="11"/>
        <rFont val="Cambria"/>
        <family val="0"/>
        <charset val="1"/>
      </rPr>
      <t xml:space="preserve">÷ AI IT capex</t>
    </r>
    <r>
      <rPr>
        <b val="true"/>
        <sz val="11"/>
        <rFont val="Noto Sans CJK SC"/>
        <family val="2"/>
      </rPr>
      <t xml:space="preserve">（參考）</t>
    </r>
  </si>
  <si>
    <t xml:space="preserve">金額標記</t>
  </si>
  <si>
    <t xml:space="preserve">來源欄</t>
  </si>
  <si>
    <t xml:space="preserve">運算</t>
  </si>
  <si>
    <t xml:space="preserve">compute</t>
  </si>
  <si>
    <t xml:space="preserve">33.2%</t>
  </si>
  <si>
    <t xml:space="preserve">[D]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</si>
  <si>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</si>
  <si>
    <t xml:space="preserve">記憶體</t>
  </si>
  <si>
    <t xml:space="preserve">memory</t>
  </si>
  <si>
    <t xml:space="preserve">22.8%</t>
  </si>
  <si>
    <r>
      <rPr>
        <sz val="11"/>
        <color theme="1"/>
        <rFont val="Calibri"/>
        <family val="2"/>
        <charset val="1"/>
      </rPr>
      <t xml:space="preserve">[D]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[Assumed]</t>
    </r>
  </si>
  <si>
    <t xml:space="preserve">網通</t>
  </si>
  <si>
    <t xml:space="preserve">network</t>
  </si>
  <si>
    <t xml:space="preserve">19.0%</t>
  </si>
  <si>
    <t xml:space="preserve">代工與封測</t>
  </si>
  <si>
    <t xml:space="preserve">foundry</t>
  </si>
  <si>
    <t xml:space="preserve">3.0%</t>
  </si>
  <si>
    <r>
      <rPr>
        <sz val="11"/>
        <color theme="1"/>
        <rFont val="Noto Sans CJK SC"/>
        <family val="2"/>
      </rPr>
      <t xml:space="preserve">載板與 </t>
    </r>
    <r>
      <rPr>
        <sz val="11"/>
        <color theme="1"/>
        <rFont val="Calibri"/>
        <family val="2"/>
        <charset val="1"/>
      </rPr>
      <t xml:space="preserve">PCB</t>
    </r>
  </si>
  <si>
    <t xml:space="preserve">substrate</t>
  </si>
  <si>
    <t xml:space="preserve">0.3%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</si>
  <si>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區間</t>
    </r>
  </si>
  <si>
    <t xml:space="preserve">電源與散熱</t>
  </si>
  <si>
    <t xml:space="preserve">power_thermal</t>
  </si>
  <si>
    <t xml:space="preserve">6.3%</t>
  </si>
  <si>
    <r>
      <rPr>
        <sz val="11"/>
        <color theme="1"/>
        <rFont val="Calibri"/>
        <family val="2"/>
        <charset val="1"/>
      </rPr>
      <t xml:space="preserve">[D]</t>
    </r>
    <r>
      <rPr>
        <sz val="11"/>
        <color theme="1"/>
        <rFont val="Noto Sans CJK SC"/>
        <family val="2"/>
      </rPr>
      <t xml:space="preserve">（範圍含機構、整合）</t>
    </r>
  </si>
  <si>
    <t xml:space="preserve">伺服器組裝</t>
  </si>
  <si>
    <t xml:space="preserve">server</t>
  </si>
  <si>
    <t xml:space="preserve">14.9%</t>
  </si>
  <si>
    <r>
      <rPr>
        <sz val="11"/>
        <color theme="1"/>
        <rFont val="Calibri"/>
        <family val="2"/>
        <charset val="1"/>
      </rPr>
      <t xml:space="preserve">[D]</t>
    </r>
    <r>
      <rPr>
        <sz val="11"/>
        <color theme="1"/>
        <rFont val="Noto Sans CJK SC"/>
        <family val="2"/>
      </rPr>
      <t xml:space="preserve">（殘差，未拆）</t>
    </r>
  </si>
  <si>
    <t xml:space="preserve">儲存與管理</t>
  </si>
  <si>
    <t xml:space="preserve">storage</t>
  </si>
  <si>
    <t xml:space="preserve">0.4%</t>
  </si>
  <si>
    <r>
      <rPr>
        <b val="true"/>
        <sz val="11"/>
        <rFont val="Noto Sans CJK SC"/>
        <family val="2"/>
      </rPr>
      <t xml:space="preserve">合計（須＝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</si>
  <si>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Spend —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項目的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資料中心市場金額（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）＝主路徑（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）年新增 </t>
    </r>
    <r>
      <rPr>
        <sz val="11"/>
        <color theme="1"/>
        <rFont val="Calibri"/>
        <family val="2"/>
        <charset val="1"/>
      </rPr>
      <t xml:space="preserve">IT GW ×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IT GW IT capex × SegIn </t>
    </r>
    <r>
      <rPr>
        <sz val="11"/>
        <color theme="1"/>
        <rFont val="Noto Sans CJK SC"/>
        <family val="2"/>
      </rPr>
      <t xml:space="preserve">次產業比例）＋ </t>
    </r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各項 ＋ 自建發電。每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(1 −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</t>
    </r>
    <r>
      <rPr>
        <sz val="11"/>
        <color theme="1"/>
        <rFont val="Calibri"/>
        <family val="2"/>
        <charset val="1"/>
      </rPr>
      <t xml:space="preserve">) × NVIDIA </t>
    </r>
    <r>
      <rPr>
        <sz val="11"/>
        <color theme="1"/>
        <rFont val="Noto Sans CJK SC"/>
        <family val="2"/>
      </rPr>
      <t xml:space="preserve">世代加權 </t>
    </r>
    <r>
      <rPr>
        <sz val="11"/>
        <color theme="1"/>
        <rFont val="Calibri"/>
        <family val="2"/>
        <charset val="1"/>
      </rPr>
      <t xml:space="preserve">IF_CapexIT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× spend_nnv_hold × VR200 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Decisions GL11-05</t>
    </r>
    <r>
      <rPr>
        <sz val="11"/>
        <color theme="1"/>
        <rFont val="Noto Sans CJK SC"/>
        <family val="2"/>
      </rPr>
      <t xml:space="preserve">）。上線年口徑（非出貨年）</t>
    </r>
  </si>
  <si>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</si>
  <si>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</si>
  <si>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IT </t>
    </r>
    <r>
      <rPr>
        <b val="true"/>
        <sz val="11"/>
        <rFont val="Noto Sans CJK SC"/>
        <family val="2"/>
      </rPr>
      <t xml:space="preserve">設備（依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半導體 次產業比例）</t>
    </r>
  </si>
  <si>
    <t xml:space="preserve">　運算</t>
  </si>
  <si>
    <t xml:space="preserve">it_compute</t>
  </si>
  <si>
    <t xml:space="preserve">　記憶體</t>
  </si>
  <si>
    <t xml:space="preserve">it_memory</t>
  </si>
  <si>
    <t xml:space="preserve">　網通</t>
  </si>
  <si>
    <t xml:space="preserve">it_network</t>
  </si>
  <si>
    <t xml:space="preserve">　代工封測</t>
  </si>
  <si>
    <t xml:space="preserve">it_foundry</t>
  </si>
  <si>
    <r>
      <rPr>
        <sz val="11"/>
        <color theme="1"/>
        <rFont val="Noto Sans CJK SC"/>
        <family val="2"/>
      </rPr>
      <t xml:space="preserve">　載板與 </t>
    </r>
    <r>
      <rPr>
        <sz val="11"/>
        <color theme="1"/>
        <rFont val="Calibri"/>
        <family val="2"/>
        <charset val="1"/>
      </rPr>
      <t xml:space="preserve">PCB</t>
    </r>
  </si>
  <si>
    <t xml:space="preserve">it_substrate</t>
  </si>
  <si>
    <t xml:space="preserve">　電源散熱（機架內）</t>
  </si>
  <si>
    <t xml:space="preserve">it_power_thermal</t>
  </si>
  <si>
    <t xml:space="preserve">　伺服器組裝</t>
  </si>
  <si>
    <t xml:space="preserve">it_server</t>
  </si>
  <si>
    <t xml:space="preserve">　儲存與管理</t>
  </si>
  <si>
    <t xml:space="preserve">it_storage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</si>
  <si>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設備小計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</si>
  <si>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廠房（</t>
    </r>
    <r>
      <rPr>
        <b val="true"/>
        <sz val="11"/>
        <rFont val="Cambria"/>
        <family val="0"/>
        <charset val="1"/>
      </rPr>
      <t xml:space="preserve">Facility </t>
    </r>
    <r>
      <rPr>
        <b val="true"/>
        <sz val="11"/>
        <rFont val="Noto Sans CJK SC"/>
        <family val="2"/>
      </rPr>
      <t xml:space="preserve">頁）</t>
    </r>
  </si>
  <si>
    <t xml:space="preserve">　其他／未拆</t>
  </si>
  <si>
    <t xml:space="preserve">　廠房小計</t>
  </si>
  <si>
    <r>
      <rPr>
        <sz val="11"/>
        <color theme="1"/>
        <rFont val="Calibri"/>
        <family val="2"/>
        <charset val="1"/>
      </rPr>
      <t xml:space="preserve">C. </t>
    </r>
    <r>
      <rPr>
        <sz val="11"/>
        <color theme="1"/>
        <rFont val="Noto Sans CJK SC"/>
        <family val="2"/>
      </rPr>
      <t xml:space="preserve">自建發電（不在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內；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自建比例）</t>
    </r>
  </si>
  <si>
    <t xml:space="preserve">self_gen</t>
  </si>
  <si>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IT</t>
    </r>
    <r>
      <rPr>
        <b val="true"/>
        <sz val="11"/>
        <rFont val="Noto Sans CJK SC"/>
        <family val="2"/>
      </rPr>
      <t xml:space="preserve">＋廠房＋自建發電）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</si>
  <si>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Siliconomics AI IT </t>
    </r>
    <r>
      <rPr>
        <sz val="11"/>
        <color theme="1"/>
        <rFont val="Noto Sans CJK SC"/>
        <family val="2"/>
      </rPr>
      <t xml:space="preserve">資本支出（情境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；出貨年）</t>
    </r>
  </si>
  <si>
    <r>
      <rPr>
        <sz val="11"/>
        <color theme="1"/>
        <rFont val="Calibri"/>
        <family val="2"/>
        <charset val="1"/>
      </rPr>
      <t xml:space="preserve">Interface — </t>
    </r>
    <r>
      <rPr>
        <sz val="11"/>
        <color theme="1"/>
        <rFont val="Noto Sans CJK SC"/>
        <family val="2"/>
      </rPr>
      <t xml:space="preserve">下游唯一連結點（</t>
    </r>
    <r>
      <rPr>
        <sz val="11"/>
        <color theme="1"/>
        <rFont val="Calibri"/>
        <family val="2"/>
        <charset val="1"/>
      </rPr>
      <t xml:space="preserve">WIF_ </t>
    </r>
    <r>
      <rPr>
        <sz val="11"/>
        <color theme="1"/>
        <rFont val="Noto Sans CJK SC"/>
        <family val="2"/>
      </rPr>
      <t xml:space="preserve">具名範圍；經 </t>
    </r>
    <r>
      <rPr>
        <sz val="11"/>
        <color theme="1"/>
        <rFont val="Calibri"/>
        <family val="2"/>
        <charset val="1"/>
      </rPr>
      <t xml:space="preserve">wattonomics/tools/export_snapshot.py </t>
    </r>
    <r>
      <rPr>
        <sz val="11"/>
        <color theme="1"/>
        <rFont val="Noto Sans CJK SC"/>
        <family val="2"/>
      </rPr>
      <t xml:space="preserve">匯成快照）。每格一個名稱：</t>
    </r>
    <r>
      <rPr>
        <sz val="11"/>
        <color theme="1"/>
        <rFont val="Calibri"/>
        <family val="2"/>
        <charset val="1"/>
      </rPr>
      <t xml:space="preserve">&lt;</t>
    </r>
    <r>
      <rPr>
        <sz val="11"/>
        <color theme="1"/>
        <rFont val="Noto Sans CJK SC"/>
        <family val="2"/>
      </rPr>
      <t xml:space="preserve">前綴</t>
    </r>
    <r>
      <rPr>
        <sz val="11"/>
        <color theme="1"/>
        <rFont val="Calibri"/>
        <family val="2"/>
        <charset val="1"/>
      </rPr>
      <t xml:space="preserve">&gt;_&lt;yyyy&gt;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2024–2032</t>
    </r>
    <r>
      <rPr>
        <sz val="11"/>
        <color theme="1"/>
        <rFont val="Noto Sans CJK SC"/>
        <family val="2"/>
      </rPr>
      <t xml:space="preserve">。單位一律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關鍵電力）；設施電力＝</t>
    </r>
    <r>
      <rPr>
        <sz val="11"/>
        <color theme="1"/>
        <rFont val="Calibri"/>
        <family val="2"/>
        <charset val="1"/>
      </rPr>
      <t xml:space="preserve">× IF_FacilityGW</t>
    </r>
  </si>
  <si>
    <r>
      <rPr>
        <sz val="11"/>
        <color theme="1"/>
        <rFont val="Noto Sans CJK SC"/>
        <family val="2"/>
      </rPr>
      <t xml:space="preserve">版本：瓦帳 </t>
    </r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Siliconomics v0.8.3</t>
    </r>
  </si>
  <si>
    <r>
      <rPr>
        <b val="true"/>
        <sz val="11"/>
        <color rgb="FFC00000"/>
        <rFont val="Noto Sans CJK SC"/>
        <family val="2"/>
      </rPr>
      <t xml:space="preserve">下游取用 </t>
    </r>
    <r>
      <rPr>
        <b val="true"/>
        <sz val="11"/>
        <color rgb="FFC00000"/>
        <rFont val="Cambria"/>
        <family val="0"/>
        <charset val="1"/>
      </rPr>
      <t xml:space="preserve">2027 </t>
    </r>
    <r>
      <rPr>
        <b val="true"/>
        <sz val="11"/>
        <color rgb="FFC00000"/>
        <rFont val="Noto Sans CJK SC"/>
        <family val="2"/>
      </rPr>
      <t xml:space="preserve">年後數值前看覆蓋率（</t>
    </r>
    <r>
      <rPr>
        <b val="true"/>
        <sz val="11"/>
        <color rgb="FFC00000"/>
        <rFont val="Cambria"/>
        <family val="0"/>
        <charset val="1"/>
      </rPr>
      <t xml:space="preserve">WIF_Coverage_&lt;yyyy&gt;</t>
    </r>
    <r>
      <rPr>
        <b val="true"/>
        <sz val="11"/>
        <color rgb="FFC00000"/>
        <rFont val="Noto Sans CJK SC"/>
        <family val="2"/>
      </rPr>
      <t xml:space="preserve">）</t>
    </r>
  </si>
  <si>
    <t xml:space="preserve">名稱前綴</t>
  </si>
  <si>
    <t xml:space="preserve">來源位置</t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</si>
  <si>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覆蓋率（有證據支撐的年新增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主路徑年新增）</t>
    </r>
  </si>
  <si>
    <t xml:space="preserve">WIF_Coverage</t>
  </si>
  <si>
    <r>
      <rPr>
        <sz val="11"/>
        <color theme="1"/>
        <rFont val="Noto Sans CJK SC"/>
        <family val="2"/>
      </rPr>
      <t xml:space="preserve">覆蓋率（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&lt; 0.5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Checks WARN</t>
    </r>
    <r>
      <rPr>
        <sz val="11"/>
        <color theme="1"/>
        <rFont val="Noto Sans CJK SC"/>
        <family val="2"/>
      </rPr>
      <t xml:space="preserve">）</t>
    </r>
  </si>
  <si>
    <t xml:space="preserve">Deploy!E106:M106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</si>
  <si>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市場總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（主路徑；需求情景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延遲）</t>
    </r>
  </si>
  <si>
    <t xml:space="preserve">WIF_MktGW_YE_A_D0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</si>
  <si>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</si>
  <si>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Deploy!E13:M13</t>
  </si>
  <si>
    <t xml:space="preserve">WIF_MktGW_YE_A_D1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</si>
  <si>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</si>
  <si>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Deploy!E14:M14</t>
  </si>
  <si>
    <t xml:space="preserve">WIF_MktGW_YE_A_D2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</si>
  <si>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</si>
  <si>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Deploy!E15:M15</t>
  </si>
  <si>
    <t xml:space="preserve">WIF_MktGW_YE_B_D0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</si>
  <si>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</si>
  <si>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Deploy!E29:M29</t>
  </si>
  <si>
    <t xml:space="preserve">WIF_MktGW_YE_B_D1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</si>
  <si>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</si>
  <si>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Deploy!E30:M30</t>
  </si>
  <si>
    <t xml:space="preserve">WIF_MktGW_YE_B_D2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</si>
  <si>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</si>
  <si>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Deploy!E31:M31</t>
  </si>
  <si>
    <t xml:space="preserve">WIF_MktGW_YE_C_D0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</si>
  <si>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</si>
  <si>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Deploy!E45:M45</t>
  </si>
  <si>
    <t xml:space="preserve">WIF_MktGW_YE_C_D1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</si>
  <si>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</si>
  <si>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Deploy!E46:M46</t>
  </si>
  <si>
    <t xml:space="preserve">WIF_MktGW_YE_C_D2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</si>
  <si>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</si>
  <si>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Deploy!E47:M47</t>
  </si>
  <si>
    <t xml:space="preserve">WIF_MktGW_Avg_A_D0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</si>
  <si>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</si>
  <si>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Deploy!E16:M16</t>
  </si>
  <si>
    <t xml:space="preserve">WIF_MktGW_Avg_A_D1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</si>
  <si>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</si>
  <si>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Deploy!E17:M17</t>
  </si>
  <si>
    <t xml:space="preserve">WIF_MktGW_Avg_A_D2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</si>
  <si>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</si>
  <si>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Deploy!E18:M18</t>
  </si>
  <si>
    <t xml:space="preserve">WIF_MktGW_Avg_B_D0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</si>
  <si>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</si>
  <si>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Deploy!E32:M32</t>
  </si>
  <si>
    <t xml:space="preserve">WIF_MktGW_Avg_B_D1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</si>
  <si>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</si>
  <si>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Deploy!E33:M33</t>
  </si>
  <si>
    <t xml:space="preserve">WIF_MktGW_Avg_B_D2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</si>
  <si>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</si>
  <si>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Deploy!E34:M34</t>
  </si>
  <si>
    <t xml:space="preserve">WIF_MktGW_Avg_C_D0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</si>
  <si>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</si>
  <si>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Deploy!E48:M48</t>
  </si>
  <si>
    <t xml:space="preserve">WIF_MktGW_Avg_C_D1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</si>
  <si>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</si>
  <si>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Deploy!E49:M49</t>
  </si>
  <si>
    <t xml:space="preserve">WIF_MktGW_Avg_C_D2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</si>
  <si>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</si>
  <si>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Deploy!E50:M50</t>
  </si>
  <si>
    <t xml:space="preserve">WIF_MktGW_Add_A_D0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</si>
  <si>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</si>
  <si>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Deploy!E19:M19</t>
  </si>
  <si>
    <t xml:space="preserve">WIF_MktGW_Add_A_D1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</si>
  <si>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</si>
  <si>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Deploy!E20:M20</t>
  </si>
  <si>
    <t xml:space="preserve">WIF_MktGW_Add_A_D2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</si>
  <si>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</si>
  <si>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Deploy!E21:M21</t>
  </si>
  <si>
    <t xml:space="preserve">WIF_MktGW_Add_B_D0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</si>
  <si>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</si>
  <si>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Deploy!E35:M35</t>
  </si>
  <si>
    <t xml:space="preserve">WIF_MktGW_Add_B_D1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</si>
  <si>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</si>
  <si>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Deploy!E36:M36</t>
  </si>
  <si>
    <t xml:space="preserve">WIF_MktGW_Add_B_D2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</si>
  <si>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</si>
  <si>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Deploy!E37:M37</t>
  </si>
  <si>
    <t xml:space="preserve">WIF_MktGW_Add_C_D0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</si>
  <si>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</si>
  <si>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Deploy!E51:M51</t>
  </si>
  <si>
    <t xml:space="preserve">WIF_MktGW_Add_C_D1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</si>
  <si>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</si>
  <si>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Deploy!E52:M52</t>
  </si>
  <si>
    <t xml:space="preserve">WIF_MktGW_Add_C_D2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</si>
  <si>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</si>
  <si>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Deploy!E53:M53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</si>
  <si>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已出貨未上線（主路徑；相對 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）</t>
    </r>
  </si>
  <si>
    <t xml:space="preserve">WIF_ShippedNotOnline_A_D1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</si>
  <si>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</si>
  <si>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Deploy!E22:M22</t>
  </si>
  <si>
    <t xml:space="preserve">WIF_ShippedNotOnline_A_D2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</si>
  <si>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</si>
  <si>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Deploy!E23:M23</t>
  </si>
  <si>
    <t xml:space="preserve">WIF_ShippedNotOnline_B_D1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</si>
  <si>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</si>
  <si>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Deploy!E38:M38</t>
  </si>
  <si>
    <t xml:space="preserve">WIF_ShippedNotOnline_B_D2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</si>
  <si>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</si>
  <si>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Deploy!E39:M39</t>
  </si>
  <si>
    <t xml:space="preserve">WIF_ShippedNotOnline_C_D1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</si>
  <si>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</si>
  <si>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Deploy!E54:M54</t>
  </si>
  <si>
    <t xml:space="preserve">WIF_ShippedNotOnline_C_D2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</si>
  <si>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</si>
  <si>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Deploy!E55:M55</t>
  </si>
  <si>
    <r>
      <rPr>
        <b val="true"/>
        <sz val="11"/>
        <rFont val="Cambria"/>
        <family val="0"/>
        <charset val="1"/>
      </rPr>
      <t xml:space="preserve">A_SiteOnly. </t>
    </r>
    <r>
      <rPr>
        <b val="true"/>
        <sz val="11"/>
        <rFont val="Noto Sans CJK SC"/>
        <family val="2"/>
      </rPr>
      <t xml:space="preserve">市場總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：只有 甲；需求情景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延遲）</t>
    </r>
  </si>
  <si>
    <t xml:space="preserve">WIF_MktGW_YE_A_D0_SiteOnly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</si>
  <si>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</si>
  <si>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Deploy!E62:M62</t>
  </si>
  <si>
    <t xml:space="preserve">WIF_MktGW_YE_A_D1_SiteOnly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</si>
  <si>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</si>
  <si>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Deploy!E63:M63</t>
  </si>
  <si>
    <t xml:space="preserve">WIF_MktGW_YE_A_D2_SiteOnly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</si>
  <si>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</si>
  <si>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Deploy!E64:M64</t>
  </si>
  <si>
    <t xml:space="preserve">WIF_MktGW_YE_B_D0_SiteOnly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</si>
  <si>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</si>
  <si>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Deploy!E78:M78</t>
  </si>
  <si>
    <t xml:space="preserve">WIF_MktGW_YE_B_D1_SiteOnly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</si>
  <si>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</si>
  <si>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Deploy!E79:M79</t>
  </si>
  <si>
    <t xml:space="preserve">WIF_MktGW_YE_B_D2_SiteOnly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</si>
  <si>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</si>
  <si>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Deploy!E80:M80</t>
  </si>
  <si>
    <t xml:space="preserve">WIF_MktGW_YE_C_D0_SiteOnly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</si>
  <si>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</si>
  <si>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Deploy!E94:M94</t>
  </si>
  <si>
    <t xml:space="preserve">WIF_MktGW_YE_C_D1_SiteOnly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</si>
  <si>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</si>
  <si>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Deploy!E95:M95</t>
  </si>
  <si>
    <t xml:space="preserve">WIF_MktGW_YE_C_D2_SiteOnly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</si>
  <si>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</si>
  <si>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Deploy!E96:M96</t>
  </si>
  <si>
    <t xml:space="preserve">WIF_MktGW_Avg_A_D0_SiteOnly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</si>
  <si>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</si>
  <si>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Deploy!E65:M65</t>
  </si>
  <si>
    <t xml:space="preserve">WIF_MktGW_Avg_A_D1_SiteOnly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</si>
  <si>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</si>
  <si>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Deploy!E66:M66</t>
  </si>
  <si>
    <t xml:space="preserve">WIF_MktGW_Avg_A_D2_SiteOnly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</si>
  <si>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</si>
  <si>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Deploy!E67:M67</t>
  </si>
  <si>
    <t xml:space="preserve">WIF_MktGW_Avg_B_D0_SiteOnly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</si>
  <si>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</si>
  <si>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Deploy!E81:M81</t>
  </si>
  <si>
    <t xml:space="preserve">WIF_MktGW_Avg_B_D1_SiteOnly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</si>
  <si>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</si>
  <si>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Deploy!E82:M82</t>
  </si>
  <si>
    <t xml:space="preserve">WIF_MktGW_Avg_B_D2_SiteOnly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</si>
  <si>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</si>
  <si>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Deploy!E83:M83</t>
  </si>
  <si>
    <t xml:space="preserve">WIF_MktGW_Avg_C_D0_SiteOnly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</si>
  <si>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</si>
  <si>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Deploy!E97:M97</t>
  </si>
  <si>
    <t xml:space="preserve">WIF_MktGW_Avg_C_D1_SiteOnly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</si>
  <si>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</si>
  <si>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Deploy!E98:M98</t>
  </si>
  <si>
    <t xml:space="preserve">WIF_MktGW_Avg_C_D2_SiteOnly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</si>
  <si>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</si>
  <si>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Deploy!E99:M99</t>
  </si>
  <si>
    <t xml:space="preserve">WIF_MktGW_Add_A_D0_SiteOnly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</si>
  <si>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</si>
  <si>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Deploy!E68:M68</t>
  </si>
  <si>
    <t xml:space="preserve">WIF_MktGW_Add_A_D1_SiteOnly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</si>
  <si>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</si>
  <si>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Deploy!E69:M69</t>
  </si>
  <si>
    <t xml:space="preserve">WIF_MktGW_Add_A_D2_SiteOnly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</si>
  <si>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</si>
  <si>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Deploy!E70:M70</t>
  </si>
  <si>
    <t xml:space="preserve">WIF_MktGW_Add_B_D0_SiteOnly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</si>
  <si>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</si>
  <si>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Deploy!E84:M84</t>
  </si>
  <si>
    <t xml:space="preserve">WIF_MktGW_Add_B_D1_SiteOnly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</si>
  <si>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</si>
  <si>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Deploy!E85:M85</t>
  </si>
  <si>
    <t xml:space="preserve">WIF_MktGW_Add_B_D2_SiteOnly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</si>
  <si>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</si>
  <si>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Deploy!E86:M86</t>
  </si>
  <si>
    <t xml:space="preserve">WIF_MktGW_Add_C_D0_SiteOnly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</si>
  <si>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</si>
  <si>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Deploy!E100:M100</t>
  </si>
  <si>
    <t xml:space="preserve">WIF_MktGW_Add_C_D1_SiteOnly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</si>
  <si>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</si>
  <si>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Deploy!E101:M101</t>
  </si>
  <si>
    <t xml:space="preserve">WIF_MktGW_Add_C_D2_SiteOnly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</si>
  <si>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</si>
  <si>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Deploy!E102:M102</t>
  </si>
  <si>
    <r>
      <rPr>
        <b val="true"/>
        <sz val="11"/>
        <rFont val="Cambria"/>
        <family val="0"/>
        <charset val="1"/>
      </rPr>
      <t xml:space="preserve">B_SiteOnly. </t>
    </r>
    <r>
      <rPr>
        <b val="true"/>
        <sz val="11"/>
        <rFont val="Noto Sans CJK SC"/>
        <family val="2"/>
      </rPr>
      <t xml:space="preserve">已出貨未上線（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：只有 甲；相對 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）</t>
    </r>
  </si>
  <si>
    <t xml:space="preserve">WIF_ShippedNotOnline_A_D1_SiteOnly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</si>
  <si>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</si>
  <si>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Deploy!E71:M71</t>
  </si>
  <si>
    <t xml:space="preserve">WIF_ShippedNotOnline_A_D2_SiteOnly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</si>
  <si>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</si>
  <si>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Deploy!E72:M72</t>
  </si>
  <si>
    <t xml:space="preserve">WIF_ShippedNotOnline_B_D1_SiteOnly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</si>
  <si>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</si>
  <si>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Deploy!E87:M87</t>
  </si>
  <si>
    <t xml:space="preserve">WIF_ShippedNotOnline_B_D2_SiteOnly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</si>
  <si>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</si>
  <si>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Deploy!E88:M88</t>
  </si>
  <si>
    <t xml:space="preserve">WIF_ShippedNotOnline_C_D1_SiteOnly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</si>
  <si>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</si>
  <si>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Deploy!E103:M103</t>
  </si>
  <si>
    <t xml:space="preserve">WIF_ShippedNotOnline_C_D2_SiteOnly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</si>
  <si>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</si>
  <si>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Deploy!E104:M104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</si>
  <si>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玩家年底上線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（主路徑：七家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起＝甲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累加；營運者口徑；空白＝未知）</t>
    </r>
  </si>
  <si>
    <t xml:space="preserve">WIF_PlayerGW_YE_msft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</si>
  <si>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在役）（主路徑）</t>
    </r>
  </si>
  <si>
    <t xml:space="preserve">CapexGW!E23:M23</t>
  </si>
  <si>
    <t xml:space="preserve">WIF_PlayerGW_YE_googl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</si>
  <si>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）（主路徑）</t>
    </r>
  </si>
  <si>
    <t xml:space="preserve">CapexGW!E42:M42</t>
  </si>
  <si>
    <t xml:space="preserve">WIF_PlayerGW_YE_amzn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</si>
  <si>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）（主路徑）</t>
    </r>
  </si>
  <si>
    <t xml:space="preserve">CapexGW!E61:M61</t>
  </si>
  <si>
    <t xml:space="preserve">WIF_PlayerGW_YE_meta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</si>
  <si>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（主路徑）</t>
    </r>
  </si>
  <si>
    <t xml:space="preserve">CapexGW!E80:M80</t>
  </si>
  <si>
    <t xml:space="preserve">WIF_PlayerGW_YE_orcl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</si>
  <si>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站點）（主路徑）</t>
    </r>
  </si>
  <si>
    <t xml:space="preserve">CapexGW!E99:M99</t>
  </si>
  <si>
    <t xml:space="preserve">WIF_PlayerGW_YE_crwv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</si>
  <si>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（主路徑）</t>
    </r>
  </si>
  <si>
    <t xml:space="preserve">CapexGW!E118:M118</t>
  </si>
  <si>
    <t xml:space="preserve">WIF_PlayerGW_YE_nbis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</si>
  <si>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（主路徑）</t>
    </r>
  </si>
  <si>
    <t xml:space="preserve">CapexGW!E137:M137</t>
  </si>
  <si>
    <t xml:space="preserve">WIF_PlayerGW_YE_wyfi</t>
  </si>
  <si>
    <t xml:space="preserve">Players!E163:M163</t>
  </si>
  <si>
    <t xml:space="preserve">WIF_PlayerGW_YE_xai</t>
  </si>
  <si>
    <t xml:space="preserve">Players!E182:M182</t>
  </si>
  <si>
    <t xml:space="preserve">WIF_PlayerGW_YE_oai</t>
  </si>
  <si>
    <t xml:space="preserve">Players!E201:M201</t>
  </si>
  <si>
    <t xml:space="preserve">WIF_PlayerGW_YE_ant</t>
  </si>
  <si>
    <t xml:space="preserve">Players!E220:M220</t>
  </si>
  <si>
    <t xml:space="preserve">WIF_PlayerGW_YE_neo</t>
  </si>
  <si>
    <t xml:space="preserve">Players!E239:M239</t>
  </si>
  <si>
    <t xml:space="preserve">WIF_PlayerGW_YE_sov</t>
  </si>
  <si>
    <t xml:space="preserve">Players!E258:M258</t>
  </si>
  <si>
    <t xml:space="preserve">WIF_PlayerGW_YE_cn</t>
  </si>
  <si>
    <t xml:space="preserve">Players!E277:M277</t>
  </si>
  <si>
    <t xml:space="preserve">WIF_PlayerGW_YE_oth</t>
  </si>
  <si>
    <t xml:space="preserve">Players!E296:M296</t>
  </si>
  <si>
    <r>
      <rPr>
        <b val="true"/>
        <sz val="11"/>
        <rFont val="Cambria"/>
        <family val="0"/>
        <charset val="1"/>
      </rPr>
      <t xml:space="preserve">C_SiteOnly. </t>
    </r>
    <r>
      <rPr>
        <b val="true"/>
        <sz val="11"/>
        <rFont val="Noto Sans CJK SC"/>
        <family val="2"/>
      </rPr>
      <t xml:space="preserve">玩家年底上線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（只有 甲）</t>
    </r>
  </si>
  <si>
    <t xml:space="preserve">WIF_PlayerGW_YE_msft_SiteOnly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</si>
  <si>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</si>
  <si>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Players!E30:M30</t>
  </si>
  <si>
    <t xml:space="preserve">WIF_PlayerGW_YE_googl_SiteOnly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</si>
  <si>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</si>
  <si>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Players!E49:M49</t>
  </si>
  <si>
    <t xml:space="preserve">WIF_PlayerGW_YE_amzn_SiteOnly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</si>
  <si>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</si>
  <si>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Players!E68:M68</t>
  </si>
  <si>
    <t xml:space="preserve">WIF_PlayerGW_YE_meta_SiteOnly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</si>
  <si>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</si>
  <si>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Players!E87:M87</t>
  </si>
  <si>
    <t xml:space="preserve">WIF_PlayerGW_YE_orcl_SiteOnly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</si>
  <si>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</si>
  <si>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Players!E106:M106</t>
  </si>
  <si>
    <t xml:space="preserve">WIF_PlayerGW_YE_crwv_SiteOnly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</si>
  <si>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</si>
  <si>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Players!E125:M125</t>
  </si>
  <si>
    <t xml:space="preserve">WIF_PlayerGW_YE_nbis_SiteOnly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</si>
  <si>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</si>
  <si>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Players!E144:M144</t>
  </si>
  <si>
    <t xml:space="preserve">WIF_PlayerGW_YE_wyfi_SiteOnly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</si>
  <si>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</si>
  <si>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WIF_PlayerGW_YE_xai_SiteOnly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</si>
  <si>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</si>
  <si>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WIF_PlayerGW_YE_oai_SiteOnly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</si>
  <si>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</si>
  <si>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WIF_PlayerGW_YE_ant_SiteOnly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</si>
  <si>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</si>
  <si>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WIF_PlayerGW_YE_neo_SiteOnly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</si>
  <si>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</si>
  <si>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WIF_PlayerGW_YE_sov_SiteOnly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</si>
  <si>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只含 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</si>
  <si>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WIF_PlayerGW_YE_cn_SiteOnly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</si>
  <si>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</si>
  <si>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WIF_PlayerGW_YE_oth_SiteOnly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</si>
  <si>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</si>
  <si>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Spend</t>
    </r>
    <r>
      <rPr>
        <b val="true"/>
        <sz val="11"/>
        <rFont val="Noto Sans CJK SC"/>
        <family val="2"/>
      </rPr>
      <t xml:space="preserve">：年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項目市場金額（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；主路徑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年新增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內容；上線年口徑）</t>
    </r>
  </si>
  <si>
    <t xml:space="preserve">WIF_Spend_it_compute</t>
  </si>
  <si>
    <t xml:space="preserve">Spend!E8:M8</t>
  </si>
  <si>
    <t xml:space="preserve">WIF_Spend_it_memory</t>
  </si>
  <si>
    <t xml:space="preserve">Spend!E9:M9</t>
  </si>
  <si>
    <t xml:space="preserve">WIF_Spend_it_network</t>
  </si>
  <si>
    <t xml:space="preserve">Spend!E10:M10</t>
  </si>
  <si>
    <t xml:space="preserve">WIF_Spend_it_foundry</t>
  </si>
  <si>
    <t xml:space="preserve">代工封測</t>
  </si>
  <si>
    <t xml:space="preserve">Spend!E11:M11</t>
  </si>
  <si>
    <t xml:space="preserve">WIF_Spend_it_substrate</t>
  </si>
  <si>
    <t xml:space="preserve">Spend!E12:M12</t>
  </si>
  <si>
    <t xml:space="preserve">WIF_Spend_it_power_thermal</t>
  </si>
  <si>
    <t xml:space="preserve">電源散熱（機架內）</t>
  </si>
  <si>
    <t xml:space="preserve">Spend!E13:M13</t>
  </si>
  <si>
    <t xml:space="preserve">WIF_Spend_it_server</t>
  </si>
  <si>
    <t xml:space="preserve">Spend!E14:M14</t>
  </si>
  <si>
    <t xml:space="preserve">WIF_Spend_it_storage</t>
  </si>
  <si>
    <t xml:space="preserve">Spend!E15:M15</t>
  </si>
  <si>
    <t xml:space="preserve">WIF_Spend_it_sum</t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</si>
  <si>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設備小計</t>
    </r>
  </si>
  <si>
    <t xml:space="preserve">Spend!E16:M16</t>
  </si>
  <si>
    <t xml:space="preserve">WIF_Spend_fac_dist</t>
  </si>
  <si>
    <t xml:space="preserve">配電</t>
  </si>
  <si>
    <t xml:space="preserve">Spend!E18:M18</t>
  </si>
  <si>
    <t xml:space="preserve">WIF_Spend_fac_gen</t>
  </si>
  <si>
    <r>
      <rPr>
        <sz val="11"/>
        <color theme="1"/>
        <rFont val="Noto Sans CJK SC"/>
        <family val="2"/>
      </rPr>
      <t xml:space="preserve">備援發電機（倍數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單價）</t>
    </r>
  </si>
  <si>
    <t xml:space="preserve">Spend!E19:M19</t>
  </si>
  <si>
    <t xml:space="preserve">WIF_Spend_fac_ups</t>
  </si>
  <si>
    <t xml:space="preserve">Spend!E20:M20</t>
  </si>
  <si>
    <t xml:space="preserve">WIF_Spend_fac_cool</t>
  </si>
  <si>
    <t xml:space="preserve">冷卻</t>
  </si>
  <si>
    <t xml:space="preserve">Spend!E21:M21</t>
  </si>
  <si>
    <t xml:space="preserve">WIF_Spend_fac_bldg</t>
  </si>
  <si>
    <t xml:space="preserve">建築（殼體與結構）</t>
  </si>
  <si>
    <t xml:space="preserve">Spend!E22:M22</t>
  </si>
  <si>
    <t xml:space="preserve">WIF_Spend_fac_labor</t>
  </si>
  <si>
    <t xml:space="preserve">Spend!E23:M23</t>
  </si>
  <si>
    <t xml:space="preserve">WIF_Spend_fac_prof</t>
  </si>
  <si>
    <r>
      <rPr>
        <sz val="11"/>
        <color theme="1"/>
        <rFont val="Noto Sans CJK SC"/>
        <family val="2"/>
      </rPr>
      <t xml:space="preserve">其他專業服務（扣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調整差額）</t>
    </r>
  </si>
  <si>
    <t xml:space="preserve">Spend!E24:M24</t>
  </si>
  <si>
    <t xml:space="preserve">WIF_Spend_fac_net</t>
  </si>
  <si>
    <t xml:space="preserve">Spend!E25:M25</t>
  </si>
  <si>
    <t xml:space="preserve">WIF_Spend_fac_land</t>
  </si>
  <si>
    <t xml:space="preserve">Spend!E26:M26</t>
  </si>
  <si>
    <t xml:space="preserve">WIF_Spend_fac_resid</t>
  </si>
  <si>
    <t xml:space="preserve">其他／未拆</t>
  </si>
  <si>
    <t xml:space="preserve">Spend!E27:M27</t>
  </si>
  <si>
    <t xml:space="preserve">WIF_Spend_fac_sum</t>
  </si>
  <si>
    <t xml:space="preserve">廠房小計</t>
  </si>
  <si>
    <t xml:space="preserve">Spend!E28:M28</t>
  </si>
  <si>
    <t xml:space="preserve">WIF_Spend_self_gen</t>
  </si>
  <si>
    <t xml:space="preserve">Spend!E29:M29</t>
  </si>
  <si>
    <t xml:space="preserve">WIF_Spend_total</t>
  </si>
  <si>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＋廠房＋自建發電）</t>
    </r>
  </si>
  <si>
    <t xml:space="preserve">Spend!E30:M30</t>
  </si>
  <si>
    <r>
      <rPr>
        <b val="true"/>
        <sz val="11"/>
        <rFont val="Cambria"/>
        <family val="0"/>
        <charset val="1"/>
      </rPr>
      <t xml:space="preserve">E. Facility</t>
    </r>
    <r>
      <rPr>
        <b val="true"/>
        <sz val="11"/>
        <rFont val="Noto Sans CJK SC"/>
        <family val="2"/>
      </rPr>
      <t xml:space="preserve">：每 </t>
    </r>
    <r>
      <rPr>
        <b val="true"/>
        <sz val="11"/>
        <rFont val="Cambria"/>
        <family val="0"/>
        <charset val="1"/>
      </rPr>
      <t xml:space="preserve">IT GW </t>
    </r>
    <r>
      <rPr>
        <b val="true"/>
        <sz val="11"/>
        <rFont val="Noto Sans CJK SC"/>
        <family val="2"/>
      </rPr>
      <t xml:space="preserve">廠房拆分（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）與市場量</t>
    </r>
  </si>
  <si>
    <t xml:space="preserve">WIF_Facility_dist</t>
  </si>
  <si>
    <t xml:space="preserve">Facility!E5:M5</t>
  </si>
  <si>
    <t xml:space="preserve">WIF_Facility_gen</t>
  </si>
  <si>
    <t xml:space="preserve">Facility!E6:M6</t>
  </si>
  <si>
    <t xml:space="preserve">WIF_Facility_ups</t>
  </si>
  <si>
    <t xml:space="preserve">Facility!E7:M7</t>
  </si>
  <si>
    <t xml:space="preserve">WIF_Facility_cool</t>
  </si>
  <si>
    <t xml:space="preserve">Facility!E8:M8</t>
  </si>
  <si>
    <t xml:space="preserve">WIF_Facility_bldg</t>
  </si>
  <si>
    <t xml:space="preserve">Facility!E9:M9</t>
  </si>
  <si>
    <t xml:space="preserve">WIF_Facility_labor</t>
  </si>
  <si>
    <t xml:space="preserve">Facility!E10:M10</t>
  </si>
  <si>
    <t xml:space="preserve">WIF_Facility_prof</t>
  </si>
  <si>
    <t xml:space="preserve">Facility!E11:M11</t>
  </si>
  <si>
    <t xml:space="preserve">WIF_Facility_net</t>
  </si>
  <si>
    <t xml:space="preserve">Facility!E12:M12</t>
  </si>
  <si>
    <t xml:space="preserve">WIF_Facility_land</t>
  </si>
  <si>
    <t xml:space="preserve">Facility!E13:M13</t>
  </si>
  <si>
    <t xml:space="preserve">WIF_Facility_resid</t>
  </si>
  <si>
    <r>
      <rPr>
        <sz val="11"/>
        <color theme="1"/>
        <rFont val="Noto Sans CJK SC"/>
        <family val="2"/>
      </rPr>
      <t xml:space="preserve">其他／未拆（殘差＝</t>
    </r>
    <r>
      <rPr>
        <sz val="11"/>
        <color theme="1"/>
        <rFont val="Calibri"/>
        <family val="2"/>
        <charset val="1"/>
      </rPr>
      <t xml:space="preserve">TK − Σ </t>
    </r>
    <r>
      <rPr>
        <sz val="11"/>
        <color theme="1"/>
        <rFont val="Noto Sans CJK SC"/>
        <family val="2"/>
      </rPr>
      <t xml:space="preserve">上列）</t>
    </r>
  </si>
  <si>
    <t xml:space="preserve">Facility!E14:M14</t>
  </si>
  <si>
    <t xml:space="preserve">WIF_Facility_self_unit</t>
  </si>
  <si>
    <r>
      <rPr>
        <sz val="11"/>
        <color theme="1"/>
        <rFont val="Noto Sans CJK SC"/>
        <family val="2"/>
      </rPr>
      <t xml:space="preserve">自建發電（另計，不在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廠房內；僅有自建的園區）</t>
    </r>
  </si>
  <si>
    <t xml:space="preserve">Facility!E16:M16</t>
  </si>
  <si>
    <t xml:space="preserve">WIF_Facility_mkt_q_gen</t>
  </si>
  <si>
    <r>
      <rPr>
        <sz val="11"/>
        <color theme="1"/>
        <rFont val="Noto Sans CJK SC"/>
        <family val="2"/>
      </rPr>
      <t xml:space="preserve">市場：備援發電機裝置量（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</si>
  <si>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Facility!E38:M38</t>
  </si>
  <si>
    <t xml:space="preserve">WIF_Facility_mkt_q_self</t>
  </si>
  <si>
    <r>
      <rPr>
        <sz val="11"/>
        <color theme="1"/>
        <rFont val="Noto Sans CJK SC"/>
        <family val="2"/>
      </rPr>
      <t xml:space="preserve">市場：自建發電容量（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</si>
  <si>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Facility!E39:M39</t>
  </si>
  <si>
    <r>
      <rPr>
        <b val="true"/>
        <sz val="11"/>
        <rFont val="Cambria"/>
        <family val="0"/>
        <charset val="1"/>
      </rPr>
      <t xml:space="preserve">F. Funding</t>
    </r>
    <r>
      <rPr>
        <b val="true"/>
        <sz val="11"/>
        <rFont val="Noto Sans CJK SC"/>
        <family val="2"/>
      </rPr>
      <t xml:space="preserve">：資金來源（每家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期間；欄位見 </t>
    </r>
    <r>
      <rPr>
        <b val="true"/>
        <sz val="11"/>
        <rFont val="Cambria"/>
        <family val="0"/>
        <charset val="1"/>
      </rPr>
      <t xml:space="preserve">Funding </t>
    </r>
    <r>
      <rPr>
        <b val="true"/>
        <sz val="11"/>
        <rFont val="Noto Sans CJK SC"/>
        <family val="2"/>
      </rPr>
      <t xml:space="preserve">頁；名稱 </t>
    </r>
    <r>
      <rPr>
        <b val="true"/>
        <sz val="11"/>
        <rFont val="Cambria"/>
        <family val="0"/>
        <charset val="1"/>
      </rPr>
      <t xml:space="preserve">WIF_Funding_&lt;</t>
    </r>
    <r>
      <rPr>
        <b val="true"/>
        <sz val="11"/>
        <rFont val="Noto Sans CJK SC"/>
        <family val="2"/>
      </rPr>
      <t xml:space="preserve">玩家</t>
    </r>
    <r>
      <rPr>
        <b val="true"/>
        <sz val="11"/>
        <rFont val="Cambria"/>
        <family val="0"/>
        <charset val="1"/>
      </rPr>
      <t xml:space="preserve">&gt;_&lt;</t>
    </r>
    <r>
      <rPr>
        <b val="true"/>
        <sz val="11"/>
        <rFont val="Noto Sans CJK SC"/>
        <family val="2"/>
      </rPr>
      <t xml:space="preserve">期間</t>
    </r>
    <r>
      <rPr>
        <b val="true"/>
        <sz val="11"/>
        <rFont val="Cambria"/>
        <family val="0"/>
        <charset val="1"/>
      </rPr>
      <t xml:space="preserve">&gt;_&lt;</t>
    </r>
    <r>
      <rPr>
        <b val="true"/>
        <sz val="11"/>
        <rFont val="Noto Sans CJK SC"/>
        <family val="2"/>
      </rPr>
      <t xml:space="preserve">項目</t>
    </r>
    <r>
      <rPr>
        <b val="true"/>
        <sz val="11"/>
        <rFont val="Cambria"/>
        <family val="0"/>
        <charset val="1"/>
      </rPr>
      <t xml:space="preserve">&gt;</t>
    </r>
    <r>
      <rPr>
        <b val="true"/>
        <sz val="11"/>
        <rFont val="Noto Sans CJK SC"/>
        <family val="2"/>
      </rPr>
      <t xml:space="preserve">，期間＝</t>
    </r>
    <r>
      <rPr>
        <b val="true"/>
        <sz val="11"/>
        <rFont val="Cambria"/>
        <family val="0"/>
        <charset val="1"/>
      </rPr>
      <t xml:space="preserve">2024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）</t>
    </r>
  </si>
  <si>
    <t xml:space="preserve">WIF_Funding_msft_2024_capex</t>
  </si>
  <si>
    <t xml:space="preserve">capex</t>
  </si>
  <si>
    <t xml:space="preserve">Funding!W5</t>
  </si>
  <si>
    <t xml:space="preserve">WIF_Funding_msft_2024_int_pct</t>
  </si>
  <si>
    <t xml:space="preserve">int_pct</t>
  </si>
  <si>
    <t xml:space="preserve">Funding!AC5</t>
  </si>
  <si>
    <t xml:space="preserve">WIF_Funding_msft_2024_lease_pct</t>
  </si>
  <si>
    <t xml:space="preserve">lease_pct</t>
  </si>
  <si>
    <t xml:space="preserve">Funding!AD5</t>
  </si>
  <si>
    <t xml:space="preserve">WIF_Funding_msft_2024_equity_pct</t>
  </si>
  <si>
    <t xml:space="preserve">equity_pct</t>
  </si>
  <si>
    <t xml:space="preserve">Funding!AE5</t>
  </si>
  <si>
    <t xml:space="preserve">WIF_Funding_msft_2024_debt_pct</t>
  </si>
  <si>
    <t xml:space="preserve">debt_pct</t>
  </si>
  <si>
    <t xml:space="preserve">Funding!AF5</t>
  </si>
  <si>
    <t xml:space="preserve">WIF_Funding_msft_2024_other_pct</t>
  </si>
  <si>
    <t xml:space="preserve">other_pct</t>
  </si>
  <si>
    <t xml:space="preserve">Funding!AG5</t>
  </si>
  <si>
    <t xml:space="preserve">WIF_Funding_msft_2024_gross_ext</t>
  </si>
  <si>
    <t xml:space="preserve">gross_ext</t>
  </si>
  <si>
    <t xml:space="preserve">Funding!AL5</t>
  </si>
  <si>
    <t xml:space="preserve">WIF_Funding_msft_2024_gross_ext_pct</t>
  </si>
  <si>
    <t xml:space="preserve">gross_ext_pct</t>
  </si>
  <si>
    <t xml:space="preserve">Funding!AM5</t>
  </si>
  <si>
    <t xml:space="preserve">WIF_Funding_msft_2024_gross_ocf_pct</t>
  </si>
  <si>
    <t xml:space="preserve">gross_ocf_pct</t>
  </si>
  <si>
    <t xml:space="preserve">Funding!AN5</t>
  </si>
  <si>
    <t xml:space="preserve">WIF_Funding_msft_2024_gross_debt_pct</t>
  </si>
  <si>
    <t xml:space="preserve">gross_debt_pct</t>
  </si>
  <si>
    <t xml:space="preserve">Funding!AO5</t>
  </si>
  <si>
    <t xml:space="preserve">WIF_Funding_msft_2024_gross_equity_pct</t>
  </si>
  <si>
    <t xml:space="preserve">gross_equity_pct</t>
  </si>
  <si>
    <t xml:space="preserve">Funding!AP5</t>
  </si>
  <si>
    <t xml:space="preserve">WIF_Funding_msft_2024_gross_lease_jv_pct</t>
  </si>
  <si>
    <t xml:space="preserve">gross_lease_jv_pct</t>
  </si>
  <si>
    <t xml:space="preserve">Funding!AQ5</t>
  </si>
  <si>
    <t xml:space="preserve">WIF_Funding_msft_2024_ocf</t>
  </si>
  <si>
    <t xml:space="preserve">Funding!E5</t>
  </si>
  <si>
    <t xml:space="preserve">WIF_Funding_msft_2024_fcf</t>
  </si>
  <si>
    <t xml:space="preserve">Funding!I5</t>
  </si>
  <si>
    <t xml:space="preserve">WIF_Funding_msft_2024_lnc</t>
  </si>
  <si>
    <t xml:space="preserve">lnc</t>
  </si>
  <si>
    <t xml:space="preserve">Funding!O5</t>
  </si>
  <si>
    <t xml:space="preserve">WIF_Funding_msft_2024_debt_raised</t>
  </si>
  <si>
    <t xml:space="preserve">debt_raised</t>
  </si>
  <si>
    <t xml:space="preserve">Funding!J5</t>
  </si>
  <si>
    <t xml:space="preserve">WIF_Funding_msft_2024_equity_raised</t>
  </si>
  <si>
    <t xml:space="preserve">equity_raised</t>
  </si>
  <si>
    <t xml:space="preserve">Funding!R5</t>
  </si>
  <si>
    <t xml:space="preserve">WIF_Funding_msft_2025_capex</t>
  </si>
  <si>
    <t xml:space="preserve">Funding!W6</t>
  </si>
  <si>
    <t xml:space="preserve">WIF_Funding_msft_2025_int_pct</t>
  </si>
  <si>
    <t xml:space="preserve">Funding!AC6</t>
  </si>
  <si>
    <t xml:space="preserve">WIF_Funding_msft_2025_lease_pct</t>
  </si>
  <si>
    <t xml:space="preserve">Funding!AD6</t>
  </si>
  <si>
    <t xml:space="preserve">WIF_Funding_msft_2025_equity_pct</t>
  </si>
  <si>
    <t xml:space="preserve">Funding!AE6</t>
  </si>
  <si>
    <t xml:space="preserve">WIF_Funding_msft_2025_debt_pct</t>
  </si>
  <si>
    <t xml:space="preserve">Funding!AF6</t>
  </si>
  <si>
    <t xml:space="preserve">WIF_Funding_msft_2025_other_pct</t>
  </si>
  <si>
    <t xml:space="preserve">Funding!AG6</t>
  </si>
  <si>
    <t xml:space="preserve">WIF_Funding_msft_2025_gross_ext</t>
  </si>
  <si>
    <t xml:space="preserve">Funding!AL6</t>
  </si>
  <si>
    <t xml:space="preserve">WIF_Funding_msft_2025_gross_ext_pct</t>
  </si>
  <si>
    <t xml:space="preserve">Funding!AM6</t>
  </si>
  <si>
    <t xml:space="preserve">WIF_Funding_msft_2025_gross_ocf_pct</t>
  </si>
  <si>
    <t xml:space="preserve">Funding!AN6</t>
  </si>
  <si>
    <t xml:space="preserve">WIF_Funding_msft_2025_gross_debt_pct</t>
  </si>
  <si>
    <t xml:space="preserve">Funding!AO6</t>
  </si>
  <si>
    <t xml:space="preserve">WIF_Funding_msft_2025_gross_equity_pct</t>
  </si>
  <si>
    <t xml:space="preserve">Funding!AP6</t>
  </si>
  <si>
    <t xml:space="preserve">WIF_Funding_msft_2025_gross_lease_jv_pct</t>
  </si>
  <si>
    <t xml:space="preserve">Funding!AQ6</t>
  </si>
  <si>
    <t xml:space="preserve">WIF_Funding_msft_2025_ocf</t>
  </si>
  <si>
    <t xml:space="preserve">Funding!E6</t>
  </si>
  <si>
    <t xml:space="preserve">WIF_Funding_msft_2025_fcf</t>
  </si>
  <si>
    <t xml:space="preserve">Funding!I6</t>
  </si>
  <si>
    <t xml:space="preserve">WIF_Funding_msft_2025_lnc</t>
  </si>
  <si>
    <t xml:space="preserve">Funding!O6</t>
  </si>
  <si>
    <t xml:space="preserve">WIF_Funding_msft_2025_debt_raised</t>
  </si>
  <si>
    <t xml:space="preserve">Funding!J6</t>
  </si>
  <si>
    <t xml:space="preserve">WIF_Funding_msft_2025_equity_raised</t>
  </si>
  <si>
    <t xml:space="preserve">Funding!R6</t>
  </si>
  <si>
    <t xml:space="preserve">WIF_Funding_msft_2026_capex</t>
  </si>
  <si>
    <t xml:space="preserve">Funding!W7</t>
  </si>
  <si>
    <t xml:space="preserve">WIF_Funding_msft_2026_int_pct</t>
  </si>
  <si>
    <t xml:space="preserve">Funding!AC7</t>
  </si>
  <si>
    <t xml:space="preserve">WIF_Funding_msft_2026_lease_pct</t>
  </si>
  <si>
    <t xml:space="preserve">Funding!AD7</t>
  </si>
  <si>
    <t xml:space="preserve">WIF_Funding_msft_2026_equity_pct</t>
  </si>
  <si>
    <t xml:space="preserve">Funding!AE7</t>
  </si>
  <si>
    <t xml:space="preserve">WIF_Funding_msft_2026_debt_pct</t>
  </si>
  <si>
    <t xml:space="preserve">Funding!AF7</t>
  </si>
  <si>
    <t xml:space="preserve">WIF_Funding_msft_2026_other_pct</t>
  </si>
  <si>
    <t xml:space="preserve">Funding!AG7</t>
  </si>
  <si>
    <t xml:space="preserve">WIF_Funding_msft_2026_gross_ext</t>
  </si>
  <si>
    <t xml:space="preserve">Funding!AL7</t>
  </si>
  <si>
    <t xml:space="preserve">WIF_Funding_msft_2026_gross_ext_pct</t>
  </si>
  <si>
    <t xml:space="preserve">Funding!AM7</t>
  </si>
  <si>
    <t xml:space="preserve">WIF_Funding_msft_2026_gross_ocf_pct</t>
  </si>
  <si>
    <t xml:space="preserve">Funding!AN7</t>
  </si>
  <si>
    <t xml:space="preserve">WIF_Funding_msft_2026_gross_debt_pct</t>
  </si>
  <si>
    <t xml:space="preserve">Funding!AO7</t>
  </si>
  <si>
    <t xml:space="preserve">WIF_Funding_msft_2026_gross_equity_pct</t>
  </si>
  <si>
    <t xml:space="preserve">Funding!AP7</t>
  </si>
  <si>
    <t xml:space="preserve">WIF_Funding_msft_2026_gross_lease_jv_pct</t>
  </si>
  <si>
    <t xml:space="preserve">Funding!AQ7</t>
  </si>
  <si>
    <t xml:space="preserve">WIF_Funding_msft_2026_ocf</t>
  </si>
  <si>
    <t xml:space="preserve">Funding!E7</t>
  </si>
  <si>
    <t xml:space="preserve">WIF_Funding_msft_2026_fcf</t>
  </si>
  <si>
    <t xml:space="preserve">Funding!I7</t>
  </si>
  <si>
    <t xml:space="preserve">WIF_Funding_msft_2026_lnc</t>
  </si>
  <si>
    <t xml:space="preserve">Funding!O7</t>
  </si>
  <si>
    <t xml:space="preserve">WIF_Funding_msft_2026_debt_raised</t>
  </si>
  <si>
    <t xml:space="preserve">Funding!J7</t>
  </si>
  <si>
    <t xml:space="preserve">WIF_Funding_msft_2026_equity_raised</t>
  </si>
  <si>
    <t xml:space="preserve">Funding!R7</t>
  </si>
  <si>
    <t xml:space="preserve">WIF_Funding_googl_2024_capex</t>
  </si>
  <si>
    <t xml:space="preserve">Funding!W8</t>
  </si>
  <si>
    <t xml:space="preserve">WIF_Funding_googl_2024_int_pct</t>
  </si>
  <si>
    <t xml:space="preserve">Funding!AC8</t>
  </si>
  <si>
    <t xml:space="preserve">WIF_Funding_googl_2024_lease_pct</t>
  </si>
  <si>
    <t xml:space="preserve">Funding!AD8</t>
  </si>
  <si>
    <t xml:space="preserve">WIF_Funding_googl_2024_equity_pct</t>
  </si>
  <si>
    <t xml:space="preserve">Funding!AE8</t>
  </si>
  <si>
    <t xml:space="preserve">WIF_Funding_googl_2024_debt_pct</t>
  </si>
  <si>
    <t xml:space="preserve">Funding!AF8</t>
  </si>
  <si>
    <t xml:space="preserve">WIF_Funding_googl_2024_other_pct</t>
  </si>
  <si>
    <t xml:space="preserve">Funding!AG8</t>
  </si>
  <si>
    <t xml:space="preserve">WIF_Funding_googl_2024_gross_ext</t>
  </si>
  <si>
    <t xml:space="preserve">Funding!AL8</t>
  </si>
  <si>
    <t xml:space="preserve">WIF_Funding_googl_2024_gross_ext_pct</t>
  </si>
  <si>
    <t xml:space="preserve">Funding!AM8</t>
  </si>
  <si>
    <t xml:space="preserve">WIF_Funding_googl_2024_gross_ocf_pct</t>
  </si>
  <si>
    <t xml:space="preserve">Funding!AN8</t>
  </si>
  <si>
    <t xml:space="preserve">WIF_Funding_googl_2024_gross_debt_pct</t>
  </si>
  <si>
    <t xml:space="preserve">Funding!AO8</t>
  </si>
  <si>
    <t xml:space="preserve">WIF_Funding_googl_2024_gross_equity_pct</t>
  </si>
  <si>
    <t xml:space="preserve">Funding!AP8</t>
  </si>
  <si>
    <t xml:space="preserve">WIF_Funding_googl_2024_gross_lease_jv_pct</t>
  </si>
  <si>
    <t xml:space="preserve">Funding!AQ8</t>
  </si>
  <si>
    <t xml:space="preserve">WIF_Funding_googl_2024_ocf</t>
  </si>
  <si>
    <t xml:space="preserve">Funding!E8</t>
  </si>
  <si>
    <t xml:space="preserve">WIF_Funding_googl_2024_fcf</t>
  </si>
  <si>
    <t xml:space="preserve">Funding!I8</t>
  </si>
  <si>
    <t xml:space="preserve">WIF_Funding_googl_2024_lnc</t>
  </si>
  <si>
    <t xml:space="preserve">Funding!O8</t>
  </si>
  <si>
    <t xml:space="preserve">WIF_Funding_googl_2024_debt_raised</t>
  </si>
  <si>
    <t xml:space="preserve">Funding!J8</t>
  </si>
  <si>
    <t xml:space="preserve">WIF_Funding_googl_2024_equity_raised</t>
  </si>
  <si>
    <t xml:space="preserve">Funding!R8</t>
  </si>
  <si>
    <t xml:space="preserve">WIF_Funding_googl_2025_capex</t>
  </si>
  <si>
    <t xml:space="preserve">Funding!W9</t>
  </si>
  <si>
    <t xml:space="preserve">WIF_Funding_googl_2025_int_pct</t>
  </si>
  <si>
    <t xml:space="preserve">Funding!AC9</t>
  </si>
  <si>
    <t xml:space="preserve">WIF_Funding_googl_2025_lease_pct</t>
  </si>
  <si>
    <t xml:space="preserve">Funding!AD9</t>
  </si>
  <si>
    <t xml:space="preserve">WIF_Funding_googl_2025_equity_pct</t>
  </si>
  <si>
    <t xml:space="preserve">Funding!AE9</t>
  </si>
  <si>
    <t xml:space="preserve">WIF_Funding_googl_2025_debt_pct</t>
  </si>
  <si>
    <t xml:space="preserve">Funding!AF9</t>
  </si>
  <si>
    <t xml:space="preserve">WIF_Funding_googl_2025_other_pct</t>
  </si>
  <si>
    <t xml:space="preserve">Funding!AG9</t>
  </si>
  <si>
    <t xml:space="preserve">WIF_Funding_googl_2025_gross_ext</t>
  </si>
  <si>
    <t xml:space="preserve">Funding!AL9</t>
  </si>
  <si>
    <t xml:space="preserve">WIF_Funding_googl_2025_gross_ext_pct</t>
  </si>
  <si>
    <t xml:space="preserve">Funding!AM9</t>
  </si>
  <si>
    <t xml:space="preserve">WIF_Funding_googl_2025_gross_ocf_pct</t>
  </si>
  <si>
    <t xml:space="preserve">Funding!AN9</t>
  </si>
  <si>
    <t xml:space="preserve">WIF_Funding_googl_2025_gross_debt_pct</t>
  </si>
  <si>
    <t xml:space="preserve">Funding!AO9</t>
  </si>
  <si>
    <t xml:space="preserve">WIF_Funding_googl_2025_gross_equity_pct</t>
  </si>
  <si>
    <t xml:space="preserve">Funding!AP9</t>
  </si>
  <si>
    <t xml:space="preserve">WIF_Funding_googl_2025_gross_lease_jv_pct</t>
  </si>
  <si>
    <t xml:space="preserve">Funding!AQ9</t>
  </si>
  <si>
    <t xml:space="preserve">WIF_Funding_googl_2025_ocf</t>
  </si>
  <si>
    <t xml:space="preserve">Funding!E9</t>
  </si>
  <si>
    <t xml:space="preserve">WIF_Funding_googl_2025_fcf</t>
  </si>
  <si>
    <t xml:space="preserve">Funding!I9</t>
  </si>
  <si>
    <t xml:space="preserve">WIF_Funding_googl_2025_lnc</t>
  </si>
  <si>
    <t xml:space="preserve">Funding!O9</t>
  </si>
  <si>
    <t xml:space="preserve">WIF_Funding_googl_2025_debt_raised</t>
  </si>
  <si>
    <t xml:space="preserve">Funding!J9</t>
  </si>
  <si>
    <t xml:space="preserve">WIF_Funding_googl_2025_equity_raised</t>
  </si>
  <si>
    <t xml:space="preserve">Funding!R9</t>
  </si>
  <si>
    <t xml:space="preserve">WIF_Funding_googl_2026_capex</t>
  </si>
  <si>
    <t xml:space="preserve">Funding!W10</t>
  </si>
  <si>
    <t xml:space="preserve">WIF_Funding_googl_2026_int_pct</t>
  </si>
  <si>
    <t xml:space="preserve">Funding!AC10</t>
  </si>
  <si>
    <t xml:space="preserve">WIF_Funding_googl_2026_lease_pct</t>
  </si>
  <si>
    <t xml:space="preserve">Funding!AD10</t>
  </si>
  <si>
    <t xml:space="preserve">WIF_Funding_googl_2026_equity_pct</t>
  </si>
  <si>
    <t xml:space="preserve">Funding!AE10</t>
  </si>
  <si>
    <t xml:space="preserve">WIF_Funding_googl_2026_debt_pct</t>
  </si>
  <si>
    <t xml:space="preserve">Funding!AF10</t>
  </si>
  <si>
    <t xml:space="preserve">WIF_Funding_googl_2026_other_pct</t>
  </si>
  <si>
    <t xml:space="preserve">Funding!AG10</t>
  </si>
  <si>
    <t xml:space="preserve">WIF_Funding_googl_2026_gross_ext</t>
  </si>
  <si>
    <t xml:space="preserve">Funding!AL10</t>
  </si>
  <si>
    <t xml:space="preserve">WIF_Funding_googl_2026_gross_ext_pct</t>
  </si>
  <si>
    <t xml:space="preserve">Funding!AM10</t>
  </si>
  <si>
    <t xml:space="preserve">WIF_Funding_googl_2026_gross_ocf_pct</t>
  </si>
  <si>
    <t xml:space="preserve">Funding!AN10</t>
  </si>
  <si>
    <t xml:space="preserve">WIF_Funding_googl_2026_gross_debt_pct</t>
  </si>
  <si>
    <t xml:space="preserve">Funding!AO10</t>
  </si>
  <si>
    <t xml:space="preserve">WIF_Funding_googl_2026_gross_equity_pct</t>
  </si>
  <si>
    <t xml:space="preserve">Funding!AP10</t>
  </si>
  <si>
    <t xml:space="preserve">WIF_Funding_googl_2026_gross_lease_jv_pct</t>
  </si>
  <si>
    <t xml:space="preserve">Funding!AQ10</t>
  </si>
  <si>
    <t xml:space="preserve">WIF_Funding_googl_2026_ocf</t>
  </si>
  <si>
    <t xml:space="preserve">Funding!E10</t>
  </si>
  <si>
    <t xml:space="preserve">WIF_Funding_googl_2026_fcf</t>
  </si>
  <si>
    <t xml:space="preserve">Funding!I10</t>
  </si>
  <si>
    <t xml:space="preserve">WIF_Funding_googl_2026_lnc</t>
  </si>
  <si>
    <t xml:space="preserve">Funding!O10</t>
  </si>
  <si>
    <t xml:space="preserve">WIF_Funding_googl_2026_debt_raised</t>
  </si>
  <si>
    <t xml:space="preserve">Funding!J10</t>
  </si>
  <si>
    <t xml:space="preserve">WIF_Funding_googl_2026_equity_raised</t>
  </si>
  <si>
    <t xml:space="preserve">Funding!R10</t>
  </si>
  <si>
    <t xml:space="preserve">WIF_Funding_amzn_2024_capex</t>
  </si>
  <si>
    <t xml:space="preserve">Funding!W11</t>
  </si>
  <si>
    <t xml:space="preserve">WIF_Funding_amzn_2024_int_pct</t>
  </si>
  <si>
    <t xml:space="preserve">Funding!AC11</t>
  </si>
  <si>
    <t xml:space="preserve">WIF_Funding_amzn_2024_lease_pct</t>
  </si>
  <si>
    <t xml:space="preserve">Funding!AD11</t>
  </si>
  <si>
    <t xml:space="preserve">WIF_Funding_amzn_2024_equity_pct</t>
  </si>
  <si>
    <t xml:space="preserve">Funding!AE11</t>
  </si>
  <si>
    <t xml:space="preserve">WIF_Funding_amzn_2024_debt_pct</t>
  </si>
  <si>
    <t xml:space="preserve">Funding!AF11</t>
  </si>
  <si>
    <t xml:space="preserve">WIF_Funding_amzn_2024_other_pct</t>
  </si>
  <si>
    <t xml:space="preserve">Funding!AG11</t>
  </si>
  <si>
    <t xml:space="preserve">WIF_Funding_amzn_2024_gross_ext</t>
  </si>
  <si>
    <t xml:space="preserve">Funding!AL11</t>
  </si>
  <si>
    <t xml:space="preserve">WIF_Funding_amzn_2024_gross_ext_pct</t>
  </si>
  <si>
    <t xml:space="preserve">Funding!AM11</t>
  </si>
  <si>
    <t xml:space="preserve">WIF_Funding_amzn_2024_gross_ocf_pct</t>
  </si>
  <si>
    <t xml:space="preserve">Funding!AN11</t>
  </si>
  <si>
    <t xml:space="preserve">WIF_Funding_amzn_2024_gross_debt_pct</t>
  </si>
  <si>
    <t xml:space="preserve">Funding!AO11</t>
  </si>
  <si>
    <t xml:space="preserve">WIF_Funding_amzn_2024_gross_equity_pct</t>
  </si>
  <si>
    <t xml:space="preserve">Funding!AP11</t>
  </si>
  <si>
    <t xml:space="preserve">WIF_Funding_amzn_2024_gross_lease_jv_pct</t>
  </si>
  <si>
    <t xml:space="preserve">Funding!AQ11</t>
  </si>
  <si>
    <t xml:space="preserve">WIF_Funding_amzn_2024_ocf</t>
  </si>
  <si>
    <t xml:space="preserve">Funding!E11</t>
  </si>
  <si>
    <t xml:space="preserve">WIF_Funding_amzn_2024_fcf</t>
  </si>
  <si>
    <t xml:space="preserve">Funding!I11</t>
  </si>
  <si>
    <t xml:space="preserve">WIF_Funding_amzn_2024_lnc</t>
  </si>
  <si>
    <t xml:space="preserve">Funding!O11</t>
  </si>
  <si>
    <t xml:space="preserve">WIF_Funding_amzn_2024_debt_raised</t>
  </si>
  <si>
    <t xml:space="preserve">Funding!J11</t>
  </si>
  <si>
    <t xml:space="preserve">WIF_Funding_amzn_2024_equity_raised</t>
  </si>
  <si>
    <t xml:space="preserve">Funding!R11</t>
  </si>
  <si>
    <t xml:space="preserve">WIF_Funding_amzn_2025_capex</t>
  </si>
  <si>
    <t xml:space="preserve">Funding!W12</t>
  </si>
  <si>
    <t xml:space="preserve">WIF_Funding_amzn_2025_int_pct</t>
  </si>
  <si>
    <t xml:space="preserve">Funding!AC12</t>
  </si>
  <si>
    <t xml:space="preserve">WIF_Funding_amzn_2025_lease_pct</t>
  </si>
  <si>
    <t xml:space="preserve">Funding!AD12</t>
  </si>
  <si>
    <t xml:space="preserve">WIF_Funding_amzn_2025_equity_pct</t>
  </si>
  <si>
    <t xml:space="preserve">Funding!AE12</t>
  </si>
  <si>
    <t xml:space="preserve">WIF_Funding_amzn_2025_debt_pct</t>
  </si>
  <si>
    <t xml:space="preserve">Funding!AF12</t>
  </si>
  <si>
    <t xml:space="preserve">WIF_Funding_amzn_2025_other_pct</t>
  </si>
  <si>
    <t xml:space="preserve">Funding!AG12</t>
  </si>
  <si>
    <t xml:space="preserve">WIF_Funding_amzn_2025_gross_ext</t>
  </si>
  <si>
    <t xml:space="preserve">Funding!AL12</t>
  </si>
  <si>
    <t xml:space="preserve">WIF_Funding_amzn_2025_gross_ext_pct</t>
  </si>
  <si>
    <t xml:space="preserve">Funding!AM12</t>
  </si>
  <si>
    <t xml:space="preserve">WIF_Funding_amzn_2025_gross_ocf_pct</t>
  </si>
  <si>
    <t xml:space="preserve">Funding!AN12</t>
  </si>
  <si>
    <t xml:space="preserve">WIF_Funding_amzn_2025_gross_debt_pct</t>
  </si>
  <si>
    <t xml:space="preserve">Funding!AO12</t>
  </si>
  <si>
    <t xml:space="preserve">WIF_Funding_amzn_2025_gross_equity_pct</t>
  </si>
  <si>
    <t xml:space="preserve">Funding!AP12</t>
  </si>
  <si>
    <t xml:space="preserve">WIF_Funding_amzn_2025_gross_lease_jv_pct</t>
  </si>
  <si>
    <t xml:space="preserve">Funding!AQ12</t>
  </si>
  <si>
    <t xml:space="preserve">WIF_Funding_amzn_2025_ocf</t>
  </si>
  <si>
    <t xml:space="preserve">Funding!E12</t>
  </si>
  <si>
    <t xml:space="preserve">WIF_Funding_amzn_2025_fcf</t>
  </si>
  <si>
    <t xml:space="preserve">Funding!I12</t>
  </si>
  <si>
    <t xml:space="preserve">WIF_Funding_amzn_2025_lnc</t>
  </si>
  <si>
    <t xml:space="preserve">Funding!O12</t>
  </si>
  <si>
    <t xml:space="preserve">WIF_Funding_amzn_2025_debt_raised</t>
  </si>
  <si>
    <t xml:space="preserve">Funding!J12</t>
  </si>
  <si>
    <t xml:space="preserve">WIF_Funding_amzn_2025_equity_raised</t>
  </si>
  <si>
    <t xml:space="preserve">Funding!R12</t>
  </si>
  <si>
    <t xml:space="preserve">WIF_Funding_amzn_2026_capex</t>
  </si>
  <si>
    <t xml:space="preserve">Funding!W13</t>
  </si>
  <si>
    <t xml:space="preserve">WIF_Funding_amzn_2026_int_pct</t>
  </si>
  <si>
    <t xml:space="preserve">Funding!AC13</t>
  </si>
  <si>
    <t xml:space="preserve">WIF_Funding_amzn_2026_lease_pct</t>
  </si>
  <si>
    <t xml:space="preserve">Funding!AD13</t>
  </si>
  <si>
    <t xml:space="preserve">WIF_Funding_amzn_2026_equity_pct</t>
  </si>
  <si>
    <t xml:space="preserve">Funding!AE13</t>
  </si>
  <si>
    <t xml:space="preserve">WIF_Funding_amzn_2026_debt_pct</t>
  </si>
  <si>
    <t xml:space="preserve">Funding!AF13</t>
  </si>
  <si>
    <t xml:space="preserve">WIF_Funding_amzn_2026_other_pct</t>
  </si>
  <si>
    <t xml:space="preserve">Funding!AG13</t>
  </si>
  <si>
    <t xml:space="preserve">WIF_Funding_amzn_2026_gross_ext</t>
  </si>
  <si>
    <t xml:space="preserve">Funding!AL13</t>
  </si>
  <si>
    <t xml:space="preserve">WIF_Funding_amzn_2026_gross_ext_pct</t>
  </si>
  <si>
    <t xml:space="preserve">Funding!AM13</t>
  </si>
  <si>
    <t xml:space="preserve">WIF_Funding_amzn_2026_gross_ocf_pct</t>
  </si>
  <si>
    <t xml:space="preserve">Funding!AN13</t>
  </si>
  <si>
    <t xml:space="preserve">WIF_Funding_amzn_2026_gross_debt_pct</t>
  </si>
  <si>
    <t xml:space="preserve">Funding!AO13</t>
  </si>
  <si>
    <t xml:space="preserve">WIF_Funding_amzn_2026_gross_equity_pct</t>
  </si>
  <si>
    <t xml:space="preserve">Funding!AP13</t>
  </si>
  <si>
    <t xml:space="preserve">WIF_Funding_amzn_2026_gross_lease_jv_pct</t>
  </si>
  <si>
    <t xml:space="preserve">Funding!AQ13</t>
  </si>
  <si>
    <t xml:space="preserve">WIF_Funding_amzn_2026_ocf</t>
  </si>
  <si>
    <t xml:space="preserve">Funding!E13</t>
  </si>
  <si>
    <t xml:space="preserve">WIF_Funding_amzn_2026_fcf</t>
  </si>
  <si>
    <t xml:space="preserve">Funding!I13</t>
  </si>
  <si>
    <t xml:space="preserve">WIF_Funding_amzn_2026_lnc</t>
  </si>
  <si>
    <t xml:space="preserve">Funding!O13</t>
  </si>
  <si>
    <t xml:space="preserve">WIF_Funding_amzn_2026_debt_raised</t>
  </si>
  <si>
    <t xml:space="preserve">Funding!J13</t>
  </si>
  <si>
    <t xml:space="preserve">WIF_Funding_amzn_2026_equity_raised</t>
  </si>
  <si>
    <t xml:space="preserve">Funding!R13</t>
  </si>
  <si>
    <t xml:space="preserve">WIF_Funding_meta_2024_capex</t>
  </si>
  <si>
    <t xml:space="preserve">Funding!W14</t>
  </si>
  <si>
    <t xml:space="preserve">WIF_Funding_meta_2024_int_pct</t>
  </si>
  <si>
    <t xml:space="preserve">Funding!AC14</t>
  </si>
  <si>
    <t xml:space="preserve">WIF_Funding_meta_2024_lease_pct</t>
  </si>
  <si>
    <t xml:space="preserve">Funding!AD14</t>
  </si>
  <si>
    <t xml:space="preserve">WIF_Funding_meta_2024_equity_pct</t>
  </si>
  <si>
    <t xml:space="preserve">Funding!AE14</t>
  </si>
  <si>
    <t xml:space="preserve">WIF_Funding_meta_2024_debt_pct</t>
  </si>
  <si>
    <t xml:space="preserve">Funding!AF14</t>
  </si>
  <si>
    <t xml:space="preserve">WIF_Funding_meta_2024_other_pct</t>
  </si>
  <si>
    <t xml:space="preserve">Funding!AG14</t>
  </si>
  <si>
    <t xml:space="preserve">WIF_Funding_meta_2024_gross_ext</t>
  </si>
  <si>
    <t xml:space="preserve">Funding!AL14</t>
  </si>
  <si>
    <t xml:space="preserve">WIF_Funding_meta_2024_gross_ext_pct</t>
  </si>
  <si>
    <t xml:space="preserve">Funding!AM14</t>
  </si>
  <si>
    <t xml:space="preserve">WIF_Funding_meta_2024_gross_ocf_pct</t>
  </si>
  <si>
    <t xml:space="preserve">Funding!AN14</t>
  </si>
  <si>
    <t xml:space="preserve">WIF_Funding_meta_2024_gross_debt_pct</t>
  </si>
  <si>
    <t xml:space="preserve">Funding!AO14</t>
  </si>
  <si>
    <t xml:space="preserve">WIF_Funding_meta_2024_gross_equity_pct</t>
  </si>
  <si>
    <t xml:space="preserve">Funding!AP14</t>
  </si>
  <si>
    <t xml:space="preserve">WIF_Funding_meta_2024_gross_lease_jv_pct</t>
  </si>
  <si>
    <t xml:space="preserve">Funding!AQ14</t>
  </si>
  <si>
    <t xml:space="preserve">WIF_Funding_meta_2024_ocf</t>
  </si>
  <si>
    <t xml:space="preserve">Funding!E14</t>
  </si>
  <si>
    <t xml:space="preserve">WIF_Funding_meta_2024_fcf</t>
  </si>
  <si>
    <t xml:space="preserve">Funding!I14</t>
  </si>
  <si>
    <t xml:space="preserve">WIF_Funding_meta_2024_lnc</t>
  </si>
  <si>
    <t xml:space="preserve">Funding!O14</t>
  </si>
  <si>
    <t xml:space="preserve">WIF_Funding_meta_2024_debt_raised</t>
  </si>
  <si>
    <t xml:space="preserve">Funding!J14</t>
  </si>
  <si>
    <t xml:space="preserve">WIF_Funding_meta_2024_equity_raised</t>
  </si>
  <si>
    <t xml:space="preserve">Funding!R14</t>
  </si>
  <si>
    <t xml:space="preserve">WIF_Funding_meta_2025_capex</t>
  </si>
  <si>
    <t xml:space="preserve">Funding!W15</t>
  </si>
  <si>
    <t xml:space="preserve">WIF_Funding_meta_2025_int_pct</t>
  </si>
  <si>
    <t xml:space="preserve">Funding!AC15</t>
  </si>
  <si>
    <t xml:space="preserve">WIF_Funding_meta_2025_lease_pct</t>
  </si>
  <si>
    <t xml:space="preserve">Funding!AD15</t>
  </si>
  <si>
    <t xml:space="preserve">WIF_Funding_meta_2025_equity_pct</t>
  </si>
  <si>
    <t xml:space="preserve">Funding!AE15</t>
  </si>
  <si>
    <t xml:space="preserve">WIF_Funding_meta_2025_debt_pct</t>
  </si>
  <si>
    <t xml:space="preserve">Funding!AF15</t>
  </si>
  <si>
    <t xml:space="preserve">WIF_Funding_meta_2025_other_pct</t>
  </si>
  <si>
    <t xml:space="preserve">Funding!AG15</t>
  </si>
  <si>
    <t xml:space="preserve">WIF_Funding_meta_2025_gross_ext</t>
  </si>
  <si>
    <t xml:space="preserve">Funding!AL15</t>
  </si>
  <si>
    <t xml:space="preserve">WIF_Funding_meta_2025_gross_ext_pct</t>
  </si>
  <si>
    <t xml:space="preserve">Funding!AM15</t>
  </si>
  <si>
    <t xml:space="preserve">WIF_Funding_meta_2025_gross_ocf_pct</t>
  </si>
  <si>
    <t xml:space="preserve">Funding!AN15</t>
  </si>
  <si>
    <t xml:space="preserve">WIF_Funding_meta_2025_gross_debt_pct</t>
  </si>
  <si>
    <t xml:space="preserve">Funding!AO15</t>
  </si>
  <si>
    <t xml:space="preserve">WIF_Funding_meta_2025_gross_equity_pct</t>
  </si>
  <si>
    <t xml:space="preserve">Funding!AP15</t>
  </si>
  <si>
    <t xml:space="preserve">WIF_Funding_meta_2025_gross_lease_jv_pct</t>
  </si>
  <si>
    <t xml:space="preserve">Funding!AQ15</t>
  </si>
  <si>
    <t xml:space="preserve">WIF_Funding_meta_2025_ocf</t>
  </si>
  <si>
    <t xml:space="preserve">Funding!E15</t>
  </si>
  <si>
    <t xml:space="preserve">WIF_Funding_meta_2025_fcf</t>
  </si>
  <si>
    <t xml:space="preserve">Funding!I15</t>
  </si>
  <si>
    <t xml:space="preserve">WIF_Funding_meta_2025_lnc</t>
  </si>
  <si>
    <t xml:space="preserve">Funding!O15</t>
  </si>
  <si>
    <t xml:space="preserve">WIF_Funding_meta_2025_debt_raised</t>
  </si>
  <si>
    <t xml:space="preserve">Funding!J15</t>
  </si>
  <si>
    <t xml:space="preserve">WIF_Funding_meta_2025_equity_raised</t>
  </si>
  <si>
    <t xml:space="preserve">Funding!R15</t>
  </si>
  <si>
    <t xml:space="preserve">WIF_Funding_meta_2026_capex</t>
  </si>
  <si>
    <t xml:space="preserve">Funding!W16</t>
  </si>
  <si>
    <t xml:space="preserve">WIF_Funding_meta_2026_int_pct</t>
  </si>
  <si>
    <t xml:space="preserve">Funding!AC16</t>
  </si>
  <si>
    <t xml:space="preserve">WIF_Funding_meta_2026_lease_pct</t>
  </si>
  <si>
    <t xml:space="preserve">Funding!AD16</t>
  </si>
  <si>
    <t xml:space="preserve">WIF_Funding_meta_2026_equity_pct</t>
  </si>
  <si>
    <t xml:space="preserve">Funding!AE16</t>
  </si>
  <si>
    <t xml:space="preserve">WIF_Funding_meta_2026_debt_pct</t>
  </si>
  <si>
    <t xml:space="preserve">Funding!AF16</t>
  </si>
  <si>
    <t xml:space="preserve">WIF_Funding_meta_2026_other_pct</t>
  </si>
  <si>
    <t xml:space="preserve">Funding!AG16</t>
  </si>
  <si>
    <t xml:space="preserve">WIF_Funding_meta_2026_gross_ext</t>
  </si>
  <si>
    <t xml:space="preserve">Funding!AL16</t>
  </si>
  <si>
    <t xml:space="preserve">WIF_Funding_meta_2026_gross_ext_pct</t>
  </si>
  <si>
    <t xml:space="preserve">Funding!AM16</t>
  </si>
  <si>
    <t xml:space="preserve">WIF_Funding_meta_2026_gross_ocf_pct</t>
  </si>
  <si>
    <t xml:space="preserve">Funding!AN16</t>
  </si>
  <si>
    <t xml:space="preserve">WIF_Funding_meta_2026_gross_debt_pct</t>
  </si>
  <si>
    <t xml:space="preserve">Funding!AO16</t>
  </si>
  <si>
    <t xml:space="preserve">WIF_Funding_meta_2026_gross_equity_pct</t>
  </si>
  <si>
    <t xml:space="preserve">Funding!AP16</t>
  </si>
  <si>
    <t xml:space="preserve">WIF_Funding_meta_2026_gross_lease_jv_pct</t>
  </si>
  <si>
    <t xml:space="preserve">Funding!AQ16</t>
  </si>
  <si>
    <t xml:space="preserve">WIF_Funding_meta_2026_ocf</t>
  </si>
  <si>
    <t xml:space="preserve">Funding!E16</t>
  </si>
  <si>
    <t xml:space="preserve">WIF_Funding_meta_2026_fcf</t>
  </si>
  <si>
    <t xml:space="preserve">Funding!I16</t>
  </si>
  <si>
    <t xml:space="preserve">WIF_Funding_meta_2026_lnc</t>
  </si>
  <si>
    <t xml:space="preserve">Funding!O16</t>
  </si>
  <si>
    <t xml:space="preserve">WIF_Funding_meta_2026_debt_raised</t>
  </si>
  <si>
    <t xml:space="preserve">Funding!J16</t>
  </si>
  <si>
    <t xml:space="preserve">WIF_Funding_meta_2026_equity_raised</t>
  </si>
  <si>
    <t xml:space="preserve">Funding!R16</t>
  </si>
  <si>
    <t xml:space="preserve">WIF_Funding_orcl_2024_capex</t>
  </si>
  <si>
    <t xml:space="preserve">Funding!W17</t>
  </si>
  <si>
    <t xml:space="preserve">WIF_Funding_orcl_2024_int_pct</t>
  </si>
  <si>
    <t xml:space="preserve">Funding!AC17</t>
  </si>
  <si>
    <t xml:space="preserve">WIF_Funding_orcl_2024_lease_pct</t>
  </si>
  <si>
    <t xml:space="preserve">Funding!AD17</t>
  </si>
  <si>
    <t xml:space="preserve">WIF_Funding_orcl_2024_equity_pct</t>
  </si>
  <si>
    <t xml:space="preserve">Funding!AE17</t>
  </si>
  <si>
    <t xml:space="preserve">WIF_Funding_orcl_2024_debt_pct</t>
  </si>
  <si>
    <t xml:space="preserve">Funding!AF17</t>
  </si>
  <si>
    <t xml:space="preserve">WIF_Funding_orcl_2024_other_pct</t>
  </si>
  <si>
    <t xml:space="preserve">Funding!AG17</t>
  </si>
  <si>
    <t xml:space="preserve">WIF_Funding_orcl_2024_gross_ext</t>
  </si>
  <si>
    <t xml:space="preserve">Funding!AL17</t>
  </si>
  <si>
    <t xml:space="preserve">WIF_Funding_orcl_2024_gross_ext_pct</t>
  </si>
  <si>
    <t xml:space="preserve">Funding!AM17</t>
  </si>
  <si>
    <t xml:space="preserve">WIF_Funding_orcl_2024_gross_ocf_pct</t>
  </si>
  <si>
    <t xml:space="preserve">Funding!AN17</t>
  </si>
  <si>
    <t xml:space="preserve">WIF_Funding_orcl_2024_gross_debt_pct</t>
  </si>
  <si>
    <t xml:space="preserve">Funding!AO17</t>
  </si>
  <si>
    <t xml:space="preserve">WIF_Funding_orcl_2024_gross_equity_pct</t>
  </si>
  <si>
    <t xml:space="preserve">Funding!AP17</t>
  </si>
  <si>
    <t xml:space="preserve">WIF_Funding_orcl_2024_gross_lease_jv_pct</t>
  </si>
  <si>
    <t xml:space="preserve">Funding!AQ17</t>
  </si>
  <si>
    <t xml:space="preserve">WIF_Funding_orcl_2024_ocf</t>
  </si>
  <si>
    <t xml:space="preserve">Funding!E17</t>
  </si>
  <si>
    <t xml:space="preserve">WIF_Funding_orcl_2024_fcf</t>
  </si>
  <si>
    <t xml:space="preserve">Funding!I17</t>
  </si>
  <si>
    <t xml:space="preserve">WIF_Funding_orcl_2024_lnc</t>
  </si>
  <si>
    <t xml:space="preserve">Funding!O17</t>
  </si>
  <si>
    <t xml:space="preserve">WIF_Funding_orcl_2024_debt_raised</t>
  </si>
  <si>
    <t xml:space="preserve">Funding!J17</t>
  </si>
  <si>
    <t xml:space="preserve">WIF_Funding_orcl_2024_equity_raised</t>
  </si>
  <si>
    <t xml:space="preserve">Funding!R17</t>
  </si>
  <si>
    <t xml:space="preserve">WIF_Funding_orcl_2025_capex</t>
  </si>
  <si>
    <t xml:space="preserve">Funding!W18</t>
  </si>
  <si>
    <t xml:space="preserve">WIF_Funding_orcl_2025_int_pct</t>
  </si>
  <si>
    <t xml:space="preserve">Funding!AC18</t>
  </si>
  <si>
    <t xml:space="preserve">WIF_Funding_orcl_2025_lease_pct</t>
  </si>
  <si>
    <t xml:space="preserve">Funding!AD18</t>
  </si>
  <si>
    <t xml:space="preserve">WIF_Funding_orcl_2025_equity_pct</t>
  </si>
  <si>
    <t xml:space="preserve">Funding!AE18</t>
  </si>
  <si>
    <t xml:space="preserve">WIF_Funding_orcl_2025_debt_pct</t>
  </si>
  <si>
    <t xml:space="preserve">Funding!AF18</t>
  </si>
  <si>
    <t xml:space="preserve">WIF_Funding_orcl_2025_other_pct</t>
  </si>
  <si>
    <t xml:space="preserve">Funding!AG18</t>
  </si>
  <si>
    <t xml:space="preserve">WIF_Funding_orcl_2025_gross_ext</t>
  </si>
  <si>
    <t xml:space="preserve">Funding!AL18</t>
  </si>
  <si>
    <t xml:space="preserve">WIF_Funding_orcl_2025_gross_ext_pct</t>
  </si>
  <si>
    <t xml:space="preserve">Funding!AM18</t>
  </si>
  <si>
    <t xml:space="preserve">WIF_Funding_orcl_2025_gross_ocf_pct</t>
  </si>
  <si>
    <t xml:space="preserve">Funding!AN18</t>
  </si>
  <si>
    <t xml:space="preserve">WIF_Funding_orcl_2025_gross_debt_pct</t>
  </si>
  <si>
    <t xml:space="preserve">Funding!AO18</t>
  </si>
  <si>
    <t xml:space="preserve">WIF_Funding_orcl_2025_gross_equity_pct</t>
  </si>
  <si>
    <t xml:space="preserve">Funding!AP18</t>
  </si>
  <si>
    <t xml:space="preserve">WIF_Funding_orcl_2025_gross_lease_jv_pct</t>
  </si>
  <si>
    <t xml:space="preserve">Funding!AQ18</t>
  </si>
  <si>
    <t xml:space="preserve">WIF_Funding_orcl_2025_ocf</t>
  </si>
  <si>
    <t xml:space="preserve">Funding!E18</t>
  </si>
  <si>
    <t xml:space="preserve">WIF_Funding_orcl_2025_fcf</t>
  </si>
  <si>
    <t xml:space="preserve">Funding!I18</t>
  </si>
  <si>
    <t xml:space="preserve">WIF_Funding_orcl_2025_lnc</t>
  </si>
  <si>
    <t xml:space="preserve">Funding!O18</t>
  </si>
  <si>
    <t xml:space="preserve">WIF_Funding_orcl_2025_debt_raised</t>
  </si>
  <si>
    <t xml:space="preserve">Funding!J18</t>
  </si>
  <si>
    <t xml:space="preserve">WIF_Funding_orcl_2025_equity_raised</t>
  </si>
  <si>
    <t xml:space="preserve">Funding!R18</t>
  </si>
  <si>
    <t xml:space="preserve">WIF_Funding_orcl_2026_capex</t>
  </si>
  <si>
    <t xml:space="preserve">Funding!W19</t>
  </si>
  <si>
    <t xml:space="preserve">WIF_Funding_orcl_2026_int_pct</t>
  </si>
  <si>
    <t xml:space="preserve">Funding!AC19</t>
  </si>
  <si>
    <t xml:space="preserve">WIF_Funding_orcl_2026_lease_pct</t>
  </si>
  <si>
    <t xml:space="preserve">Funding!AD19</t>
  </si>
  <si>
    <t xml:space="preserve">WIF_Funding_orcl_2026_equity_pct</t>
  </si>
  <si>
    <t xml:space="preserve">Funding!AE19</t>
  </si>
  <si>
    <t xml:space="preserve">WIF_Funding_orcl_2026_debt_pct</t>
  </si>
  <si>
    <t xml:space="preserve">Funding!AF19</t>
  </si>
  <si>
    <t xml:space="preserve">WIF_Funding_orcl_2026_other_pct</t>
  </si>
  <si>
    <t xml:space="preserve">Funding!AG19</t>
  </si>
  <si>
    <t xml:space="preserve">WIF_Funding_orcl_2026_gross_ext</t>
  </si>
  <si>
    <t xml:space="preserve">Funding!AL19</t>
  </si>
  <si>
    <t xml:space="preserve">WIF_Funding_orcl_2026_gross_ext_pct</t>
  </si>
  <si>
    <t xml:space="preserve">Funding!AM19</t>
  </si>
  <si>
    <t xml:space="preserve">WIF_Funding_orcl_2026_gross_ocf_pct</t>
  </si>
  <si>
    <t xml:space="preserve">Funding!AN19</t>
  </si>
  <si>
    <t xml:space="preserve">WIF_Funding_orcl_2026_gross_debt_pct</t>
  </si>
  <si>
    <t xml:space="preserve">Funding!AO19</t>
  </si>
  <si>
    <t xml:space="preserve">WIF_Funding_orcl_2026_gross_equity_pct</t>
  </si>
  <si>
    <t xml:space="preserve">Funding!AP19</t>
  </si>
  <si>
    <t xml:space="preserve">WIF_Funding_orcl_2026_gross_lease_jv_pct</t>
  </si>
  <si>
    <t xml:space="preserve">Funding!AQ19</t>
  </si>
  <si>
    <t xml:space="preserve">WIF_Funding_orcl_2026_ocf</t>
  </si>
  <si>
    <t xml:space="preserve">Funding!E19</t>
  </si>
  <si>
    <t xml:space="preserve">WIF_Funding_orcl_2026_fcf</t>
  </si>
  <si>
    <t xml:space="preserve">Funding!I19</t>
  </si>
  <si>
    <t xml:space="preserve">WIF_Funding_orcl_2026_lnc</t>
  </si>
  <si>
    <t xml:space="preserve">Funding!O19</t>
  </si>
  <si>
    <t xml:space="preserve">WIF_Funding_orcl_2026_debt_raised</t>
  </si>
  <si>
    <t xml:space="preserve">Funding!J19</t>
  </si>
  <si>
    <t xml:space="preserve">WIF_Funding_orcl_2026_equity_raised</t>
  </si>
  <si>
    <t xml:space="preserve">Funding!R19</t>
  </si>
  <si>
    <t xml:space="preserve">WIF_Funding_crwv_2024_capex</t>
  </si>
  <si>
    <t xml:space="preserve">Funding!W20</t>
  </si>
  <si>
    <t xml:space="preserve">WIF_Funding_crwv_2024_int_pct</t>
  </si>
  <si>
    <t xml:space="preserve">Funding!AC20</t>
  </si>
  <si>
    <t xml:space="preserve">WIF_Funding_crwv_2024_lease_pct</t>
  </si>
  <si>
    <t xml:space="preserve">Funding!AD20</t>
  </si>
  <si>
    <t xml:space="preserve">WIF_Funding_crwv_2024_equity_pct</t>
  </si>
  <si>
    <t xml:space="preserve">Funding!AE20</t>
  </si>
  <si>
    <t xml:space="preserve">WIF_Funding_crwv_2024_debt_pct</t>
  </si>
  <si>
    <t xml:space="preserve">Funding!AF20</t>
  </si>
  <si>
    <t xml:space="preserve">WIF_Funding_crwv_2024_other_pct</t>
  </si>
  <si>
    <t xml:space="preserve">Funding!AG20</t>
  </si>
  <si>
    <t xml:space="preserve">WIF_Funding_crwv_2024_gross_ext</t>
  </si>
  <si>
    <t xml:space="preserve">Funding!AL20</t>
  </si>
  <si>
    <t xml:space="preserve">WIF_Funding_crwv_2024_gross_ext_pct</t>
  </si>
  <si>
    <t xml:space="preserve">Funding!AM20</t>
  </si>
  <si>
    <t xml:space="preserve">WIF_Funding_crwv_2024_gross_ocf_pct</t>
  </si>
  <si>
    <t xml:space="preserve">Funding!AN20</t>
  </si>
  <si>
    <t xml:space="preserve">WIF_Funding_crwv_2024_gross_debt_pct</t>
  </si>
  <si>
    <t xml:space="preserve">Funding!AO20</t>
  </si>
  <si>
    <t xml:space="preserve">WIF_Funding_crwv_2024_gross_equity_pct</t>
  </si>
  <si>
    <t xml:space="preserve">Funding!AP20</t>
  </si>
  <si>
    <t xml:space="preserve">WIF_Funding_crwv_2024_gross_lease_jv_pct</t>
  </si>
  <si>
    <t xml:space="preserve">Funding!AQ20</t>
  </si>
  <si>
    <t xml:space="preserve">WIF_Funding_crwv_2024_ocf</t>
  </si>
  <si>
    <t xml:space="preserve">Funding!E20</t>
  </si>
  <si>
    <t xml:space="preserve">WIF_Funding_crwv_2024_fcf</t>
  </si>
  <si>
    <t xml:space="preserve">Funding!I20</t>
  </si>
  <si>
    <t xml:space="preserve">WIF_Funding_crwv_2024_lnc</t>
  </si>
  <si>
    <t xml:space="preserve">Funding!O20</t>
  </si>
  <si>
    <t xml:space="preserve">WIF_Funding_crwv_2024_debt_raised</t>
  </si>
  <si>
    <t xml:space="preserve">Funding!J20</t>
  </si>
  <si>
    <t xml:space="preserve">WIF_Funding_crwv_2024_equity_raised</t>
  </si>
  <si>
    <t xml:space="preserve">Funding!R20</t>
  </si>
  <si>
    <t xml:space="preserve">WIF_Funding_crwv_2025_capex</t>
  </si>
  <si>
    <t xml:space="preserve">Funding!W21</t>
  </si>
  <si>
    <t xml:space="preserve">WIF_Funding_crwv_2025_int_pct</t>
  </si>
  <si>
    <t xml:space="preserve">Funding!AC21</t>
  </si>
  <si>
    <t xml:space="preserve">WIF_Funding_crwv_2025_lease_pct</t>
  </si>
  <si>
    <t xml:space="preserve">Funding!AD21</t>
  </si>
  <si>
    <t xml:space="preserve">WIF_Funding_crwv_2025_equity_pct</t>
  </si>
  <si>
    <t xml:space="preserve">Funding!AE21</t>
  </si>
  <si>
    <t xml:space="preserve">WIF_Funding_crwv_2025_debt_pct</t>
  </si>
  <si>
    <t xml:space="preserve">Funding!AF21</t>
  </si>
  <si>
    <t xml:space="preserve">WIF_Funding_crwv_2025_other_pct</t>
  </si>
  <si>
    <t xml:space="preserve">Funding!AG21</t>
  </si>
  <si>
    <t xml:space="preserve">WIF_Funding_crwv_2025_gross_ext</t>
  </si>
  <si>
    <t xml:space="preserve">Funding!AL21</t>
  </si>
  <si>
    <t xml:space="preserve">WIF_Funding_crwv_2025_gross_ext_pct</t>
  </si>
  <si>
    <t xml:space="preserve">Funding!AM21</t>
  </si>
  <si>
    <t xml:space="preserve">WIF_Funding_crwv_2025_gross_ocf_pct</t>
  </si>
  <si>
    <t xml:space="preserve">Funding!AN21</t>
  </si>
  <si>
    <t xml:space="preserve">WIF_Funding_crwv_2025_gross_debt_pct</t>
  </si>
  <si>
    <t xml:space="preserve">Funding!AO21</t>
  </si>
  <si>
    <t xml:space="preserve">WIF_Funding_crwv_2025_gross_equity_pct</t>
  </si>
  <si>
    <t xml:space="preserve">Funding!AP21</t>
  </si>
  <si>
    <t xml:space="preserve">WIF_Funding_crwv_2025_gross_lease_jv_pct</t>
  </si>
  <si>
    <t xml:space="preserve">Funding!AQ21</t>
  </si>
  <si>
    <t xml:space="preserve">WIF_Funding_crwv_2025_ocf</t>
  </si>
  <si>
    <t xml:space="preserve">Funding!E21</t>
  </si>
  <si>
    <t xml:space="preserve">WIF_Funding_crwv_2025_fcf</t>
  </si>
  <si>
    <t xml:space="preserve">Funding!I21</t>
  </si>
  <si>
    <t xml:space="preserve">WIF_Funding_crwv_2025_lnc</t>
  </si>
  <si>
    <t xml:space="preserve">Funding!O21</t>
  </si>
  <si>
    <t xml:space="preserve">WIF_Funding_crwv_2025_debt_raised</t>
  </si>
  <si>
    <t xml:space="preserve">Funding!J21</t>
  </si>
  <si>
    <t xml:space="preserve">WIF_Funding_crwv_2025_equity_raised</t>
  </si>
  <si>
    <t xml:space="preserve">Funding!R21</t>
  </si>
  <si>
    <t xml:space="preserve">WIF_Funding_crwv_2026_capex</t>
  </si>
  <si>
    <t xml:space="preserve">Funding!W22</t>
  </si>
  <si>
    <t xml:space="preserve">WIF_Funding_crwv_2026_int_pct</t>
  </si>
  <si>
    <t xml:space="preserve">Funding!AC22</t>
  </si>
  <si>
    <t xml:space="preserve">WIF_Funding_crwv_2026_lease_pct</t>
  </si>
  <si>
    <t xml:space="preserve">Funding!AD22</t>
  </si>
  <si>
    <t xml:space="preserve">WIF_Funding_crwv_2026_equity_pct</t>
  </si>
  <si>
    <t xml:space="preserve">Funding!AE22</t>
  </si>
  <si>
    <t xml:space="preserve">WIF_Funding_crwv_2026_debt_pct</t>
  </si>
  <si>
    <t xml:space="preserve">Funding!AF22</t>
  </si>
  <si>
    <t xml:space="preserve">WIF_Funding_crwv_2026_other_pct</t>
  </si>
  <si>
    <t xml:space="preserve">Funding!AG22</t>
  </si>
  <si>
    <t xml:space="preserve">WIF_Funding_crwv_2026_gross_ext</t>
  </si>
  <si>
    <t xml:space="preserve">Funding!AL22</t>
  </si>
  <si>
    <t xml:space="preserve">WIF_Funding_crwv_2026_gross_ext_pct</t>
  </si>
  <si>
    <t xml:space="preserve">Funding!AM22</t>
  </si>
  <si>
    <t xml:space="preserve">WIF_Funding_crwv_2026_gross_ocf_pct</t>
  </si>
  <si>
    <t xml:space="preserve">Funding!AN22</t>
  </si>
  <si>
    <t xml:space="preserve">WIF_Funding_crwv_2026_gross_debt_pct</t>
  </si>
  <si>
    <t xml:space="preserve">Funding!AO22</t>
  </si>
  <si>
    <t xml:space="preserve">WIF_Funding_crwv_2026_gross_equity_pct</t>
  </si>
  <si>
    <t xml:space="preserve">Funding!AP22</t>
  </si>
  <si>
    <t xml:space="preserve">WIF_Funding_crwv_2026_gross_lease_jv_pct</t>
  </si>
  <si>
    <t xml:space="preserve">Funding!AQ22</t>
  </si>
  <si>
    <t xml:space="preserve">WIF_Funding_crwv_2026_ocf</t>
  </si>
  <si>
    <t xml:space="preserve">Funding!E22</t>
  </si>
  <si>
    <t xml:space="preserve">WIF_Funding_crwv_2026_fcf</t>
  </si>
  <si>
    <t xml:space="preserve">Funding!I22</t>
  </si>
  <si>
    <t xml:space="preserve">WIF_Funding_crwv_2026_lnc</t>
  </si>
  <si>
    <t xml:space="preserve">Funding!O22</t>
  </si>
  <si>
    <t xml:space="preserve">WIF_Funding_crwv_2026_debt_raised</t>
  </si>
  <si>
    <t xml:space="preserve">Funding!J22</t>
  </si>
  <si>
    <t xml:space="preserve">WIF_Funding_crwv_2026_equity_raised</t>
  </si>
  <si>
    <t xml:space="preserve">Funding!R22</t>
  </si>
  <si>
    <t xml:space="preserve">WIF_Funding_nbis_2025_capex</t>
  </si>
  <si>
    <t xml:space="preserve">Funding!W23</t>
  </si>
  <si>
    <t xml:space="preserve">WIF_Funding_nbis_2025_int_pct</t>
  </si>
  <si>
    <t xml:space="preserve">Funding!AC23</t>
  </si>
  <si>
    <t xml:space="preserve">WIF_Funding_nbis_2025_lease_pct</t>
  </si>
  <si>
    <t xml:space="preserve">Funding!AD23</t>
  </si>
  <si>
    <t xml:space="preserve">WIF_Funding_nbis_2025_equity_pct</t>
  </si>
  <si>
    <t xml:space="preserve">Funding!AE23</t>
  </si>
  <si>
    <t xml:space="preserve">WIF_Funding_nbis_2025_debt_pct</t>
  </si>
  <si>
    <t xml:space="preserve">Funding!AF23</t>
  </si>
  <si>
    <t xml:space="preserve">WIF_Funding_nbis_2025_other_pct</t>
  </si>
  <si>
    <t xml:space="preserve">Funding!AG23</t>
  </si>
  <si>
    <t xml:space="preserve">WIF_Funding_nbis_2025_gross_ext</t>
  </si>
  <si>
    <t xml:space="preserve">Funding!AL23</t>
  </si>
  <si>
    <t xml:space="preserve">WIF_Funding_nbis_2025_gross_ext_pct</t>
  </si>
  <si>
    <t xml:space="preserve">Funding!AM23</t>
  </si>
  <si>
    <t xml:space="preserve">WIF_Funding_nbis_2025_gross_ocf_pct</t>
  </si>
  <si>
    <t xml:space="preserve">Funding!AN23</t>
  </si>
  <si>
    <t xml:space="preserve">WIF_Funding_nbis_2025_gross_debt_pct</t>
  </si>
  <si>
    <t xml:space="preserve">Funding!AO23</t>
  </si>
  <si>
    <t xml:space="preserve">WIF_Funding_nbis_2025_gross_equity_pct</t>
  </si>
  <si>
    <t xml:space="preserve">Funding!AP23</t>
  </si>
  <si>
    <t xml:space="preserve">WIF_Funding_nbis_2025_gross_lease_jv_pct</t>
  </si>
  <si>
    <t xml:space="preserve">Funding!AQ23</t>
  </si>
  <si>
    <t xml:space="preserve">WIF_Funding_nbis_2025_ocf</t>
  </si>
  <si>
    <t xml:space="preserve">Funding!E23</t>
  </si>
  <si>
    <t xml:space="preserve">WIF_Funding_nbis_2025_fcf</t>
  </si>
  <si>
    <t xml:space="preserve">Funding!I23</t>
  </si>
  <si>
    <t xml:space="preserve">WIF_Funding_nbis_2025_lnc</t>
  </si>
  <si>
    <t xml:space="preserve">Funding!O23</t>
  </si>
  <si>
    <t xml:space="preserve">WIF_Funding_nbis_2025_debt_raised</t>
  </si>
  <si>
    <t xml:space="preserve">Funding!J23</t>
  </si>
  <si>
    <t xml:space="preserve">WIF_Funding_nbis_2025_equity_raised</t>
  </si>
  <si>
    <t xml:space="preserve">Funding!R23</t>
  </si>
  <si>
    <t xml:space="preserve">WIF_Funding_nbis_2026_capex</t>
  </si>
  <si>
    <t xml:space="preserve">Funding!W24</t>
  </si>
  <si>
    <t xml:space="preserve">WIF_Funding_nbis_2026_int_pct</t>
  </si>
  <si>
    <t xml:space="preserve">Funding!AC24</t>
  </si>
  <si>
    <t xml:space="preserve">WIF_Funding_nbis_2026_lease_pct</t>
  </si>
  <si>
    <t xml:space="preserve">Funding!AD24</t>
  </si>
  <si>
    <t xml:space="preserve">WIF_Funding_nbis_2026_equity_pct</t>
  </si>
  <si>
    <t xml:space="preserve">Funding!AE24</t>
  </si>
  <si>
    <t xml:space="preserve">WIF_Funding_nbis_2026_debt_pct</t>
  </si>
  <si>
    <t xml:space="preserve">Funding!AF24</t>
  </si>
  <si>
    <t xml:space="preserve">WIF_Funding_nbis_2026_other_pct</t>
  </si>
  <si>
    <t xml:space="preserve">Funding!AG24</t>
  </si>
  <si>
    <t xml:space="preserve">WIF_Funding_nbis_2026_gross_ext</t>
  </si>
  <si>
    <t xml:space="preserve">Funding!AL24</t>
  </si>
  <si>
    <t xml:space="preserve">WIF_Funding_nbis_2026_gross_ext_pct</t>
  </si>
  <si>
    <t xml:space="preserve">Funding!AM24</t>
  </si>
  <si>
    <t xml:space="preserve">WIF_Funding_nbis_2026_gross_ocf_pct</t>
  </si>
  <si>
    <t xml:space="preserve">Funding!AN24</t>
  </si>
  <si>
    <t xml:space="preserve">WIF_Funding_nbis_2026_gross_debt_pct</t>
  </si>
  <si>
    <t xml:space="preserve">Funding!AO24</t>
  </si>
  <si>
    <t xml:space="preserve">WIF_Funding_nbis_2026_gross_equity_pct</t>
  </si>
  <si>
    <t xml:space="preserve">Funding!AP24</t>
  </si>
  <si>
    <t xml:space="preserve">WIF_Funding_nbis_2026_gross_lease_jv_pct</t>
  </si>
  <si>
    <t xml:space="preserve">Funding!AQ24</t>
  </si>
  <si>
    <t xml:space="preserve">WIF_Funding_nbis_2026_ocf</t>
  </si>
  <si>
    <t xml:space="preserve">Funding!E24</t>
  </si>
  <si>
    <t xml:space="preserve">WIF_Funding_nbis_2026_fcf</t>
  </si>
  <si>
    <t xml:space="preserve">Funding!I24</t>
  </si>
  <si>
    <t xml:space="preserve">WIF_Funding_nbis_2026_lnc</t>
  </si>
  <si>
    <t xml:space="preserve">Funding!O24</t>
  </si>
  <si>
    <t xml:space="preserve">WIF_Funding_nbis_2026_debt_raised</t>
  </si>
  <si>
    <t xml:space="preserve">Funding!J24</t>
  </si>
  <si>
    <t xml:space="preserve">WIF_Funding_nbis_2026_equity_raised</t>
  </si>
  <si>
    <t xml:space="preserve">Funding!R24</t>
  </si>
  <si>
    <t xml:space="preserve">WIF_Funding_xai_2025_capex</t>
  </si>
  <si>
    <t xml:space="preserve">Funding!W25</t>
  </si>
  <si>
    <t xml:space="preserve">WIF_Funding_xai_2025_int_pct</t>
  </si>
  <si>
    <t xml:space="preserve">Funding!AC25</t>
  </si>
  <si>
    <t xml:space="preserve">WIF_Funding_xai_2025_lease_pct</t>
  </si>
  <si>
    <t xml:space="preserve">Funding!AD25</t>
  </si>
  <si>
    <t xml:space="preserve">WIF_Funding_xai_2025_equity_pct</t>
  </si>
  <si>
    <t xml:space="preserve">Funding!AE25</t>
  </si>
  <si>
    <t xml:space="preserve">WIF_Funding_xai_2025_debt_pct</t>
  </si>
  <si>
    <t xml:space="preserve">Funding!AF25</t>
  </si>
  <si>
    <t xml:space="preserve">WIF_Funding_xai_2025_other_pct</t>
  </si>
  <si>
    <t xml:space="preserve">Funding!AG25</t>
  </si>
  <si>
    <t xml:space="preserve">WIF_Funding_xai_2025_gross_ext</t>
  </si>
  <si>
    <t xml:space="preserve">Funding!AL25</t>
  </si>
  <si>
    <t xml:space="preserve">WIF_Funding_xai_2025_gross_ext_pct</t>
  </si>
  <si>
    <t xml:space="preserve">Funding!AM25</t>
  </si>
  <si>
    <t xml:space="preserve">WIF_Funding_xai_2025_gross_ocf_pct</t>
  </si>
  <si>
    <t xml:space="preserve">Funding!AN25</t>
  </si>
  <si>
    <t xml:space="preserve">WIF_Funding_xai_2025_gross_debt_pct</t>
  </si>
  <si>
    <t xml:space="preserve">Funding!AO25</t>
  </si>
  <si>
    <t xml:space="preserve">WIF_Funding_xai_2025_gross_equity_pct</t>
  </si>
  <si>
    <t xml:space="preserve">Funding!AP25</t>
  </si>
  <si>
    <t xml:space="preserve">WIF_Funding_xai_2025_gross_lease_jv_pct</t>
  </si>
  <si>
    <t xml:space="preserve">Funding!AQ25</t>
  </si>
  <si>
    <t xml:space="preserve">WIF_Funding_xai_2025_ocf</t>
  </si>
  <si>
    <t xml:space="preserve">Funding!E25</t>
  </si>
  <si>
    <t xml:space="preserve">WIF_Funding_xai_2025_fcf</t>
  </si>
  <si>
    <t xml:space="preserve">Funding!I25</t>
  </si>
  <si>
    <t xml:space="preserve">WIF_Funding_xai_2025_lnc</t>
  </si>
  <si>
    <t xml:space="preserve">Funding!O25</t>
  </si>
  <si>
    <t xml:space="preserve">WIF_Funding_xai_2025_debt_raised</t>
  </si>
  <si>
    <t xml:space="preserve">Funding!J25</t>
  </si>
  <si>
    <t xml:space="preserve">WIF_Funding_xai_2025_equity_raised</t>
  </si>
  <si>
    <t xml:space="preserve">Funding!R25</t>
  </si>
  <si>
    <t xml:space="preserve">WIF_Funding_xai_2026_capex</t>
  </si>
  <si>
    <t xml:space="preserve">Funding!W26</t>
  </si>
  <si>
    <t xml:space="preserve">WIF_Funding_xai_2026_int_pct</t>
  </si>
  <si>
    <t xml:space="preserve">Funding!AC26</t>
  </si>
  <si>
    <t xml:space="preserve">WIF_Funding_xai_2026_lease_pct</t>
  </si>
  <si>
    <t xml:space="preserve">Funding!AD26</t>
  </si>
  <si>
    <t xml:space="preserve">WIF_Funding_xai_2026_equity_pct</t>
  </si>
  <si>
    <t xml:space="preserve">Funding!AE26</t>
  </si>
  <si>
    <t xml:space="preserve">WIF_Funding_xai_2026_debt_pct</t>
  </si>
  <si>
    <t xml:space="preserve">Funding!AF26</t>
  </si>
  <si>
    <t xml:space="preserve">WIF_Funding_xai_2026_other_pct</t>
  </si>
  <si>
    <t xml:space="preserve">Funding!AG26</t>
  </si>
  <si>
    <t xml:space="preserve">WIF_Funding_xai_2026_gross_ext</t>
  </si>
  <si>
    <t xml:space="preserve">Funding!AL26</t>
  </si>
  <si>
    <t xml:space="preserve">WIF_Funding_xai_2026_gross_ext_pct</t>
  </si>
  <si>
    <t xml:space="preserve">Funding!AM26</t>
  </si>
  <si>
    <t xml:space="preserve">WIF_Funding_xai_2026_gross_ocf_pct</t>
  </si>
  <si>
    <t xml:space="preserve">Funding!AN26</t>
  </si>
  <si>
    <t xml:space="preserve">WIF_Funding_xai_2026_gross_debt_pct</t>
  </si>
  <si>
    <t xml:space="preserve">Funding!AO26</t>
  </si>
  <si>
    <t xml:space="preserve">WIF_Funding_xai_2026_gross_equity_pct</t>
  </si>
  <si>
    <t xml:space="preserve">Funding!AP26</t>
  </si>
  <si>
    <t xml:space="preserve">WIF_Funding_xai_2026_gross_lease_jv_pct</t>
  </si>
  <si>
    <t xml:space="preserve">Funding!AQ26</t>
  </si>
  <si>
    <t xml:space="preserve">WIF_Funding_xai_2026_ocf</t>
  </si>
  <si>
    <t xml:space="preserve">Funding!E26</t>
  </si>
  <si>
    <t xml:space="preserve">WIF_Funding_xai_2026_fcf</t>
  </si>
  <si>
    <t xml:space="preserve">Funding!I26</t>
  </si>
  <si>
    <t xml:space="preserve">WIF_Funding_xai_2026_lnc</t>
  </si>
  <si>
    <t xml:space="preserve">Funding!O26</t>
  </si>
  <si>
    <t xml:space="preserve">WIF_Funding_xai_2026_debt_raised</t>
  </si>
  <si>
    <t xml:space="preserve">Funding!J26</t>
  </si>
  <si>
    <t xml:space="preserve">WIF_Funding_xai_2026_equity_raised</t>
  </si>
  <si>
    <t xml:space="preserve">Funding!R26</t>
  </si>
  <si>
    <t xml:space="preserve">WIF_Funding_oai_2025_capex</t>
  </si>
  <si>
    <t xml:space="preserve">Funding!W27</t>
  </si>
  <si>
    <t xml:space="preserve">WIF_Funding_oai_2025_int_pct</t>
  </si>
  <si>
    <t xml:space="preserve">Funding!AC27</t>
  </si>
  <si>
    <t xml:space="preserve">WIF_Funding_oai_2025_lease_pct</t>
  </si>
  <si>
    <t xml:space="preserve">Funding!AD27</t>
  </si>
  <si>
    <t xml:space="preserve">WIF_Funding_oai_2025_equity_pct</t>
  </si>
  <si>
    <t xml:space="preserve">Funding!AE27</t>
  </si>
  <si>
    <t xml:space="preserve">WIF_Funding_oai_2025_debt_pct</t>
  </si>
  <si>
    <t xml:space="preserve">Funding!AF27</t>
  </si>
  <si>
    <t xml:space="preserve">WIF_Funding_oai_2025_other_pct</t>
  </si>
  <si>
    <t xml:space="preserve">Funding!AG27</t>
  </si>
  <si>
    <t xml:space="preserve">WIF_Funding_oai_2025_gross_ext</t>
  </si>
  <si>
    <t xml:space="preserve">Funding!AL27</t>
  </si>
  <si>
    <t xml:space="preserve">WIF_Funding_oai_2025_gross_ext_pct</t>
  </si>
  <si>
    <t xml:space="preserve">Funding!AM27</t>
  </si>
  <si>
    <t xml:space="preserve">WIF_Funding_oai_2025_gross_ocf_pct</t>
  </si>
  <si>
    <t xml:space="preserve">Funding!AN27</t>
  </si>
  <si>
    <t xml:space="preserve">WIF_Funding_oai_2025_gross_debt_pct</t>
  </si>
  <si>
    <t xml:space="preserve">Funding!AO27</t>
  </si>
  <si>
    <t xml:space="preserve">WIF_Funding_oai_2025_gross_equity_pct</t>
  </si>
  <si>
    <t xml:space="preserve">Funding!AP27</t>
  </si>
  <si>
    <t xml:space="preserve">WIF_Funding_oai_2025_gross_lease_jv_pct</t>
  </si>
  <si>
    <t xml:space="preserve">Funding!AQ27</t>
  </si>
  <si>
    <t xml:space="preserve">WIF_Funding_oai_2025_ocf</t>
  </si>
  <si>
    <t xml:space="preserve">Funding!E27</t>
  </si>
  <si>
    <t xml:space="preserve">WIF_Funding_oai_2025_fcf</t>
  </si>
  <si>
    <t xml:space="preserve">Funding!I27</t>
  </si>
  <si>
    <t xml:space="preserve">WIF_Funding_oai_2025_lnc</t>
  </si>
  <si>
    <t xml:space="preserve">Funding!O27</t>
  </si>
  <si>
    <t xml:space="preserve">WIF_Funding_oai_2025_debt_raised</t>
  </si>
  <si>
    <t xml:space="preserve">Funding!J27</t>
  </si>
  <si>
    <t xml:space="preserve">WIF_Funding_oai_2025_equity_raised</t>
  </si>
  <si>
    <t xml:space="preserve">Funding!R27</t>
  </si>
  <si>
    <t xml:space="preserve">WIF_Funding_oai_2026_capex</t>
  </si>
  <si>
    <t xml:space="preserve">Funding!W28</t>
  </si>
  <si>
    <t xml:space="preserve">WIF_Funding_oai_2026_int_pct</t>
  </si>
  <si>
    <t xml:space="preserve">Funding!AC28</t>
  </si>
  <si>
    <t xml:space="preserve">WIF_Funding_oai_2026_lease_pct</t>
  </si>
  <si>
    <t xml:space="preserve">Funding!AD28</t>
  </si>
  <si>
    <t xml:space="preserve">WIF_Funding_oai_2026_equity_pct</t>
  </si>
  <si>
    <t xml:space="preserve">Funding!AE28</t>
  </si>
  <si>
    <t xml:space="preserve">WIF_Funding_oai_2026_debt_pct</t>
  </si>
  <si>
    <t xml:space="preserve">Funding!AF28</t>
  </si>
  <si>
    <t xml:space="preserve">WIF_Funding_oai_2026_other_pct</t>
  </si>
  <si>
    <t xml:space="preserve">Funding!AG28</t>
  </si>
  <si>
    <t xml:space="preserve">WIF_Funding_oai_2026_gross_ext</t>
  </si>
  <si>
    <t xml:space="preserve">Funding!AL28</t>
  </si>
  <si>
    <t xml:space="preserve">WIF_Funding_oai_2026_gross_ext_pct</t>
  </si>
  <si>
    <t xml:space="preserve">Funding!AM28</t>
  </si>
  <si>
    <t xml:space="preserve">WIF_Funding_oai_2026_gross_ocf_pct</t>
  </si>
  <si>
    <t xml:space="preserve">Funding!AN28</t>
  </si>
  <si>
    <t xml:space="preserve">WIF_Funding_oai_2026_gross_debt_pct</t>
  </si>
  <si>
    <t xml:space="preserve">Funding!AO28</t>
  </si>
  <si>
    <t xml:space="preserve">WIF_Funding_oai_2026_gross_equity_pct</t>
  </si>
  <si>
    <t xml:space="preserve">Funding!AP28</t>
  </si>
  <si>
    <t xml:space="preserve">WIF_Funding_oai_2026_gross_lease_jv_pct</t>
  </si>
  <si>
    <t xml:space="preserve">Funding!AQ28</t>
  </si>
  <si>
    <t xml:space="preserve">WIF_Funding_oai_2026_ocf</t>
  </si>
  <si>
    <t xml:space="preserve">Funding!E28</t>
  </si>
  <si>
    <t xml:space="preserve">WIF_Funding_oai_2026_fcf</t>
  </si>
  <si>
    <t xml:space="preserve">Funding!I28</t>
  </si>
  <si>
    <t xml:space="preserve">WIF_Funding_oai_2026_lnc</t>
  </si>
  <si>
    <t xml:space="preserve">Funding!O28</t>
  </si>
  <si>
    <t xml:space="preserve">WIF_Funding_oai_2026_debt_raised</t>
  </si>
  <si>
    <t xml:space="preserve">Funding!J28</t>
  </si>
  <si>
    <t xml:space="preserve">WIF_Funding_oai_2026_equity_raised</t>
  </si>
  <si>
    <t xml:space="preserve">Funding!R28</t>
  </si>
  <si>
    <t xml:space="preserve">WIF_Funding_ant_2025_capex</t>
  </si>
  <si>
    <t xml:space="preserve">Funding!W29</t>
  </si>
  <si>
    <t xml:space="preserve">WIF_Funding_ant_2025_int_pct</t>
  </si>
  <si>
    <t xml:space="preserve">Funding!AC29</t>
  </si>
  <si>
    <t xml:space="preserve">WIF_Funding_ant_2025_lease_pct</t>
  </si>
  <si>
    <t xml:space="preserve">Funding!AD29</t>
  </si>
  <si>
    <t xml:space="preserve">WIF_Funding_ant_2025_equity_pct</t>
  </si>
  <si>
    <t xml:space="preserve">Funding!AE29</t>
  </si>
  <si>
    <t xml:space="preserve">WIF_Funding_ant_2025_debt_pct</t>
  </si>
  <si>
    <t xml:space="preserve">Funding!AF29</t>
  </si>
  <si>
    <t xml:space="preserve">WIF_Funding_ant_2025_other_pct</t>
  </si>
  <si>
    <t xml:space="preserve">Funding!AG29</t>
  </si>
  <si>
    <t xml:space="preserve">WIF_Funding_ant_2025_gross_ext</t>
  </si>
  <si>
    <t xml:space="preserve">Funding!AL29</t>
  </si>
  <si>
    <t xml:space="preserve">WIF_Funding_ant_2025_gross_ext_pct</t>
  </si>
  <si>
    <t xml:space="preserve">Funding!AM29</t>
  </si>
  <si>
    <t xml:space="preserve">WIF_Funding_ant_2025_gross_ocf_pct</t>
  </si>
  <si>
    <t xml:space="preserve">Funding!AN29</t>
  </si>
  <si>
    <t xml:space="preserve">WIF_Funding_ant_2025_gross_debt_pct</t>
  </si>
  <si>
    <t xml:space="preserve">Funding!AO29</t>
  </si>
  <si>
    <t xml:space="preserve">WIF_Funding_ant_2025_gross_equity_pct</t>
  </si>
  <si>
    <t xml:space="preserve">Funding!AP29</t>
  </si>
  <si>
    <t xml:space="preserve">WIF_Funding_ant_2025_gross_lease_jv_pct</t>
  </si>
  <si>
    <t xml:space="preserve">Funding!AQ29</t>
  </si>
  <si>
    <t xml:space="preserve">WIF_Funding_ant_2025_ocf</t>
  </si>
  <si>
    <t xml:space="preserve">Funding!E29</t>
  </si>
  <si>
    <t xml:space="preserve">WIF_Funding_ant_2025_fcf</t>
  </si>
  <si>
    <t xml:space="preserve">Funding!I29</t>
  </si>
  <si>
    <t xml:space="preserve">WIF_Funding_ant_2025_lnc</t>
  </si>
  <si>
    <t xml:space="preserve">Funding!O29</t>
  </si>
  <si>
    <t xml:space="preserve">WIF_Funding_ant_2025_debt_raised</t>
  </si>
  <si>
    <t xml:space="preserve">Funding!J29</t>
  </si>
  <si>
    <t xml:space="preserve">WIF_Funding_ant_2025_equity_raised</t>
  </si>
  <si>
    <t xml:space="preserve">Funding!R29</t>
  </si>
  <si>
    <t xml:space="preserve">WIF_Funding_ant_2026_capex</t>
  </si>
  <si>
    <t xml:space="preserve">Funding!W30</t>
  </si>
  <si>
    <t xml:space="preserve">WIF_Funding_ant_2026_int_pct</t>
  </si>
  <si>
    <t xml:space="preserve">Funding!AC30</t>
  </si>
  <si>
    <t xml:space="preserve">WIF_Funding_ant_2026_lease_pct</t>
  </si>
  <si>
    <t xml:space="preserve">Funding!AD30</t>
  </si>
  <si>
    <t xml:space="preserve">WIF_Funding_ant_2026_equity_pct</t>
  </si>
  <si>
    <t xml:space="preserve">Funding!AE30</t>
  </si>
  <si>
    <t xml:space="preserve">WIF_Funding_ant_2026_debt_pct</t>
  </si>
  <si>
    <t xml:space="preserve">Funding!AF30</t>
  </si>
  <si>
    <t xml:space="preserve">WIF_Funding_ant_2026_other_pct</t>
  </si>
  <si>
    <t xml:space="preserve">Funding!AG30</t>
  </si>
  <si>
    <t xml:space="preserve">WIF_Funding_ant_2026_gross_ext</t>
  </si>
  <si>
    <t xml:space="preserve">Funding!AL30</t>
  </si>
  <si>
    <t xml:space="preserve">WIF_Funding_ant_2026_gross_ext_pct</t>
  </si>
  <si>
    <t xml:space="preserve">Funding!AM30</t>
  </si>
  <si>
    <t xml:space="preserve">WIF_Funding_ant_2026_gross_ocf_pct</t>
  </si>
  <si>
    <t xml:space="preserve">Funding!AN30</t>
  </si>
  <si>
    <t xml:space="preserve">WIF_Funding_ant_2026_gross_debt_pct</t>
  </si>
  <si>
    <t xml:space="preserve">Funding!AO30</t>
  </si>
  <si>
    <t xml:space="preserve">WIF_Funding_ant_2026_gross_equity_pct</t>
  </si>
  <si>
    <t xml:space="preserve">Funding!AP30</t>
  </si>
  <si>
    <t xml:space="preserve">WIF_Funding_ant_2026_gross_lease_jv_pct</t>
  </si>
  <si>
    <t xml:space="preserve">Funding!AQ30</t>
  </si>
  <si>
    <t xml:space="preserve">WIF_Funding_ant_2026_ocf</t>
  </si>
  <si>
    <t xml:space="preserve">Funding!E30</t>
  </si>
  <si>
    <t xml:space="preserve">WIF_Funding_ant_2026_fcf</t>
  </si>
  <si>
    <t xml:space="preserve">Funding!I30</t>
  </si>
  <si>
    <t xml:space="preserve">WIF_Funding_ant_2026_lnc</t>
  </si>
  <si>
    <t xml:space="preserve">Funding!O30</t>
  </si>
  <si>
    <t xml:space="preserve">WIF_Funding_ant_2026_debt_raised</t>
  </si>
  <si>
    <t xml:space="preserve">Funding!J30</t>
  </si>
  <si>
    <t xml:space="preserve">WIF_Funding_ant_2026_equity_raised</t>
  </si>
  <si>
    <t xml:space="preserve">Funding!R30</t>
  </si>
  <si>
    <r>
      <rPr>
        <sz val="11"/>
        <color theme="1"/>
        <rFont val="Calibri"/>
        <family val="2"/>
        <charset val="1"/>
      </rPr>
      <t xml:space="preserve">Checks — </t>
    </r>
    <r>
      <rPr>
        <sz val="11"/>
        <color theme="1"/>
        <rFont val="Noto Sans CJK SC"/>
        <family val="2"/>
      </rPr>
      <t xml:space="preserve">恆等式與治理（</t>
    </r>
    <r>
      <rPr>
        <sz val="11"/>
        <color theme="1"/>
        <rFont val="Calibri"/>
        <family val="2"/>
        <charset val="1"/>
      </rPr>
      <t xml:space="preserve">ERROR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WGOV_Errors</t>
    </r>
    <r>
      <rPr>
        <sz val="11"/>
        <color theme="1"/>
        <rFont val="Noto Sans CJK SC"/>
        <family val="2"/>
      </rPr>
      <t xml:space="preserve">，須為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WARN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WGOV_Warn</t>
    </r>
    <r>
      <rPr>
        <sz val="11"/>
        <color theme="1"/>
        <rFont val="Noto Sans CJK SC"/>
        <family val="2"/>
      </rPr>
      <t xml:space="preserve">，列為待補）</t>
    </r>
  </si>
  <si>
    <t xml:space="preserve">本庫值</t>
  </si>
  <si>
    <t xml:space="preserve">參照值</t>
  </si>
  <si>
    <t xml:space="preserve">判讀</t>
  </si>
  <si>
    <t xml:space="preserve">性質</t>
  </si>
  <si>
    <t xml:space="preserve">E-In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</si>
  <si>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頁錯誤格數</t>
    </r>
  </si>
  <si>
    <t xml:space="preserve">結構</t>
  </si>
  <si>
    <t xml:space="preserve">E-TK_In</t>
  </si>
  <si>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頁錯誤格數</t>
    </r>
  </si>
  <si>
    <t xml:space="preserve">E-SIL_In</t>
  </si>
  <si>
    <r>
      <rPr>
        <sz val="11"/>
        <color theme="1"/>
        <rFont val="Calibri"/>
        <family val="2"/>
        <charset val="1"/>
      </rPr>
      <t xml:space="preserve">SIL_In </t>
    </r>
    <r>
      <rPr>
        <sz val="11"/>
        <color theme="1"/>
        <rFont val="Noto Sans CJK SC"/>
        <family val="2"/>
      </rPr>
      <t xml:space="preserve">頁錯誤格數</t>
    </r>
  </si>
  <si>
    <t xml:space="preserve">E-Players</t>
  </si>
  <si>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頁錯誤格數</t>
    </r>
  </si>
  <si>
    <t xml:space="preserve">E-Matrix</t>
  </si>
  <si>
    <r>
      <rPr>
        <sz val="11"/>
        <color theme="1"/>
        <rFont val="Calibri"/>
        <family val="2"/>
        <charset val="1"/>
      </rPr>
      <t xml:space="preserve">Matrix </t>
    </r>
    <r>
      <rPr>
        <sz val="11"/>
        <color theme="1"/>
        <rFont val="Noto Sans CJK SC"/>
        <family val="2"/>
      </rPr>
      <t xml:space="preserve">頁錯誤格數</t>
    </r>
  </si>
  <si>
    <t xml:space="preserve">E-Pipeline</t>
  </si>
  <si>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頁錯誤格數</t>
    </r>
  </si>
  <si>
    <t xml:space="preserve">E-Deploy</t>
  </si>
  <si>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頁錯誤格數</t>
    </r>
  </si>
  <si>
    <t xml:space="preserve">E-C0</t>
  </si>
  <si>
    <r>
      <rPr>
        <sz val="11"/>
        <color theme="1"/>
        <rFont val="Calibri"/>
        <family val="2"/>
        <charset val="1"/>
      </rPr>
      <t xml:space="preserve">C0 </t>
    </r>
    <r>
      <rPr>
        <sz val="11"/>
        <color theme="1"/>
        <rFont val="Noto Sans CJK SC"/>
        <family val="2"/>
      </rPr>
      <t xml:space="preserve">頁錯誤格數</t>
    </r>
  </si>
  <si>
    <t xml:space="preserve">E-C1</t>
  </si>
  <si>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頁錯誤格數</t>
    </r>
  </si>
  <si>
    <t xml:space="preserve">E-Compare</t>
  </si>
  <si>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頁錯誤格數</t>
    </r>
  </si>
  <si>
    <t xml:space="preserve">E-Interface</t>
  </si>
  <si>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頁錯誤格數</t>
    </r>
  </si>
  <si>
    <t xml:space="preserve">E-CapexGW</t>
  </si>
  <si>
    <r>
      <rPr>
        <sz val="11"/>
        <color theme="1"/>
        <rFont val="Calibri"/>
        <family val="2"/>
        <charset val="1"/>
      </rPr>
      <t xml:space="preserve">CapexGW </t>
    </r>
    <r>
      <rPr>
        <sz val="11"/>
        <color theme="1"/>
        <rFont val="Noto Sans CJK SC"/>
        <family val="2"/>
      </rPr>
      <t xml:space="preserve">頁錯誤格數</t>
    </r>
  </si>
  <si>
    <t xml:space="preserve">E-Funding</t>
  </si>
  <si>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頁錯誤格數</t>
    </r>
  </si>
  <si>
    <t xml:space="preserve">E-FundRaw</t>
  </si>
  <si>
    <r>
      <rPr>
        <sz val="11"/>
        <color theme="1"/>
        <rFont val="Calibri"/>
        <family val="2"/>
        <charset val="1"/>
      </rPr>
      <t xml:space="preserve">FundRaw </t>
    </r>
    <r>
      <rPr>
        <sz val="11"/>
        <color theme="1"/>
        <rFont val="Noto Sans CJK SC"/>
        <family val="2"/>
      </rPr>
      <t xml:space="preserve">頁錯誤格數</t>
    </r>
  </si>
  <si>
    <t xml:space="preserve">E-Facility</t>
  </si>
  <si>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頁錯誤格數</t>
    </r>
  </si>
  <si>
    <t xml:space="preserve">E-SegIn</t>
  </si>
  <si>
    <r>
      <rPr>
        <sz val="11"/>
        <color theme="1"/>
        <rFont val="Calibri"/>
        <family val="2"/>
        <charset val="1"/>
      </rPr>
      <t xml:space="preserve">SegIn </t>
    </r>
    <r>
      <rPr>
        <sz val="11"/>
        <color theme="1"/>
        <rFont val="Noto Sans CJK SC"/>
        <family val="2"/>
      </rPr>
      <t xml:space="preserve">頁錯誤格數</t>
    </r>
  </si>
  <si>
    <t xml:space="preserve">E-Spend</t>
  </si>
  <si>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頁錯誤格數</t>
    </r>
  </si>
  <si>
    <t xml:space="preserve">K1-2025a</t>
  </si>
  <si>
    <r>
      <rPr>
        <sz val="11"/>
        <color theme="1"/>
        <rFont val="Calibri"/>
        <family val="2"/>
        <charset val="1"/>
      </rPr>
      <t xml:space="preserve">Matrix 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Σ|</t>
    </r>
    <r>
      <rPr>
        <sz val="11"/>
        <color theme="1"/>
        <rFont val="Noto Sans CJK SC"/>
        <family val="2"/>
      </rPr>
      <t xml:space="preserve">列和 − </t>
    </r>
    <r>
      <rPr>
        <sz val="11"/>
        <color theme="1"/>
        <rFont val="Calibri"/>
        <family val="2"/>
        <charset val="1"/>
      </rPr>
      <t xml:space="preserve">Players|</t>
    </r>
  </si>
  <si>
    <t xml:space="preserve">恆等式</t>
  </si>
  <si>
    <t xml:space="preserve">K1-2025b</t>
  </si>
  <si>
    <r>
      <rPr>
        <sz val="11"/>
        <color theme="1"/>
        <rFont val="Calibri"/>
        <family val="2"/>
        <charset val="1"/>
      </rPr>
      <t xml:space="preserve">Matrix 2025</t>
    </r>
    <r>
      <rPr>
        <sz val="11"/>
        <color theme="1"/>
        <rFont val="Noto Sans CJK SC"/>
        <family val="2"/>
      </rPr>
      <t xml:space="preserve">：欄和合計（含未分配）＝總量＝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</t>
    </r>
  </si>
  <si>
    <t xml:space="preserve">K1-2026a</t>
  </si>
  <si>
    <r>
      <rPr>
        <sz val="11"/>
        <color theme="1"/>
        <rFont val="Calibri"/>
        <family val="2"/>
        <charset val="1"/>
      </rPr>
      <t xml:space="preserve">Matrix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Σ|</t>
    </r>
    <r>
      <rPr>
        <sz val="11"/>
        <color theme="1"/>
        <rFont val="Noto Sans CJK SC"/>
        <family val="2"/>
      </rPr>
      <t xml:space="preserve">列和 − </t>
    </r>
    <r>
      <rPr>
        <sz val="11"/>
        <color theme="1"/>
        <rFont val="Calibri"/>
        <family val="2"/>
        <charset val="1"/>
      </rPr>
      <t xml:space="preserve">Players|</t>
    </r>
  </si>
  <si>
    <t xml:space="preserve">K1-2026b</t>
  </si>
  <si>
    <r>
      <rPr>
        <sz val="11"/>
        <color theme="1"/>
        <rFont val="Calibri"/>
        <family val="2"/>
        <charset val="1"/>
      </rPr>
      <t xml:space="preserve">Matrix 2026</t>
    </r>
    <r>
      <rPr>
        <sz val="11"/>
        <color theme="1"/>
        <rFont val="Noto Sans CJK SC"/>
        <family val="2"/>
      </rPr>
      <t xml:space="preserve">：欄和合計（含未分配）＝總量＝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</t>
    </r>
  </si>
  <si>
    <t xml:space="preserve">K1-2027a</t>
  </si>
  <si>
    <r>
      <rPr>
        <sz val="11"/>
        <color theme="1"/>
        <rFont val="Calibri"/>
        <family val="2"/>
        <charset val="1"/>
      </rPr>
      <t xml:space="preserve">Matrix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Σ|</t>
    </r>
    <r>
      <rPr>
        <sz val="11"/>
        <color theme="1"/>
        <rFont val="Noto Sans CJK SC"/>
        <family val="2"/>
      </rPr>
      <t xml:space="preserve">列和 − </t>
    </r>
    <r>
      <rPr>
        <sz val="11"/>
        <color theme="1"/>
        <rFont val="Calibri"/>
        <family val="2"/>
        <charset val="1"/>
      </rPr>
      <t xml:space="preserve">Players|</t>
    </r>
  </si>
  <si>
    <t xml:space="preserve">K1-2027b</t>
  </si>
  <si>
    <r>
      <rPr>
        <sz val="11"/>
        <color theme="1"/>
        <rFont val="Calibri"/>
        <family val="2"/>
        <charset val="1"/>
      </rPr>
      <t xml:space="preserve">Matrix 2027</t>
    </r>
    <r>
      <rPr>
        <sz val="11"/>
        <color theme="1"/>
        <rFont val="Noto Sans CJK SC"/>
        <family val="2"/>
      </rPr>
      <t xml:space="preserve">：欄和合計（含未分配）＝總量＝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</t>
    </r>
  </si>
  <si>
    <t xml:space="preserve">K2-2023</t>
  </si>
  <si>
    <r>
      <rPr>
        <sz val="11"/>
        <color theme="1"/>
        <rFont val="Calibri"/>
        <family val="2"/>
        <charset val="1"/>
      </rPr>
      <t xml:space="preserve">Pipeline D0 2023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</si>
  <si>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K2-2024</t>
  </si>
  <si>
    <r>
      <rPr>
        <sz val="11"/>
        <color theme="1"/>
        <rFont val="Calibri"/>
        <family val="2"/>
        <charset val="1"/>
      </rPr>
      <t xml:space="preserve">Pipeline D0 2024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</si>
  <si>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K2-2025</t>
  </si>
  <si>
    <r>
      <rPr>
        <sz val="11"/>
        <color theme="1"/>
        <rFont val="Calibri"/>
        <family val="2"/>
        <charset val="1"/>
      </rPr>
      <t xml:space="preserve">Pipeline D0 2025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</si>
  <si>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K2-2026</t>
  </si>
  <si>
    <r>
      <rPr>
        <sz val="11"/>
        <color theme="1"/>
        <rFont val="Calibri"/>
        <family val="2"/>
        <charset val="1"/>
      </rPr>
      <t xml:space="preserve">Pipeline D0 2026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</si>
  <si>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K2-2027</t>
  </si>
  <si>
    <r>
      <rPr>
        <sz val="11"/>
        <color theme="1"/>
        <rFont val="Calibri"/>
        <family val="2"/>
        <charset val="1"/>
      </rPr>
      <t xml:space="preserve">Pipeline D0 2027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</si>
  <si>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K2-2028</t>
  </si>
  <si>
    <r>
      <rPr>
        <sz val="11"/>
        <color theme="1"/>
        <rFont val="Calibri"/>
        <family val="2"/>
        <charset val="1"/>
      </rPr>
      <t xml:space="preserve">Pipeline D0 2028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</si>
  <si>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K2-2029</t>
  </si>
  <si>
    <r>
      <rPr>
        <sz val="11"/>
        <color theme="1"/>
        <rFont val="Calibri"/>
        <family val="2"/>
        <charset val="1"/>
      </rPr>
      <t xml:space="preserve">Pipeline D0 2029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</si>
  <si>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K2-2030</t>
  </si>
  <si>
    <r>
      <rPr>
        <sz val="11"/>
        <color theme="1"/>
        <rFont val="Calibri"/>
        <family val="2"/>
        <charset val="1"/>
      </rPr>
      <t xml:space="preserve">Pipeline D0 2030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</si>
  <si>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K2-2031</t>
  </si>
  <si>
    <r>
      <rPr>
        <sz val="11"/>
        <color theme="1"/>
        <rFont val="Calibri"/>
        <family val="2"/>
        <charset val="1"/>
      </rPr>
      <t xml:space="preserve">Pipeline D0 2031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</si>
  <si>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K2-2032</t>
  </si>
  <si>
    <r>
      <rPr>
        <sz val="11"/>
        <color theme="1"/>
        <rFont val="Calibri"/>
        <family val="2"/>
        <charset val="1"/>
      </rPr>
      <t xml:space="preserve">Pipeline D0 2032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</si>
  <si>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K3-2024</t>
  </si>
  <si>
    <r>
      <rPr>
        <sz val="11"/>
        <color theme="1"/>
        <rFont val="Calibri"/>
        <family val="2"/>
        <charset val="1"/>
      </rPr>
      <t xml:space="preserve">Pipeline 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</si>
  <si>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驗證</t>
  </si>
  <si>
    <t xml:space="preserve">K3-2025</t>
  </si>
  <si>
    <r>
      <rPr>
        <sz val="11"/>
        <color theme="1"/>
        <rFont val="Calibri"/>
        <family val="2"/>
        <charset val="1"/>
      </rPr>
      <t xml:space="preserve">Pipeline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</si>
  <si>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K3-2026</t>
  </si>
  <si>
    <r>
      <rPr>
        <sz val="11"/>
        <color theme="1"/>
        <rFont val="Calibri"/>
        <family val="2"/>
        <charset val="1"/>
      </rPr>
      <t xml:space="preserve">Pipeline 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</si>
  <si>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K3-2027</t>
  </si>
  <si>
    <r>
      <rPr>
        <sz val="11"/>
        <color theme="1"/>
        <rFont val="Calibri"/>
        <family val="2"/>
        <charset val="1"/>
      </rPr>
      <t xml:space="preserve">Pipeline 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</si>
  <si>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K3-2028</t>
  </si>
  <si>
    <r>
      <rPr>
        <sz val="11"/>
        <color theme="1"/>
        <rFont val="Calibri"/>
        <family val="2"/>
        <charset val="1"/>
      </rPr>
      <t xml:space="preserve">Pipeline 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</si>
  <si>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K3-2029</t>
  </si>
  <si>
    <r>
      <rPr>
        <sz val="11"/>
        <color theme="1"/>
        <rFont val="Calibri"/>
        <family val="2"/>
        <charset val="1"/>
      </rPr>
      <t xml:space="preserve">Pipeline 2029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</si>
  <si>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K3-2030</t>
  </si>
  <si>
    <r>
      <rPr>
        <sz val="11"/>
        <color theme="1"/>
        <rFont val="Calibri"/>
        <family val="2"/>
        <charset val="1"/>
      </rPr>
      <t xml:space="preserve">Pipeline 2030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</si>
  <si>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K3-2031</t>
  </si>
  <si>
    <r>
      <rPr>
        <sz val="11"/>
        <color theme="1"/>
        <rFont val="Calibri"/>
        <family val="2"/>
        <charset val="1"/>
      </rPr>
      <t xml:space="preserve">Pipeline 2031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</si>
  <si>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K3-2032</t>
  </si>
  <si>
    <r>
      <rPr>
        <sz val="11"/>
        <color theme="1"/>
        <rFont val="Calibri"/>
        <family val="2"/>
        <charset val="1"/>
      </rPr>
      <t xml:space="preserve">Pipeline 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</si>
  <si>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K3-2032eq</t>
  </si>
  <si>
    <r>
      <rPr>
        <sz val="11"/>
        <color theme="1"/>
        <rFont val="Noto Sans CJK SC"/>
        <family val="2"/>
      </rPr>
      <t xml:space="preserve">延遲只移動時點：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年底差 ≤ </t>
    </r>
    <r>
      <rPr>
        <sz val="11"/>
        <color theme="1"/>
        <rFont val="Calibri"/>
        <family val="2"/>
        <charset val="1"/>
      </rPr>
      <t xml:space="preserve">2033 </t>
    </r>
    <r>
      <rPr>
        <sz val="11"/>
        <color theme="1"/>
        <rFont val="Noto Sans CJK SC"/>
        <family val="2"/>
      </rPr>
      <t xml:space="preserve">後才上線的部分（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均勻型殘差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比例）＋園區）</t>
    </r>
  </si>
  <si>
    <t xml:space="preserve">K4-2023</t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</si>
  <si>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</si>
  <si>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</si>
  <si>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</si>
  <si>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</si>
  <si>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</si>
  <si>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</si>
  <si>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</si>
  <si>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</si>
  <si>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</si>
  <si>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</si>
  <si>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</si>
  <si>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</si>
  <si>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</si>
  <si>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</si>
  <si>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</si>
  <si>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</si>
  <si>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</si>
  <si>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K4-2032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</si>
  <si>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</si>
  <si>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K5-2024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</si>
  <si>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</si>
  <si>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</si>
  <si>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</si>
  <si>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</si>
  <si>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</si>
  <si>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</si>
  <si>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</si>
  <si>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</si>
  <si>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</si>
  <si>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</si>
  <si>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</si>
  <si>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</si>
  <si>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</si>
  <si>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</si>
  <si>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</si>
  <si>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K5-2032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</si>
  <si>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</si>
  <si>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K6-lag_bldg</t>
  </si>
  <si>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0–24</t>
    </r>
  </si>
  <si>
    <t xml:space="preserve">0–24</t>
  </si>
  <si>
    <t xml:space="preserve">K6-lag_bldg_lo</t>
  </si>
  <si>
    <r>
      <rPr>
        <sz val="11"/>
        <color theme="1"/>
        <rFont val="Calibri"/>
        <family val="2"/>
        <charset val="1"/>
      </rPr>
      <t xml:space="preserve">lag_bldg_lo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0–24</t>
    </r>
  </si>
  <si>
    <t xml:space="preserve">K6-lag_bldg_hi</t>
  </si>
  <si>
    <r>
      <rPr>
        <sz val="11"/>
        <color theme="1"/>
        <rFont val="Calibri"/>
        <family val="2"/>
        <charset val="1"/>
      </rPr>
      <t xml:space="preserve">lag_bldg_hi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0–24</t>
    </r>
  </si>
  <si>
    <t xml:space="preserve">K6-dly_d1_m</t>
  </si>
  <si>
    <r>
      <rPr>
        <sz val="11"/>
        <color theme="1"/>
        <rFont val="Calibri"/>
        <family val="2"/>
        <charset val="1"/>
      </rPr>
      <t xml:space="preserve">dly_d1_m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</si>
  <si>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0–36</t>
  </si>
  <si>
    <t xml:space="preserve">K6-dly_d1_m_lo</t>
  </si>
  <si>
    <r>
      <rPr>
        <sz val="11"/>
        <color theme="1"/>
        <rFont val="Calibri"/>
        <family val="2"/>
        <charset val="1"/>
      </rPr>
      <t xml:space="preserve">dly_d1_m_lo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</si>
  <si>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K6-dly_d1_m_hi</t>
  </si>
  <si>
    <r>
      <rPr>
        <sz val="11"/>
        <color theme="1"/>
        <rFont val="Calibri"/>
        <family val="2"/>
        <charset val="1"/>
      </rPr>
      <t xml:space="preserve">dly_d1_m_hi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</si>
  <si>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K6-dly_d1_s</t>
  </si>
  <si>
    <r>
      <rPr>
        <sz val="11"/>
        <color theme="1"/>
        <rFont val="Calibri"/>
        <family val="2"/>
        <charset val="1"/>
      </rPr>
      <t xml:space="preserve">dly_d1_s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</si>
  <si>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0–1</t>
  </si>
  <si>
    <t xml:space="preserve">K6-dly_d1_s_lo</t>
  </si>
  <si>
    <r>
      <rPr>
        <sz val="11"/>
        <color theme="1"/>
        <rFont val="Calibri"/>
        <family val="2"/>
        <charset val="1"/>
      </rPr>
      <t xml:space="preserve">dly_d1_s_lo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</si>
  <si>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K6-dly_d1_s_hi</t>
  </si>
  <si>
    <r>
      <rPr>
        <sz val="11"/>
        <color theme="1"/>
        <rFont val="Calibri"/>
        <family val="2"/>
        <charset val="1"/>
      </rPr>
      <t xml:space="preserve">dly_d1_s_hi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</si>
  <si>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K6-dly_d2_m</t>
  </si>
  <si>
    <r>
      <rPr>
        <sz val="11"/>
        <color theme="1"/>
        <rFont val="Calibri"/>
        <family val="2"/>
        <charset val="1"/>
      </rPr>
      <t xml:space="preserve">dly_d2_m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</si>
  <si>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K6-dly_d2_m_lo</t>
  </si>
  <si>
    <r>
      <rPr>
        <sz val="11"/>
        <color theme="1"/>
        <rFont val="Calibri"/>
        <family val="2"/>
        <charset val="1"/>
      </rPr>
      <t xml:space="preserve">dly_d2_m_lo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</si>
  <si>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K6-dly_d2_m_hi</t>
  </si>
  <si>
    <r>
      <rPr>
        <sz val="11"/>
        <color theme="1"/>
        <rFont val="Calibri"/>
        <family val="2"/>
        <charset val="1"/>
      </rPr>
      <t xml:space="preserve">dly_d2_m_hi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</si>
  <si>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K6-dly_d2_bind</t>
  </si>
  <si>
    <r>
      <rPr>
        <sz val="11"/>
        <color theme="1"/>
        <rFont val="Calibri"/>
        <family val="2"/>
        <charset val="1"/>
      </rPr>
      <t xml:space="preserve">dly_d2_bind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</si>
  <si>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K6-dly_d2_bind_lo</t>
  </si>
  <si>
    <r>
      <rPr>
        <sz val="11"/>
        <color theme="1"/>
        <rFont val="Calibri"/>
        <family val="2"/>
        <charset val="1"/>
      </rPr>
      <t xml:space="preserve">dly_d2_bind_lo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</si>
  <si>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K6-dly_d2_bind_hi</t>
  </si>
  <si>
    <r>
      <rPr>
        <sz val="11"/>
        <color theme="1"/>
        <rFont val="Calibri"/>
        <family val="2"/>
        <charset val="1"/>
      </rPr>
      <t xml:space="preserve">dly_d2_bind_hi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</si>
  <si>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K6-tolband</t>
  </si>
  <si>
    <r>
      <rPr>
        <sz val="11"/>
        <color theme="1"/>
        <rFont val="Calibri"/>
        <family val="2"/>
        <charset val="1"/>
      </rPr>
      <t xml:space="preserve">tolband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</si>
  <si>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K6-tolband_lo</t>
  </si>
  <si>
    <r>
      <rPr>
        <sz val="11"/>
        <color theme="1"/>
        <rFont val="Calibri"/>
        <family val="2"/>
        <charset val="1"/>
      </rPr>
      <t xml:space="preserve">tolband_lo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</si>
  <si>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K6-tolband_hi</t>
  </si>
  <si>
    <r>
      <rPr>
        <sz val="11"/>
        <color theme="1"/>
        <rFont val="Calibri"/>
        <family val="2"/>
        <charset val="1"/>
      </rPr>
      <t xml:space="preserve">tolband_hi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</si>
  <si>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K6-k_chip2it</t>
  </si>
  <si>
    <r>
      <rPr>
        <sz val="11"/>
        <color theme="1"/>
        <rFont val="Calibri"/>
        <family val="2"/>
        <charset val="1"/>
      </rPr>
      <t xml:space="preserve">k_chip2it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1–3</t>
    </r>
  </si>
  <si>
    <t xml:space="preserve">1–3</t>
  </si>
  <si>
    <t xml:space="preserve">K6-k_chip2it_lo</t>
  </si>
  <si>
    <r>
      <rPr>
        <sz val="11"/>
        <color theme="1"/>
        <rFont val="Calibri"/>
        <family val="2"/>
        <charset val="1"/>
      </rPr>
      <t xml:space="preserve">k_chip2it_lo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1–3</t>
    </r>
  </si>
  <si>
    <t xml:space="preserve">K6-k_chip2it_hi</t>
  </si>
  <si>
    <r>
      <rPr>
        <sz val="11"/>
        <color theme="1"/>
        <rFont val="Calibri"/>
        <family val="2"/>
        <charset val="1"/>
      </rPr>
      <t xml:space="preserve">k_chip2it_hi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1–3</t>
    </r>
  </si>
  <si>
    <t xml:space="preserve">K6-g_lt</t>
  </si>
  <si>
    <r>
      <rPr>
        <sz val="11"/>
        <color theme="1"/>
        <rFont val="Calibri"/>
        <family val="2"/>
        <charset val="1"/>
      </rPr>
      <t xml:space="preserve">g_lt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-0.2–0.5</t>
    </r>
  </si>
  <si>
    <t xml:space="preserve">-0.2–0.5</t>
  </si>
  <si>
    <t xml:space="preserve">K6-g_lt_lo</t>
  </si>
  <si>
    <r>
      <rPr>
        <sz val="11"/>
        <color theme="1"/>
        <rFont val="Calibri"/>
        <family val="2"/>
        <charset val="1"/>
      </rPr>
      <t xml:space="preserve">g_lt_lo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-0.2–0.5</t>
    </r>
  </si>
  <si>
    <t xml:space="preserve">K6-g_lt_hi</t>
  </si>
  <si>
    <r>
      <rPr>
        <sz val="11"/>
        <color theme="1"/>
        <rFont val="Calibri"/>
        <family val="2"/>
        <charset val="1"/>
      </rPr>
      <t xml:space="preserve">g_lt_hi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-0.2–0.5</t>
    </r>
  </si>
  <si>
    <t xml:space="preserve">K7</t>
  </si>
  <si>
    <r>
      <rPr>
        <sz val="11"/>
        <color theme="1"/>
        <rFont val="Noto Sans CJK SC"/>
        <family val="2"/>
      </rPr>
      <t xml:space="preserve">未分園區殘差 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的格數（園區合計超過玩家路徑）</t>
    </r>
  </si>
  <si>
    <t xml:space="preserve">K8</t>
  </si>
  <si>
    <r>
      <rPr>
        <sz val="11"/>
        <color theme="1"/>
        <rFont val="Calibri"/>
        <family val="2"/>
        <charset val="1"/>
      </rPr>
      <t xml:space="preserve">IF_FacilityGW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快照提供（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＝快照未含，直接讀活頁簿 </t>
    </r>
    <r>
      <rPr>
        <sz val="11"/>
        <color theme="1"/>
        <rFont val="Calibri"/>
        <family val="2"/>
        <charset val="1"/>
      </rPr>
      <t xml:space="preserve">SRC_GL_006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</si>
  <si>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治理（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</si>
  <si>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Requests R5</t>
    </r>
    <r>
      <rPr>
        <sz val="11"/>
        <color theme="1"/>
        <rFont val="Noto Sans CJK SC"/>
        <family val="2"/>
      </rPr>
      <t xml:space="preserve">：請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快照加入 </t>
    </r>
    <r>
      <rPr>
        <sz val="11"/>
        <color theme="1"/>
        <rFont val="Calibri"/>
        <family val="2"/>
        <charset val="1"/>
      </rPr>
      <t xml:space="preserve">IF_FacilityGW</t>
    </r>
    <r>
      <rPr>
        <sz val="11"/>
        <color theme="1"/>
        <rFont val="Noto Sans CJK SC"/>
        <family val="2"/>
      </rPr>
      <t xml:space="preserve">；值相同（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1.1–1.3</t>
    </r>
    <r>
      <rPr>
        <sz val="11"/>
        <color theme="1"/>
        <rFont val="Noto Sans CJK SC"/>
        <family val="2"/>
      </rPr>
      <t xml:space="preserve">）</t>
    </r>
  </si>
  <si>
    <t xml:space="preserve">K10-2025</t>
  </si>
  <si>
    <r>
      <rPr>
        <sz val="11"/>
        <color theme="1"/>
        <rFont val="Calibri"/>
        <family val="2"/>
        <charset val="1"/>
      </rPr>
      <t xml:space="preserve">Matrix 2025</t>
    </r>
    <r>
      <rPr>
        <sz val="11"/>
        <color theme="1"/>
        <rFont val="Noto Sans CJK SC"/>
        <family val="2"/>
      </rPr>
      <t xml:space="preserve">：未分配欄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（分配不超過營運者年底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</si>
  <si>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K10-2026</t>
  </si>
  <si>
    <r>
      <rPr>
        <sz val="11"/>
        <color theme="1"/>
        <rFont val="Calibri"/>
        <family val="2"/>
        <charset val="1"/>
      </rPr>
      <t xml:space="preserve">Matrix 2026</t>
    </r>
    <r>
      <rPr>
        <sz val="11"/>
        <color theme="1"/>
        <rFont val="Noto Sans CJK SC"/>
        <family val="2"/>
      </rPr>
      <t xml:space="preserve">：未分配欄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（分配不超過營運者年底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</si>
  <si>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K10-2027</t>
  </si>
  <si>
    <r>
      <rPr>
        <sz val="11"/>
        <color theme="1"/>
        <rFont val="Calibri"/>
        <family val="2"/>
        <charset val="1"/>
      </rPr>
      <t xml:space="preserve">Matrix 2027</t>
    </r>
    <r>
      <rPr>
        <sz val="11"/>
        <color theme="1"/>
        <rFont val="Noto Sans CJK SC"/>
        <family val="2"/>
      </rPr>
      <t xml:space="preserve">：未分配欄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（分配不超過營運者年底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</si>
  <si>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K11-rng25_neo</t>
  </si>
  <si>
    <r>
      <rPr>
        <sz val="11"/>
        <color theme="1"/>
        <rFont val="Calibri"/>
        <family val="2"/>
        <charset val="1"/>
      </rPr>
      <t xml:space="preserve">rng25_neo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neo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</si>
  <si>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K11-rng25_cn</t>
  </si>
  <si>
    <r>
      <rPr>
        <sz val="11"/>
        <color theme="1"/>
        <rFont val="Calibri"/>
        <family val="2"/>
        <charset val="1"/>
      </rPr>
      <t xml:space="preserve">rng25_cn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cn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</si>
  <si>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K11-rng26_cn</t>
  </si>
  <si>
    <r>
      <rPr>
        <sz val="11"/>
        <color theme="1"/>
        <rFont val="Calibri"/>
        <family val="2"/>
        <charset val="1"/>
      </rPr>
      <t xml:space="preserve">rng26_cn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cn 2026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</si>
  <si>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K11-ovr25_googl</t>
  </si>
  <si>
    <r>
      <rPr>
        <sz val="11"/>
        <color theme="1"/>
        <rFont val="Calibri"/>
        <family val="2"/>
        <charset val="1"/>
      </rPr>
      <t xml:space="preserve">ovr25_googl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googl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</si>
  <si>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K11-ovr25_amzn</t>
  </si>
  <si>
    <r>
      <rPr>
        <sz val="11"/>
        <color theme="1"/>
        <rFont val="Calibri"/>
        <family val="2"/>
        <charset val="1"/>
      </rPr>
      <t xml:space="preserve">ovr25_amzn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amzn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</si>
  <si>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K12-2024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</si>
  <si>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</si>
  <si>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</si>
  <si>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</si>
  <si>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</si>
  <si>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</si>
  <si>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</si>
  <si>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</si>
  <si>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</si>
  <si>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</si>
  <si>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</si>
  <si>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</si>
  <si>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</si>
  <si>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</si>
  <si>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</si>
  <si>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</si>
  <si>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K12-2032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</si>
  <si>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</si>
  <si>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K13</t>
  </si>
  <si>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納入＝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的園區，引用的證據列在 </t>
    </r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判『錯誤』或『無法核對』的數</t>
    </r>
  </si>
  <si>
    <t xml:space="preserve">治理（證據）</t>
  </si>
  <si>
    <t xml:space="preserve">只檢查說明欄第一個引用（主要依據）</t>
  </si>
  <si>
    <t xml:space="preserve">K14</t>
  </si>
  <si>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列數（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全部列）</t>
    </r>
  </si>
  <si>
    <t xml:space="preserve">K15</t>
  </si>
  <si>
    <r>
      <rPr>
        <sz val="11"/>
        <color theme="1"/>
        <rFont val="Noto Sans CJK SC"/>
        <family val="2"/>
      </rPr>
      <t xml:space="preserve">覆蓋率（</t>
    </r>
    <r>
      <rPr>
        <sz val="11"/>
        <color theme="1"/>
        <rFont val="Calibri"/>
        <family val="2"/>
        <charset val="1"/>
      </rPr>
      <t xml:space="preserve">WIF_Coverage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&lt; 0.5 </t>
    </r>
    <r>
      <rPr>
        <sz val="11"/>
        <color theme="1"/>
        <rFont val="Noto Sans CJK SC"/>
        <family val="2"/>
      </rPr>
      <t xml:space="preserve">的年數（</t>
    </r>
    <r>
      <rPr>
        <sz val="11"/>
        <color theme="1"/>
        <rFont val="Calibri"/>
        <family val="2"/>
        <charset val="1"/>
      </rPr>
      <t xml:space="preserve">2024–2032</t>
    </r>
    <r>
      <rPr>
        <sz val="11"/>
        <color theme="1"/>
        <rFont val="Noto Sans CJK SC"/>
        <family val="2"/>
      </rPr>
      <t xml:space="preserve">）</t>
    </r>
  </si>
  <si>
    <t xml:space="preserve">治理（覆蓋）</t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</si>
  <si>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＝該年主路徑新增多半無站點證據（甲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或收斂規則推得）；下游取用前看覆蓋率</t>
    </r>
  </si>
  <si>
    <t xml:space="preserve">K16-2024</t>
  </si>
  <si>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：主路徑＝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以前只用 甲）</t>
    </r>
  </si>
  <si>
    <t xml:space="preserve">K16-2025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</si>
  <si>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：主路徑＝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以前只用 甲）</t>
    </r>
  </si>
  <si>
    <t xml:space="preserve">K16-2026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</si>
  <si>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：主路徑＝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以前只用 甲）</t>
    </r>
  </si>
  <si>
    <t xml:space="preserve">K17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</si>
  <si>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的格數（七家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年）</t>
    </r>
  </si>
  <si>
    <t xml:space="preserve">K18</t>
  </si>
  <si>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園區延遲總量（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納入且 </t>
    </r>
    <r>
      <rPr>
        <sz val="11"/>
        <color theme="1"/>
        <rFont val="Calibri"/>
        <family val="2"/>
        <charset val="1"/>
      </rPr>
      <t xml:space="preserve">asof </t>
    </r>
    <r>
      <rPr>
        <sz val="11"/>
        <color theme="1"/>
        <rFont val="Noto Sans CJK SC"/>
        <family val="2"/>
      </rPr>
      <t xml:space="preserve">後上線的園區 </t>
    </r>
    <r>
      <rPr>
        <sz val="11"/>
        <color theme="1"/>
        <rFont val="Calibri"/>
        <family val="2"/>
        <charset val="1"/>
      </rPr>
      <t xml:space="preserve">GW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 D1 </t>
    </r>
    <r>
      <rPr>
        <sz val="11"/>
        <color theme="1"/>
        <rFont val="Noto Sans CJK SC"/>
        <family val="2"/>
      </rPr>
      <t xml:space="preserve">延後 − </t>
    </r>
    <r>
      <rPr>
        <sz val="11"/>
        <color theme="1"/>
        <rFont val="Calibri"/>
        <family val="2"/>
        <charset val="1"/>
      </rPr>
      <t xml:space="preserve">t D0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&gt; 0</t>
    </r>
    <r>
      <rPr>
        <sz val="11"/>
        <color theme="1"/>
        <rFont val="Noto Sans CJK SC"/>
        <family val="2"/>
      </rPr>
      <t xml:space="preserve">（防延遲失效；獨立核對第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</si>
  <si>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欄為文字的格數（須為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</si>
  <si>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K19-2027</t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</si>
  <si>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SiteOnly D1 &lt; D0</t>
    </r>
    <r>
      <rPr>
        <sz val="11"/>
        <color theme="1"/>
        <rFont val="Noto Sans CJK SC"/>
        <family val="2"/>
      </rPr>
      <t xml:space="preserve">（園區＋殘差延遲有作用）</t>
    </r>
  </si>
  <si>
    <t xml:space="preserve">K19-2029</t>
  </si>
  <si>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SiteOnly D1 &lt; D0</t>
    </r>
    <r>
      <rPr>
        <sz val="11"/>
        <color theme="1"/>
        <rFont val="Noto Sans CJK SC"/>
        <family val="2"/>
      </rPr>
      <t xml:space="preserve">（園區＋殘差延遲有作用）</t>
    </r>
  </si>
  <si>
    <t xml:space="preserve">K20-2023</t>
  </si>
  <si>
    <r>
      <rPr>
        <sz val="11"/>
        <color theme="1"/>
        <rFont val="Calibri"/>
        <family val="2"/>
        <charset val="1"/>
      </rPr>
      <t xml:space="preserve">2023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</si>
  <si>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K20-2024</t>
  </si>
  <si>
    <r>
      <rPr>
        <sz val="11"/>
        <color theme="1"/>
        <rFont val="Calibri"/>
        <family val="2"/>
        <charset val="1"/>
      </rPr>
      <t xml:space="preserve">2024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</si>
  <si>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K20-2025</t>
  </si>
  <si>
    <r>
      <rPr>
        <sz val="11"/>
        <color theme="1"/>
        <rFont val="Calibri"/>
        <family val="2"/>
        <charset val="1"/>
      </rPr>
      <t xml:space="preserve">2025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</si>
  <si>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K20-2026</t>
  </si>
  <si>
    <r>
      <rPr>
        <sz val="11"/>
        <color theme="1"/>
        <rFont val="Calibri"/>
        <family val="2"/>
        <charset val="1"/>
      </rPr>
      <t xml:space="preserve">2026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</si>
  <si>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K20-2027</t>
  </si>
  <si>
    <r>
      <rPr>
        <sz val="11"/>
        <color theme="1"/>
        <rFont val="Calibri"/>
        <family val="2"/>
        <charset val="1"/>
      </rPr>
      <t xml:space="preserve">2027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</si>
  <si>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K20-2028</t>
  </si>
  <si>
    <r>
      <rPr>
        <sz val="11"/>
        <color theme="1"/>
        <rFont val="Calibri"/>
        <family val="2"/>
        <charset val="1"/>
      </rPr>
      <t xml:space="preserve">2028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</si>
  <si>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K20-2029</t>
  </si>
  <si>
    <r>
      <rPr>
        <sz val="11"/>
        <color theme="1"/>
        <rFont val="Calibri"/>
        <family val="2"/>
        <charset val="1"/>
      </rPr>
      <t xml:space="preserve">2029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</si>
  <si>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K20-2030</t>
  </si>
  <si>
    <r>
      <rPr>
        <sz val="11"/>
        <color theme="1"/>
        <rFont val="Calibri"/>
        <family val="2"/>
        <charset val="1"/>
      </rPr>
      <t xml:space="preserve">2030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</si>
  <si>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K20-2031</t>
  </si>
  <si>
    <r>
      <rPr>
        <sz val="11"/>
        <color theme="1"/>
        <rFont val="Calibri"/>
        <family val="2"/>
        <charset val="1"/>
      </rPr>
      <t xml:space="preserve">2031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</si>
  <si>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K20-2032</t>
  </si>
  <si>
    <r>
      <rPr>
        <sz val="11"/>
        <color theme="1"/>
        <rFont val="Calibri"/>
        <family val="2"/>
        <charset val="1"/>
      </rPr>
      <t xml:space="preserve">2032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</si>
  <si>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K21</t>
  </si>
  <si>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『其他／未拆』殘差在 −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～＋</t>
    </r>
    <r>
      <rPr>
        <sz val="11"/>
        <color theme="1"/>
        <rFont val="Calibri"/>
        <family val="2"/>
        <charset val="1"/>
      </rPr>
      <t xml:space="preserve">0.5 $B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；大於表示拆分與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不一致）</t>
    </r>
  </si>
  <si>
    <t xml:space="preserve">K22</t>
  </si>
  <si>
    <r>
      <rPr>
        <sz val="11"/>
        <color theme="1"/>
        <rFont val="Calibri"/>
        <family val="2"/>
        <charset val="1"/>
      </rPr>
      <t xml:space="preserve">SegIn </t>
    </r>
    <r>
      <rPr>
        <sz val="11"/>
        <color theme="1"/>
        <rFont val="Noto Sans CJK SC"/>
        <family val="2"/>
      </rPr>
      <t xml:space="preserve">次產業比例合計＝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v0.2.3 GB300 </t>
    </r>
    <r>
      <rPr>
        <sz val="11"/>
        <color theme="1"/>
        <rFont val="Noto Sans CJK SC"/>
        <family val="2"/>
      </rPr>
      <t xml:space="preserve">對照欄）</t>
    </r>
  </si>
  <si>
    <t xml:space="preserve">K23-2023</t>
  </si>
  <si>
    <r>
      <rPr>
        <sz val="11"/>
        <color theme="1"/>
        <rFont val="Calibri"/>
        <family val="2"/>
        <charset val="1"/>
      </rPr>
      <t xml:space="preserve">2023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</si>
  <si>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K23-2024</t>
  </si>
  <si>
    <r>
      <rPr>
        <sz val="11"/>
        <color theme="1"/>
        <rFont val="Calibri"/>
        <family val="2"/>
        <charset val="1"/>
      </rPr>
      <t xml:space="preserve">2024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</si>
  <si>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K23-2025</t>
  </si>
  <si>
    <r>
      <rPr>
        <sz val="11"/>
        <color theme="1"/>
        <rFont val="Calibri"/>
        <family val="2"/>
        <charset val="1"/>
      </rPr>
      <t xml:space="preserve">2025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</si>
  <si>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K23-2026</t>
  </si>
  <si>
    <r>
      <rPr>
        <sz val="11"/>
        <color theme="1"/>
        <rFont val="Calibri"/>
        <family val="2"/>
        <charset val="1"/>
      </rPr>
      <t xml:space="preserve">2026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</si>
  <si>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K23-2027</t>
  </si>
  <si>
    <r>
      <rPr>
        <sz val="11"/>
        <color theme="1"/>
        <rFont val="Calibri"/>
        <family val="2"/>
        <charset val="1"/>
      </rPr>
      <t xml:space="preserve">2027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</si>
  <si>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K23-2028</t>
  </si>
  <si>
    <r>
      <rPr>
        <sz val="11"/>
        <color theme="1"/>
        <rFont val="Calibri"/>
        <family val="2"/>
        <charset val="1"/>
      </rPr>
      <t xml:space="preserve">2028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</si>
  <si>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K23-2029</t>
  </si>
  <si>
    <r>
      <rPr>
        <sz val="11"/>
        <color theme="1"/>
        <rFont val="Calibri"/>
        <family val="2"/>
        <charset val="1"/>
      </rPr>
      <t xml:space="preserve">2029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</si>
  <si>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K23-2030</t>
  </si>
  <si>
    <r>
      <rPr>
        <sz val="11"/>
        <color theme="1"/>
        <rFont val="Calibri"/>
        <family val="2"/>
        <charset val="1"/>
      </rPr>
      <t xml:space="preserve">2030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</si>
  <si>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K23-2031</t>
  </si>
  <si>
    <r>
      <rPr>
        <sz val="11"/>
        <color theme="1"/>
        <rFont val="Calibri"/>
        <family val="2"/>
        <charset val="1"/>
      </rPr>
      <t xml:space="preserve">2031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</si>
  <si>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K23-2032</t>
  </si>
  <si>
    <r>
      <rPr>
        <sz val="11"/>
        <color theme="1"/>
        <rFont val="Calibri"/>
        <family val="2"/>
        <charset val="1"/>
      </rPr>
      <t xml:space="preserve">2032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</si>
  <si>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K24</t>
  </si>
  <si>
    <r>
      <rPr>
        <sz val="11"/>
        <color theme="1"/>
        <rFont val="Calibri"/>
        <family val="2"/>
        <charset val="1"/>
      </rPr>
      <t xml:space="preserve">Funding</t>
    </r>
    <r>
      <rPr>
        <sz val="11"/>
        <color theme="1"/>
        <rFont val="Noto Sans CJK SC"/>
        <family val="2"/>
      </rPr>
      <t xml:space="preserve">：各列內部＋租賃＋股權＋債＋其餘＝分母；其餘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（支付順序）</t>
    </r>
  </si>
  <si>
    <t xml:space="preserve">K25</t>
  </si>
  <si>
    <r>
      <rPr>
        <sz val="11"/>
        <color theme="1"/>
        <rFont val="Calibri"/>
        <family val="2"/>
        <charset val="1"/>
      </rPr>
      <t xml:space="preserve">FundRaw </t>
    </r>
    <r>
      <rPr>
        <sz val="11"/>
        <color theme="1"/>
        <rFont val="Noto Sans CJK SC"/>
        <family val="2"/>
      </rPr>
      <t xml:space="preserve">採用＝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但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段判『無法核對』或『未抽查』的列數（建置時）</t>
    </r>
  </si>
  <si>
    <t xml:space="preserve">K26</t>
  </si>
  <si>
    <r>
      <rPr>
        <sz val="11"/>
        <color theme="1"/>
        <rFont val="Calibri"/>
        <family val="2"/>
        <charset val="1"/>
      </rPr>
      <t xml:space="preserve">Anthropic 2026 Funding</t>
    </r>
    <r>
      <rPr>
        <sz val="11"/>
        <color theme="1"/>
        <rFont val="Noto Sans CJK SC"/>
        <family val="2"/>
      </rPr>
      <t xml:space="preserve">：洽談中 </t>
    </r>
    <r>
      <rPr>
        <sz val="11"/>
        <color theme="1"/>
        <rFont val="Calibri"/>
        <family val="2"/>
        <charset val="1"/>
      </rPr>
      <t xml:space="preserve">SPV 36 </t>
    </r>
    <r>
      <rPr>
        <sz val="11"/>
        <color theme="1"/>
        <rFont val="Noto Sans CJK SC"/>
        <family val="2"/>
      </rPr>
      <t xml:space="preserve">未進股權／債（洽談中欄＝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、債來源不含）</t>
    </r>
  </si>
  <si>
    <r>
      <rPr>
        <sz val="11"/>
        <color theme="1"/>
        <rFont val="Noto Sans CJK SC"/>
        <family val="2"/>
      </rPr>
      <t xml:space="preserve">驗證（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F191</t>
    </r>
    <r>
      <rPr>
        <sz val="11"/>
        <color theme="1"/>
        <rFont val="Noto Sans CJK SC"/>
        <family val="2"/>
      </rPr>
      <t xml:space="preserve">）</t>
    </r>
  </si>
  <si>
    <t xml:space="preserve">K28-googl2025</t>
  </si>
  <si>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總額口徑 </t>
    </r>
    <r>
      <rPr>
        <sz val="11"/>
        <color theme="1"/>
        <rFont val="Calibri"/>
        <family val="2"/>
        <charset val="1"/>
      </rPr>
      <t xml:space="preserve">googl 2025 </t>
    </r>
    <r>
      <rPr>
        <sz val="11"/>
        <color theme="1"/>
        <rFont val="Noto Sans CJK SC"/>
        <family val="2"/>
      </rPr>
      <t xml:space="preserve">外部資金 ≥ </t>
    </r>
    <r>
      <rPr>
        <sz val="11"/>
        <color theme="1"/>
        <rFont val="Calibri"/>
        <family val="2"/>
        <charset val="1"/>
      </rPr>
      <t xml:space="preserve">64.564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F#43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F#98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Hyperion F#101</t>
    </r>
    <r>
      <rPr>
        <sz val="11"/>
        <color theme="1"/>
        <rFont val="Noto Sans CJK SC"/>
        <family val="2"/>
      </rPr>
      <t xml:space="preserve">）</t>
    </r>
  </si>
  <si>
    <t xml:space="preserve">驗證（核對要求）</t>
  </si>
  <si>
    <t xml:space="preserve">K28-meta2025</t>
  </si>
  <si>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總額口徑 </t>
    </r>
    <r>
      <rPr>
        <sz val="11"/>
        <color theme="1"/>
        <rFont val="Calibri"/>
        <family val="2"/>
        <charset val="1"/>
      </rPr>
      <t xml:space="preserve">meta 2025 </t>
    </r>
    <r>
      <rPr>
        <sz val="11"/>
        <color theme="1"/>
        <rFont val="Noto Sans CJK SC"/>
        <family val="2"/>
      </rPr>
      <t xml:space="preserve">外部資金 ≥ </t>
    </r>
    <r>
      <rPr>
        <sz val="11"/>
        <color theme="1"/>
        <rFont val="Calibri"/>
        <family val="2"/>
        <charset val="1"/>
      </rPr>
      <t xml:space="preserve">57.3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F#43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F#98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Hyperion F#101</t>
    </r>
    <r>
      <rPr>
        <sz val="11"/>
        <color theme="1"/>
        <rFont val="Noto Sans CJK SC"/>
        <family val="2"/>
      </rPr>
      <t xml:space="preserve">）</t>
    </r>
  </si>
  <si>
    <t xml:space="preserve">K27</t>
  </si>
  <si>
    <r>
      <rPr>
        <sz val="11"/>
        <color theme="1"/>
        <rFont val="Noto Sans CJK SC"/>
        <family val="2"/>
      </rPr>
      <t xml:space="preserve">循環融資表列數＝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F.md </t>
    </r>
    <r>
      <rPr>
        <sz val="11"/>
        <color theme="1"/>
        <rFont val="Noto Sans CJK SC"/>
        <family val="2"/>
      </rPr>
      <t xml:space="preserve">第三節）</t>
    </r>
  </si>
  <si>
    <t xml:space="preserve">K9</t>
  </si>
  <si>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：各需求情景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  <r>
      <rPr>
        <sz val="11"/>
        <color theme="1"/>
        <rFont val="Noto Sans CJK SC"/>
        <family val="2"/>
      </rPr>
      <t xml:space="preserve">（情景差額為負時可能不成立）</t>
    </r>
  </si>
  <si>
    <t xml:space="preserve">G1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</si>
  <si>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頁輸入列缺標記</t>
    </r>
  </si>
  <si>
    <t xml:space="preserve">治理</t>
  </si>
  <si>
    <t xml:space="preserve">G2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</si>
  <si>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頁輸入列缺來源 </t>
    </r>
    <r>
      <rPr>
        <sz val="11"/>
        <color theme="1"/>
        <rFont val="Calibri"/>
        <family val="2"/>
        <charset val="1"/>
      </rPr>
      <t xml:space="preserve">ID</t>
    </r>
  </si>
  <si>
    <t xml:space="preserve">G3</t>
  </si>
  <si>
    <r>
      <rPr>
        <sz val="11"/>
        <color theme="1"/>
        <rFont val="Noto Sans CJK SC"/>
        <family val="2"/>
      </rPr>
      <t xml:space="preserve">純量列標記含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但未給低／高</t>
    </r>
  </si>
  <si>
    <t xml:space="preserve">G3b</t>
  </si>
  <si>
    <r>
      <rPr>
        <sz val="11"/>
        <color theme="1"/>
        <rFont val="Noto Sans CJK SC"/>
        <family val="2"/>
      </rPr>
      <t xml:space="preserve">年度／分攤列標記含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（年度列無低／高欄，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補區間列）</t>
    </r>
  </si>
  <si>
    <t xml:space="preserve">G4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</si>
  <si>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頁鍵重複（建置時檢查）</t>
    </r>
  </si>
  <si>
    <t xml:space="preserve">G5</t>
  </si>
  <si>
    <t xml:space="preserve">標『待證據』的輸入列數</t>
  </si>
  <si>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複核後入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，逐步歸零</t>
    </r>
  </si>
  <si>
    <t xml:space="preserve">G6</t>
  </si>
  <si>
    <t xml:space="preserve">延遲參數仍為佔位值（說明含【佔位】）</t>
  </si>
  <si>
    <t xml:space="preserve">WGOV_Errors</t>
  </si>
  <si>
    <t xml:space="preserve">WGOV_Warn</t>
  </si>
  <si>
    <r>
      <rPr>
        <sz val="11"/>
        <color theme="1"/>
        <rFont val="Calibri"/>
        <family val="2"/>
        <charset val="1"/>
      </rPr>
      <t xml:space="preserve">Decisions — </t>
    </r>
    <r>
      <rPr>
        <sz val="11"/>
        <color theme="1"/>
        <rFont val="Noto Sans CJK SC"/>
        <family val="2"/>
      </rPr>
      <t xml:space="preserve">決策登錄（</t>
    </r>
    <r>
      <rPr>
        <sz val="11"/>
        <color theme="1"/>
        <rFont val="Calibri"/>
        <family val="2"/>
        <charset val="1"/>
      </rPr>
      <t xml:space="preserve">GL01-01 </t>
    </r>
    <r>
      <rPr>
        <sz val="11"/>
        <color theme="1"/>
        <rFont val="Noto Sans CJK SC"/>
        <family val="2"/>
      </rPr>
      <t xml:space="preserve">起）。判斷類由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決定；工程細節依預設執行者標『預設、可撤回』</t>
    </r>
  </si>
  <si>
    <r>
      <rPr>
        <b val="true"/>
        <sz val="11"/>
        <rFont val="Noto Sans CJK SC"/>
        <family val="2"/>
      </rPr>
      <t xml:space="preserve">決策 </t>
    </r>
    <r>
      <rPr>
        <b val="true"/>
        <sz val="11"/>
        <rFont val="Cambria"/>
        <family val="0"/>
        <charset val="1"/>
      </rPr>
      <t xml:space="preserve">ID</t>
    </r>
  </si>
  <si>
    <t xml:space="preserve">決議</t>
  </si>
  <si>
    <t xml:space="preserve">日期</t>
  </si>
  <si>
    <t xml:space="preserve">依據</t>
  </si>
  <si>
    <t xml:space="preserve">狀態</t>
  </si>
  <si>
    <t xml:space="preserve">GL01-01</t>
  </si>
  <si>
    <t xml:space="preserve">工程</t>
  </si>
  <si>
    <r>
      <rPr>
        <sz val="11"/>
        <color theme="1"/>
        <rFont val="Noto Sans CJK SC"/>
        <family val="2"/>
      </rPr>
      <t xml:space="preserve">主口徑（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裁定後）</t>
    </r>
  </si>
  <si>
    <r>
      <rPr>
        <sz val="11"/>
        <color theme="1"/>
        <rFont val="Noto Sans CJK SC"/>
        <family val="2"/>
      </rPr>
      <t xml:space="preserve">主口徑＝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TK Interface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關鍵電力）；</t>
    </r>
    <r>
      <rPr>
        <sz val="11"/>
        <color theme="1"/>
        <rFont val="Calibri"/>
        <family val="2"/>
        <charset val="1"/>
      </rPr>
      <t xml:space="preserve">g_ITtoFac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；設施電力另列＝</t>
    </r>
    <r>
      <rPr>
        <sz val="11"/>
        <color theme="1"/>
        <rFont val="Calibri"/>
        <family val="2"/>
        <charset val="1"/>
      </rPr>
      <t xml:space="preserve">IT × TK_FacilityGW</t>
    </r>
    <r>
      <rPr>
        <sz val="11"/>
        <color theme="1"/>
        <rFont val="Noto Sans CJK SC"/>
        <family val="2"/>
      </rPr>
      <t xml:space="preserve">（世代加權，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各世代皆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）</t>
    </r>
  </si>
  <si>
    <t xml:space="preserve">2026-10-28</t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</si>
  <si>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；規劃書 </t>
    </r>
    <r>
      <rPr>
        <sz val="11"/>
        <color theme="1"/>
        <rFont val="Calibri"/>
        <family val="2"/>
        <charset val="1"/>
      </rPr>
      <t xml:space="preserve">r1</t>
    </r>
  </si>
  <si>
    <t xml:space="preserve">執行</t>
  </si>
  <si>
    <t xml:space="preserve">GL01-02</t>
  </si>
  <si>
    <t xml:space="preserve">口徑未說明的兩讀</t>
  </si>
  <si>
    <r>
      <rPr>
        <sz val="11"/>
        <color theme="1"/>
        <rFont val="Noto Sans CJK SC"/>
        <family val="2"/>
      </rPr>
      <t xml:space="preserve">基準取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讀法（不換算）；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另列設施讀法（</t>
    </r>
    <r>
      <rPr>
        <sz val="11"/>
        <color theme="1"/>
        <rFont val="Calibri"/>
        <family val="2"/>
        <charset val="1"/>
      </rPr>
      <t xml:space="preserve">÷ IF_FacilityGW </t>
    </r>
    <r>
      <rPr>
        <sz val="11"/>
        <color theme="1"/>
        <rFont val="Noto Sans CJK SC"/>
        <family val="2"/>
      </rPr>
      <t xml:space="preserve">得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）；公司標設施者一律 </t>
    </r>
    <r>
      <rPr>
        <sz val="11"/>
        <color theme="1"/>
        <rFont val="Calibri"/>
        <family val="2"/>
        <charset val="1"/>
      </rPr>
      <t xml:space="preserve">÷ IF_FacilityGW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</si>
  <si>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</t>
    </r>
  </si>
  <si>
    <t xml:space="preserve">GL01-03</t>
  </si>
  <si>
    <r>
      <rPr>
        <sz val="11"/>
        <color theme="1"/>
        <rFont val="Noto Sans CJK SC"/>
        <family val="2"/>
      </rPr>
      <t xml:space="preserve">年底值補法（第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階段）</t>
    </r>
  </si>
  <si>
    <r>
      <rPr>
        <sz val="11"/>
        <color theme="1"/>
        <rFont val="Noto Sans CJK SC"/>
        <family val="2"/>
      </rPr>
      <t xml:space="preserve">優先序：</t>
    </r>
    <r>
      <rPr>
        <sz val="11"/>
        <color theme="1"/>
        <rFont val="Calibri"/>
        <family val="2"/>
        <charset val="1"/>
      </rPr>
      <t xml:space="preserve">(1) In </t>
    </r>
    <r>
      <rPr>
        <sz val="11"/>
        <color theme="1"/>
        <rFont val="Noto Sans CJK SC"/>
        <family val="2"/>
      </rPr>
      <t xml:space="preserve">年底輸入；</t>
    </r>
    <r>
      <rPr>
        <sz val="11"/>
        <color theme="1"/>
        <rFont val="Calibri"/>
        <family val="2"/>
        <charset val="1"/>
      </rPr>
      <t xml:space="preserve">(2) Epoch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k_chip2it</t>
    </r>
    <r>
      <rPr>
        <sz val="11"/>
        <color theme="1"/>
        <rFont val="Noto Sans CJK SC"/>
        <family val="2"/>
      </rPr>
      <t xml:space="preserve">，或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更正值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晶片功耗）；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觀測年＝觀測值＋觀測後至年底的園區上線量；兩已知值間線性內插；最後已知值後＝前年＋當年園區上線量（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）；第一個已知值前留空。旗標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輸入／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晶片／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觀測／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內插／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園區延伸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</si>
  <si>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</t>
    </r>
  </si>
  <si>
    <t xml:space="preserve">預設、可撤回</t>
  </si>
  <si>
    <t xml:space="preserve">GL01-04</t>
  </si>
  <si>
    <r>
      <rPr>
        <sz val="11"/>
        <color theme="1"/>
        <rFont val="Noto Sans CJK SC"/>
        <family val="2"/>
      </rPr>
      <t xml:space="preserve">財年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時點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</si>
  <si>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月）、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月）財年末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置於該財年結束的曆年欄，年底值偏低；資本支出則以財年月數拆成曆年</t>
    </r>
  </si>
  <si>
    <t xml:space="preserve">工作單未規定</t>
  </si>
  <si>
    <t xml:space="preserve">GL01-05</t>
  </si>
  <si>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結構</t>
    </r>
  </si>
  <si>
    <r>
      <rPr>
        <sz val="11"/>
        <color theme="1"/>
        <rFont val="Noto Sans CJK SC"/>
        <family val="2"/>
      </rPr>
      <t xml:space="preserve">事件＝園區（</t>
    </r>
    <r>
      <rPr>
        <sz val="11"/>
        <color theme="1"/>
        <rFont val="Calibri"/>
        <family val="2"/>
        <charset val="1"/>
      </rPr>
      <t xml:space="preserve">In T2 </t>
    </r>
    <r>
      <rPr>
        <sz val="11"/>
        <color theme="1"/>
        <rFont val="Noto Sans CJK SC"/>
        <family val="2"/>
      </rPr>
      <t xml:space="preserve">納入＝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）＋各玩家各年『未分園區殘差』＋新納入存量（不延遲）；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彙總與 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恆等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</si>
  <si>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Pipeline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</t>
    </r>
  </si>
  <si>
    <t xml:space="preserve">GL01-06</t>
  </si>
  <si>
    <r>
      <rPr>
        <sz val="11"/>
        <color theme="1"/>
        <rFont val="Noto Sans CJK SC"/>
        <family val="2"/>
      </rPr>
      <t xml:space="preserve">延遲情景機制（第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階段）</t>
    </r>
  </si>
  <si>
    <r>
      <rPr>
        <sz val="11"/>
        <color theme="1"/>
        <rFont val="Noto Sans CJK SC"/>
        <family val="2"/>
      </rPr>
      <t xml:space="preserve">只作用於 </t>
    </r>
    <r>
      <rPr>
        <sz val="11"/>
        <color theme="1"/>
        <rFont val="Calibri"/>
        <family val="2"/>
        <charset val="1"/>
      </rPr>
      <t xml:space="preserve">asof </t>
    </r>
    <r>
      <rPr>
        <sz val="11"/>
        <color theme="1"/>
        <rFont val="Noto Sans CJK SC"/>
        <family val="2"/>
      </rPr>
      <t xml:space="preserve">之後的上線量。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：每筆排定上線量的 </t>
    </r>
    <r>
      <rPr>
        <sz val="11"/>
        <color theme="1"/>
        <rFont val="Calibri"/>
        <family val="2"/>
        <charset val="1"/>
      </rPr>
      <t xml:space="preserve">dly_d1_s </t>
    </r>
    <r>
      <rPr>
        <sz val="11"/>
        <color theme="1"/>
        <rFont val="Noto Sans CJK SC"/>
        <family val="2"/>
      </rPr>
      <t xml:space="preserve">延 </t>
    </r>
    <r>
      <rPr>
        <sz val="11"/>
        <color theme="1"/>
        <rFont val="Calibri"/>
        <family val="2"/>
        <charset val="1"/>
      </rPr>
      <t xml:space="preserve">dly_d1_m </t>
    </r>
    <r>
      <rPr>
        <sz val="11"/>
        <color theme="1"/>
        <rFont val="Noto Sans CJK SC"/>
        <family val="2"/>
      </rPr>
      <t xml:space="preserve">月（園區有已知延遲者全額延已知月數）；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之上，原排定年在 </t>
    </r>
    <r>
      <rPr>
        <sz val="11"/>
        <color theme="1"/>
        <rFont val="Calibri"/>
        <family val="2"/>
        <charset val="1"/>
      </rPr>
      <t xml:space="preserve">dly_d2_y0–y1 </t>
    </r>
    <r>
      <rPr>
        <sz val="11"/>
        <color theme="1"/>
        <rFont val="Noto Sans CJK SC"/>
        <family val="2"/>
      </rPr>
      <t xml:space="preserve">且未確保電力（</t>
    </r>
    <r>
      <rPr>
        <sz val="11"/>
        <color theme="1"/>
        <rFont val="Calibri"/>
        <family val="2"/>
        <charset val="1"/>
      </rPr>
      <t xml:space="preserve">T2 O </t>
    </r>
    <r>
      <rPr>
        <sz val="11"/>
        <color theme="1"/>
        <rFont val="Noto Sans CJK SC"/>
        <family val="2"/>
      </rPr>
      <t xml:space="preserve">欄≠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）者，</t>
    </r>
    <r>
      <rPr>
        <sz val="11"/>
        <color theme="1"/>
        <rFont val="Calibri"/>
        <family val="2"/>
        <charset val="1"/>
      </rPr>
      <t xml:space="preserve">dly_d2_bind </t>
    </r>
    <r>
      <rPr>
        <sz val="11"/>
        <color theme="1"/>
        <rFont val="Noto Sans CJK SC"/>
        <family val="2"/>
      </rPr>
      <t xml:space="preserve">再延 </t>
    </r>
    <r>
      <rPr>
        <sz val="11"/>
        <color theme="1"/>
        <rFont val="Calibri"/>
        <family val="2"/>
        <charset val="1"/>
      </rPr>
      <t xml:space="preserve">dly_d2_m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</si>
  <si>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B_summary 5.3</t>
    </r>
  </si>
  <si>
    <t xml:space="preserve">GL01-07</t>
  </si>
  <si>
    <r>
      <rPr>
        <sz val="11"/>
        <color theme="1"/>
        <rFont val="Noto Sans CJK SC"/>
        <family val="2"/>
      </rPr>
      <t xml:space="preserve">需求情景與 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規則</t>
    </r>
  </si>
  <si>
    <r>
      <rPr>
        <sz val="11"/>
        <color theme="1"/>
        <rFont val="Calibri"/>
        <family val="2"/>
        <charset val="1"/>
      </rPr>
      <t xml:space="preserve">2024–2027 </t>
    </r>
    <r>
      <rPr>
        <sz val="11"/>
        <color theme="1"/>
        <rFont val="Noto Sans CJK SC"/>
        <family val="2"/>
      </rPr>
      <t xml:space="preserve">各情景同 </t>
    </r>
    <r>
      <rPr>
        <sz val="11"/>
        <color theme="1"/>
        <rFont val="Calibri"/>
        <family val="2"/>
        <charset val="1"/>
      </rPr>
      <t xml:space="preserve">Pipeline 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× SIF_UnitsCoef_*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以『年底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年增率』由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值線性收斂到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達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），取代 </t>
    </r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年後站點與目標（</t>
    </r>
    <r>
      <rPr>
        <sz val="11"/>
        <color theme="1"/>
        <rFont val="Calibri"/>
        <family val="2"/>
        <charset val="1"/>
      </rPr>
      <t xml:space="preserve">CoreWeave 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Ports Pike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段、</t>
    </r>
    <r>
      <rPr>
        <sz val="11"/>
        <color theme="1"/>
        <rFont val="Calibri"/>
        <family val="2"/>
        <charset val="1"/>
      </rPr>
      <t xml:space="preserve">Humain 2030</t>
    </r>
    <r>
      <rPr>
        <sz val="11"/>
        <color theme="1"/>
        <rFont val="Noto Sans CJK SC"/>
        <family val="2"/>
      </rPr>
      <t xml:space="preserve">）。以年新增成長率收斂時，</t>
    </r>
    <r>
      <rPr>
        <sz val="11"/>
        <color theme="1"/>
        <rFont val="Calibri"/>
        <family val="2"/>
        <charset val="1"/>
      </rPr>
      <t xml:space="preserve">2028 Stargate </t>
    </r>
    <r>
      <rPr>
        <sz val="11"/>
        <color theme="1"/>
        <rFont val="Noto Sans CJK SC"/>
        <family val="2"/>
      </rPr>
      <t xml:space="preserve">集中上線使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年增 −</t>
    </r>
    <r>
      <rPr>
        <sz val="11"/>
        <color theme="1"/>
        <rFont val="Calibri"/>
        <family val="2"/>
        <charset val="1"/>
      </rPr>
      <t xml:space="preserve">77%</t>
    </r>
    <r>
      <rPr>
        <sz val="11"/>
        <color theme="1"/>
        <rFont val="Noto Sans CJK SC"/>
        <family val="2"/>
      </rPr>
      <t xml:space="preserve">，故改用年底存量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</si>
  <si>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5</t>
    </r>
  </si>
  <si>
    <t xml:space="preserve">GL01-08</t>
  </si>
  <si>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推算資本支出</t>
    </r>
  </si>
  <si>
    <r>
      <rPr>
        <sz val="11"/>
        <color theme="1"/>
        <rFont val="Calibri"/>
        <family val="2"/>
        <charset val="1"/>
      </rPr>
      <t xml:space="preserve">IF_CapexTotal </t>
    </r>
    <r>
      <rPr>
        <sz val="11"/>
        <color theme="1"/>
        <rFont val="Noto Sans CJK SC"/>
        <family val="2"/>
      </rPr>
      <t xml:space="preserve">拆為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（上線年入帳）與廠房（提前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月，按月數比例分攤到前 </t>
    </r>
    <r>
      <rPr>
        <sz val="11"/>
        <color theme="1"/>
        <rFont val="Calibri"/>
        <family val="2"/>
        <charset val="1"/>
      </rPr>
      <t xml:space="preserve">1–2 </t>
    </r>
    <r>
      <rPr>
        <sz val="11"/>
        <color theme="1"/>
        <rFont val="Noto Sans CJK SC"/>
        <family val="2"/>
      </rPr>
      <t xml:space="preserve">年）；非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部分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＝持有比 </t>
    </r>
    <r>
      <rPr>
        <sz val="11"/>
        <color theme="1"/>
        <rFont val="Calibri"/>
        <family val="2"/>
        <charset val="1"/>
      </rPr>
      <t xml:space="preserve">× VR200 IT capex</t>
    </r>
    <r>
      <rPr>
        <sz val="11"/>
        <color theme="1"/>
        <rFont val="Noto Sans CJK SC"/>
        <family val="2"/>
      </rPr>
      <t xml:space="preserve">（借用持有比，近似）；第一個已知年的存量不計資本支出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</si>
  <si>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；規劃書第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</t>
    </r>
  </si>
  <si>
    <t xml:space="preserve">GL01-09</t>
  </si>
  <si>
    <t xml:space="preserve">Matrix</t>
  </si>
  <si>
    <r>
      <rPr>
        <sz val="11"/>
        <color theme="1"/>
        <rFont val="Noto Sans CJK SC"/>
        <family val="2"/>
      </rPr>
      <t xml:space="preserve">加『未分配』欄，使列和恆等於 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；使用者合計與報導值（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）只作對照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</si>
  <si>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Matrix</t>
    </r>
  </si>
  <si>
    <t xml:space="preserve">GL01-10</t>
  </si>
  <si>
    <t xml:space="preserve">對帳狀態</t>
  </si>
  <si>
    <r>
      <rPr>
        <sz val="11"/>
        <color theme="1"/>
        <rFont val="Noto Sans CJK SC"/>
        <family val="2"/>
      </rPr>
      <t xml:space="preserve">雙方皆 </t>
    </r>
    <r>
      <rPr>
        <sz val="11"/>
        <color theme="1"/>
        <rFont val="Calibri"/>
        <family val="2"/>
        <charset val="1"/>
      </rPr>
      <t xml:space="preserve">Verified </t>
    </r>
    <r>
      <rPr>
        <sz val="11"/>
        <color theme="1"/>
        <rFont val="Noto Sans CJK SC"/>
        <family val="2"/>
      </rPr>
      <t xml:space="preserve">才判『對得上／偏差』，否則『證據不足』並附比值是否在容許帶</t>
    </r>
  </si>
  <si>
    <r>
      <rPr>
        <sz val="11"/>
        <color theme="1"/>
        <rFont val="Noto Sans CJK SC"/>
        <family val="2"/>
      </rPr>
      <t xml:space="preserve">規劃書第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</t>
    </r>
  </si>
  <si>
    <t xml:space="preserve">GL01-13</t>
  </si>
  <si>
    <t xml:space="preserve">園區與合約的取捨</t>
  </si>
  <si>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延伸只用有站點與上線年月的機房／雲容量（</t>
    </r>
    <r>
      <rPr>
        <sz val="11"/>
        <color theme="1"/>
        <rFont val="Calibri"/>
        <family val="2"/>
        <charset val="1"/>
      </rPr>
      <t xml:space="preserve">In T2</t>
    </r>
    <r>
      <rPr>
        <sz val="11"/>
        <color theme="1"/>
        <rFont val="Noto Sans CJK SC"/>
        <family val="2"/>
      </rPr>
      <t xml:space="preserve">）；無站點的合約總量（</t>
    </r>
    <r>
      <rPr>
        <sz val="11"/>
        <color theme="1"/>
        <rFont val="Calibri"/>
        <family val="2"/>
        <charset val="1"/>
      </rPr>
      <t xml:space="preserve">Oracle 4.5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Anthropic–AWS 5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Azure 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 3.5 GW</t>
    </r>
    <r>
      <rPr>
        <sz val="11"/>
        <color theme="1"/>
        <rFont val="Noto Sans CJK SC"/>
        <family val="2"/>
      </rPr>
      <t xml:space="preserve">）只放 </t>
    </r>
    <r>
      <rPr>
        <sz val="11"/>
        <color theme="1"/>
        <rFont val="Calibri"/>
        <family val="2"/>
        <charset val="1"/>
      </rPr>
      <t xml:space="preserve">S4 </t>
    </r>
    <r>
      <rPr>
        <sz val="11"/>
        <color theme="1"/>
        <rFont val="Noto Sans CJK SC"/>
        <family val="2"/>
      </rPr>
      <t xml:space="preserve">對照，避免與站點重複；晶片合約（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）不入，列 </t>
    </r>
    <r>
      <rPr>
        <sz val="11"/>
        <color theme="1"/>
        <rFont val="Calibri"/>
        <family val="2"/>
        <charset val="1"/>
      </rPr>
      <t xml:space="preserve">Requests R4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</si>
  <si>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B_summary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點</t>
    </r>
  </si>
  <si>
    <t xml:space="preserve">GL01-14</t>
  </si>
  <si>
    <t xml:space="preserve">證據取用</t>
  </si>
  <si>
    <r>
      <rPr>
        <sz val="11"/>
        <color theme="1"/>
        <rFont val="Noto Sans CJK SC"/>
        <family val="2"/>
      </rPr>
      <t xml:space="preserve">只用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段判『屬實』或已更正的列；『錯誤』『無法核對』『未抽查』的站點列在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但納入＝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其他新雲估計與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個股模型值例外採用並標明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</si>
  <si>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2</t>
    </r>
  </si>
  <si>
    <t xml:space="preserve">GL01-15</t>
  </si>
  <si>
    <r>
      <rPr>
        <sz val="11"/>
        <color theme="1"/>
        <rFont val="Calibri"/>
        <family val="2"/>
        <charset val="1"/>
      </rPr>
      <t xml:space="preserve">Matrix </t>
    </r>
    <r>
      <rPr>
        <sz val="11"/>
        <color theme="1"/>
        <rFont val="Noto Sans CJK SC"/>
        <family val="2"/>
      </rPr>
      <t xml:space="preserve">分配</t>
    </r>
  </si>
  <si>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每列為營運者 → 使用者的比例或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；無揭露者落在『未分配』：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對外（含 </t>
    </r>
    <r>
      <rPr>
        <sz val="11"/>
        <color theme="1"/>
        <rFont val="Calibri"/>
        <family val="2"/>
        <charset val="1"/>
      </rPr>
      <t xml:space="preserve">OpenAI Fairwater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 Azure </t>
    </r>
    <r>
      <rPr>
        <sz val="11"/>
        <color theme="1"/>
        <rFont val="Noto Sans CJK SC"/>
        <family val="2"/>
      </rPr>
      <t xml:space="preserve">上線量未揭露）、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全部（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未揭露）、</t>
    </r>
    <r>
      <rPr>
        <sz val="11"/>
        <color theme="1"/>
        <rFont val="Calibri"/>
        <family val="2"/>
        <charset val="1"/>
      </rPr>
      <t xml:space="preserve">Oracle 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自用與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B#34 </t>
    </r>
    <r>
      <rPr>
        <sz val="11"/>
        <color theme="1"/>
        <rFont val="Noto Sans CJK SC"/>
        <family val="2"/>
      </rPr>
      <t xml:space="preserve">無法核對）、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、新雲其餘、主權、其他；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（使用者）放『其他』欄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</si>
  <si>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7</t>
    </r>
  </si>
  <si>
    <t xml:space="preserve">GL01-16</t>
  </si>
  <si>
    <r>
      <rPr>
        <sz val="11"/>
        <color theme="1"/>
        <rFont val="Calibri"/>
        <family val="2"/>
        <charset val="1"/>
      </rPr>
      <t xml:space="preserve">Microsoft 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</si>
  <si>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k_chip2it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段方法）；區間下緣放寬為 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k </t>
    </r>
    <r>
      <rPr>
        <sz val="11"/>
        <color theme="1"/>
        <rFont val="Noto Sans CJK SC"/>
        <family val="2"/>
      </rPr>
      <t xml:space="preserve">低</t>
    </r>
    <r>
      <rPr>
        <sz val="11"/>
        <color theme="1"/>
        <rFont val="Calibri"/>
        <family val="2"/>
        <charset val="1"/>
      </rPr>
      <t xml:space="preserve">, Guardian 1.2 GW)</t>
    </r>
  </si>
  <si>
    <t xml:space="preserve">GL01-17</t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</si>
  <si>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階段由種子重建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</si>
  <si>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尚在建置，第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階段輸入改寫種子後重建（不以 </t>
    </r>
    <r>
      <rPr>
        <sz val="11"/>
        <color theme="1"/>
        <rFont val="Calibri"/>
        <family val="2"/>
        <charset val="1"/>
      </rPr>
      <t xml:space="preserve">--base </t>
    </r>
    <r>
      <rPr>
        <sz val="11"/>
        <color theme="1"/>
        <rFont val="Noto Sans CJK SC"/>
        <family val="2"/>
      </rPr>
      <t xml:space="preserve">讀回第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階段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，否則佔位值會覆蓋證據值）；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起恢復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</t>
    </r>
  </si>
  <si>
    <t xml:space="preserve">GL01-19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</si>
  <si>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資本支出推得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</si>
  <si>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曆年資本支出＝財年值依財年結束月拆分（缺值：最早年之前取最早值；最後年之後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cap_g_ext</t>
    </r>
    <r>
      <rPr>
        <sz val="11"/>
        <color theme="1"/>
        <rFont val="Noto Sans CJK SC"/>
        <family val="2"/>
      </rPr>
      <t xml:space="preserve">））；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占比；當年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所需資金＝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IT </t>
    </r>
    <r>
      <rPr>
        <sz val="11"/>
        <color theme="1"/>
        <rFont val="Noto Sans CJK SC"/>
        <family val="2"/>
      </rPr>
      <t xml:space="preserve">占比 ＋ 廠房占比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w0 × </t>
    </r>
    <r>
      <rPr>
        <sz val="11"/>
        <color theme="1"/>
        <rFont val="Noto Sans CJK SC"/>
        <family val="2"/>
      </rPr>
      <t xml:space="preserve">當年＋</t>
    </r>
    <r>
      <rPr>
        <sz val="11"/>
        <color theme="1"/>
        <rFont val="Calibri"/>
        <family val="2"/>
        <charset val="1"/>
      </rPr>
      <t xml:space="preserve">w1 × </t>
    </r>
    <r>
      <rPr>
        <sz val="11"/>
        <color theme="1"/>
        <rFont val="Noto Sans CJK SC"/>
        <family val="2"/>
      </rPr>
      <t xml:space="preserve">前一年＋</t>
    </r>
    <r>
      <rPr>
        <sz val="11"/>
        <color theme="1"/>
        <rFont val="Calibri"/>
        <family val="2"/>
        <charset val="1"/>
      </rPr>
      <t xml:space="preserve">w2 × </t>
    </r>
    <r>
      <rPr>
        <sz val="11"/>
        <color theme="1"/>
        <rFont val="Noto Sans CJK SC"/>
        <family val="2"/>
      </rPr>
      <t xml:space="preserve">前兩年）（建物提前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入帳）；年新增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＝上述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合計資本支出（</t>
    </r>
    <r>
      <rPr>
        <sz val="11"/>
        <color theme="1"/>
        <rFont val="Calibri"/>
        <family val="2"/>
        <charset val="1"/>
      </rPr>
      <t xml:space="preserve">TK IF_CapexTotal </t>
    </r>
    <r>
      <rPr>
        <sz val="11"/>
        <color theme="1"/>
        <rFont val="Noto Sans CJK SC"/>
        <family val="2"/>
      </rPr>
      <t xml:space="preserve">世代加權，</t>
    </r>
    <r>
      <rPr>
        <sz val="11"/>
        <color theme="1"/>
        <rFont val="Calibri"/>
        <family val="2"/>
        <charset val="1"/>
      </rPr>
      <t xml:space="preserve">NonNV × </t>
    </r>
    <r>
      <rPr>
        <sz val="11"/>
        <color theme="1"/>
        <rFont val="Noto Sans CJK SC"/>
        <family val="2"/>
      </rPr>
      <t xml:space="preserve">持有比 </t>
    </r>
    <r>
      <rPr>
        <sz val="11"/>
        <color theme="1"/>
        <rFont val="Calibri"/>
        <family val="2"/>
        <charset val="1"/>
      </rPr>
      <t xml:space="preserve">× VR200</t>
    </r>
    <r>
      <rPr>
        <sz val="11"/>
        <color theme="1"/>
        <rFont val="Noto Sans CJK SC"/>
        <family val="2"/>
      </rPr>
      <t xml:space="preserve">）。主路徑：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七家年新增改用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（差額套用均勻型延遲比例），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g_lt </t>
    </r>
    <r>
      <rPr>
        <sz val="11"/>
        <color theme="1"/>
        <rFont val="Noto Sans CJK SC"/>
        <family val="2"/>
      </rPr>
      <t xml:space="preserve">收斂規則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</si>
  <si>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</t>
    </r>
  </si>
  <si>
    <t xml:space="preserve">GL01-20</t>
  </si>
  <si>
    <t xml:space="preserve">覆蓋率</t>
  </si>
  <si>
    <r>
      <rPr>
        <sz val="11"/>
        <color theme="1"/>
        <rFont val="Calibri"/>
        <family val="2"/>
        <charset val="1"/>
      </rPr>
      <t xml:space="preserve">WIF_Coverage_&lt;yyyy&gt;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MIN(1, </t>
    </r>
    <r>
      <rPr>
        <sz val="11"/>
        <color theme="1"/>
        <rFont val="Noto Sans CJK SC"/>
        <family val="2"/>
      </rPr>
      <t xml:space="preserve">有證據支撐的年新增〔</t>
    </r>
    <r>
      <rPr>
        <sz val="11"/>
        <color theme="1"/>
        <rFont val="Calibri"/>
        <family val="2"/>
        <charset val="1"/>
      </rPr>
      <t xml:space="preserve">SiteOnly </t>
    </r>
    <r>
      <rPr>
        <sz val="11"/>
        <color theme="1"/>
        <rFont val="Noto Sans CJK SC"/>
        <family val="2"/>
      </rPr>
      <t xml:space="preserve">路徑：輸入、晶片、觀測、內插、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園區、中國 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〕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主路徑年新增〔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〕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；主路徑年新增 ≤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時＝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</si>
  <si>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4</t>
    </r>
  </si>
  <si>
    <t xml:space="preserve">GL01-21</t>
  </si>
  <si>
    <t xml:space="preserve">待決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</si>
  <si>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的廠房與租賃</t>
    </r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</si>
  <si>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一律 </t>
    </r>
    <r>
      <rPr>
        <sz val="11"/>
        <color theme="1"/>
        <rFont val="Calibri"/>
        <family val="2"/>
        <charset val="1"/>
      </rPr>
      <t xml:space="preserve">÷ IF_CapexTotal</t>
    </r>
    <r>
      <rPr>
        <sz val="11"/>
        <color theme="1"/>
        <rFont val="Noto Sans CJK SC"/>
        <family val="2"/>
      </rPr>
      <t xml:space="preserve">（含廠房）。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的建物多由房東出資、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融資租賃不在資本支出：這些公司的 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可能低估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（若只 </t>
    </r>
    <r>
      <rPr>
        <sz val="11"/>
        <color theme="1"/>
        <rFont val="Calibri"/>
        <family val="2"/>
        <charset val="1"/>
      </rPr>
      <t xml:space="preserve">÷ IF_CapexIT</t>
    </r>
    <r>
      <rPr>
        <sz val="11"/>
        <color theme="1"/>
        <rFont val="Noto Sans CJK SC"/>
        <family val="2"/>
      </rPr>
      <t xml:space="preserve">，約高 </t>
    </r>
    <r>
      <rPr>
        <sz val="11"/>
        <color theme="1"/>
        <rFont val="Calibri"/>
        <family val="2"/>
        <charset val="1"/>
      </rPr>
      <t xml:space="preserve">1.3 </t>
    </r>
    <r>
      <rPr>
        <sz val="11"/>
        <color theme="1"/>
        <rFont val="Noto Sans CJK SC"/>
        <family val="2"/>
      </rPr>
      <t xml:space="preserve">倍）。是否按公司設定廠房自有比例，待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判斷</t>
    </r>
  </si>
  <si>
    <t xml:space="preserve">工程發現</t>
  </si>
  <si>
    <t xml:space="preserve">GL01-22</t>
  </si>
  <si>
    <t xml:space="preserve">『其他』與中國重複</t>
  </si>
  <si>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可能含中國買家晶片（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）；中國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部分無證據可拆，開關 </t>
    </r>
    <r>
      <rPr>
        <sz val="11"/>
        <color theme="1"/>
        <rFont val="Calibri"/>
        <family val="2"/>
        <charset val="1"/>
      </rPr>
      <t xml:space="preserve">other_incl_china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，『其他』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年底取 </t>
    </r>
    <r>
      <rPr>
        <sz val="11"/>
        <color theme="1"/>
        <rFont val="Calibri"/>
        <family val="2"/>
        <charset val="1"/>
      </rPr>
      <t xml:space="preserve">oth_excn 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0.5–2.0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IT GW [Assumed]</t>
    </r>
    <r>
      <rPr>
        <sz val="11"/>
        <color theme="1"/>
        <rFont val="Noto Sans CJK SC"/>
        <family val="2"/>
      </rPr>
      <t xml:space="preserve">；設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時回到 </t>
    </r>
    <r>
      <rPr>
        <sz val="11"/>
        <color theme="1"/>
        <rFont val="Calibri"/>
        <family val="2"/>
        <charset val="1"/>
      </rPr>
      <t xml:space="preserve">oth_full 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1.5–2.5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</si>
  <si>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獨立核對第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4</t>
    </r>
  </si>
  <si>
    <t xml:space="preserve">GL01-23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</si>
  <si>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缺值年份</t>
    </r>
  </si>
  <si>
    <r>
      <rPr>
        <sz val="11"/>
        <color theme="1"/>
        <rFont val="Noto Sans CJK SC"/>
        <family val="2"/>
      </rPr>
      <t xml:space="preserve">資本支出最早已知年之前不回填：曆年資本支出所需財年值缺漏即留空，該年 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跳過（主路徑改用 甲）。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實際：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FY2024–25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AMZN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事實總帳補入；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未有，留空</t>
    </r>
  </si>
  <si>
    <r>
      <rPr>
        <sz val="11"/>
        <color theme="1"/>
        <rFont val="Noto Sans CJK SC"/>
        <family val="2"/>
      </rPr>
      <t xml:space="preserve">獨立核對第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3</t>
    </r>
  </si>
  <si>
    <t xml:space="preserve">GL01-24</t>
  </si>
  <si>
    <t xml:space="preserve">修正</t>
  </si>
  <si>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已知延遲月空白</t>
    </r>
  </si>
  <si>
    <r>
      <rPr>
        <sz val="11"/>
        <color theme="1"/>
        <rFont val="Calibri"/>
        <family val="2"/>
        <charset val="1"/>
      </rPr>
      <t xml:space="preserve">Pipeline J </t>
    </r>
    <r>
      <rPr>
        <sz val="11"/>
        <color theme="1"/>
        <rFont val="Noto Sans CJK SC"/>
        <family val="2"/>
      </rPr>
      <t xml:space="preserve">欄改 </t>
    </r>
    <r>
      <rPr>
        <sz val="11"/>
        <color theme="1"/>
        <rFont val="Calibri"/>
        <family val="2"/>
        <charset val="1"/>
      </rPr>
      <t xml:space="preserve">=N(In!M…)</t>
    </r>
    <r>
      <rPr>
        <sz val="11"/>
        <color theme="1"/>
        <rFont val="Noto Sans CJK SC"/>
        <family val="2"/>
      </rPr>
      <t xml:space="preserve">；原公式空白回傳文字 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SUMPRODUCT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(J&gt;0) </t>
    </r>
    <r>
      <rPr>
        <sz val="11"/>
        <color theme="1"/>
        <rFont val="Noto Sans CJK SC"/>
        <family val="2"/>
      </rPr>
      <t xml:space="preserve">判為 </t>
    </r>
    <r>
      <rPr>
        <sz val="11"/>
        <color theme="1"/>
        <rFont val="Calibri"/>
        <family val="2"/>
        <charset val="1"/>
      </rPr>
      <t xml:space="preserve">TRUE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園區延遲從未套用（獨立核對第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Checks K18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園區延遲 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&gt; 0</t>
    </r>
  </si>
  <si>
    <r>
      <rPr>
        <sz val="11"/>
        <color theme="1"/>
        <rFont val="Noto Sans CJK SC"/>
        <family val="2"/>
      </rPr>
      <t xml:space="preserve">獨立核對 </t>
    </r>
    <r>
      <rPr>
        <sz val="11"/>
        <color theme="1"/>
        <rFont val="Calibri"/>
        <family val="2"/>
        <charset val="1"/>
      </rPr>
      <t xml:space="preserve">/tmp/claude-0/gw_review_excel.md</t>
    </r>
  </si>
  <si>
    <t xml:space="preserve">GL11-01</t>
  </si>
  <si>
    <t xml:space="preserve">改名</t>
  </si>
  <si>
    <r>
      <rPr>
        <sz val="11"/>
        <color theme="1"/>
        <rFont val="Calibri"/>
        <family val="2"/>
        <charset val="1"/>
      </rPr>
      <t xml:space="preserve">gwledger → wattonomics</t>
    </r>
    <r>
      <rPr>
        <sz val="11"/>
        <color theme="1"/>
        <rFont val="Noto Sans CJK SC"/>
        <family val="2"/>
      </rPr>
      <t xml:space="preserve">（瓦帳）；具名範圍 </t>
    </r>
    <r>
      <rPr>
        <sz val="11"/>
        <color theme="1"/>
        <rFont val="Calibri"/>
        <family val="2"/>
        <charset val="1"/>
      </rPr>
      <t xml:space="preserve">GIF_ → WIF_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GGOV_ → WGOV_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檔名 </t>
    </r>
    <r>
      <rPr>
        <sz val="11"/>
        <color theme="1"/>
        <rFont val="Calibri"/>
        <family val="2"/>
        <charset val="1"/>
      </rPr>
      <t xml:space="preserve">YYYYMMDD_Wattonomics_vX.Y.xlsx</t>
    </r>
    <r>
      <rPr>
        <sz val="11"/>
        <color theme="1"/>
        <rFont val="Noto Sans CJK SC"/>
        <family val="2"/>
      </rPr>
      <t xml:space="preserve">；快照 </t>
    </r>
    <r>
      <rPr>
        <sz val="11"/>
        <color theme="1"/>
        <rFont val="Calibri"/>
        <family val="2"/>
        <charset val="1"/>
      </rPr>
      <t xml:space="preserve">wattonomics_snapshot_v*.json</t>
    </r>
    <r>
      <rPr>
        <sz val="11"/>
        <color theme="1"/>
        <rFont val="Noto Sans CJK SC"/>
        <family val="2"/>
      </rPr>
      <t xml:space="preserve">；舊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檔移 </t>
    </r>
    <r>
      <rPr>
        <sz val="11"/>
        <color theme="1"/>
        <rFont val="Calibri"/>
        <family val="2"/>
        <charset val="1"/>
      </rPr>
      <t xml:space="preserve">model/archive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data/archive</t>
    </r>
  </si>
  <si>
    <r>
      <rPr>
        <sz val="11"/>
        <color theme="1"/>
        <rFont val="Calibri"/>
        <family val="2"/>
        <charset val="1"/>
      </rPr>
      <t xml:space="preserve">Andy 10-28 14:07 </t>
    </r>
    <r>
      <rPr>
        <sz val="11"/>
        <color theme="1"/>
        <rFont val="Noto Sans CJK SC"/>
        <family val="2"/>
      </rPr>
      <t xml:space="preserve">同意</t>
    </r>
  </si>
  <si>
    <t xml:space="preserve">GL11-02</t>
  </si>
  <si>
    <t xml:space="preserve">資金來源比例（支付順序）</t>
  </si>
  <si>
    <r>
      <rPr>
        <sz val="11"/>
        <color theme="1"/>
        <rFont val="Noto Sans CJK SC"/>
        <family val="2"/>
      </rPr>
      <t xml:space="preserve">分母＝資本支出（有含融資租賃口徑者取之，否則現金口徑）；依序：內部現金＝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營運現金流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現金資本支出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；融資租賃；股權＝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股權募資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餘額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；債＝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債＋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債＋定期貸款＋私募信貸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餘額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；其餘＝現金水位或未揭露。</t>
    </r>
    <r>
      <rPr>
        <sz val="11"/>
        <color theme="1"/>
        <rFont val="Calibri"/>
        <family val="2"/>
        <charset val="1"/>
      </rPr>
      <t xml:space="preserve">CoreWeave 2025 </t>
    </r>
    <r>
      <rPr>
        <sz val="11"/>
        <color theme="1"/>
        <rFont val="Noto Sans CJK SC"/>
        <family val="2"/>
      </rPr>
      <t xml:space="preserve">債約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（殘差），</t>
    </r>
    <r>
      <rPr>
        <sz val="11"/>
        <color theme="1"/>
        <rFont val="Calibri"/>
        <family val="2"/>
        <charset val="1"/>
      </rPr>
      <t xml:space="preserve">IPO 14.5%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§4</t>
    </r>
    <r>
      <rPr>
        <sz val="11"/>
        <color theme="1"/>
        <rFont val="Noto Sans CJK SC"/>
        <family val="2"/>
      </rPr>
      <t xml:space="preserve">）。另列『外部融資組成』（債／股／租賃占當期外部募資）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</si>
  <si>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指示 </t>
    </r>
    <r>
      <rPr>
        <sz val="11"/>
        <color theme="1"/>
        <rFont val="Calibri"/>
        <family val="2"/>
        <charset val="1"/>
      </rPr>
      <t xml:space="preserve">2</t>
    </r>
  </si>
  <si>
    <t xml:space="preserve">GL11-03</t>
  </si>
  <si>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期間與重複</t>
    </r>
  </si>
  <si>
    <r>
      <rPr>
        <sz val="11"/>
        <color theme="1"/>
        <rFont val="Noto Sans CJK SC"/>
        <family val="2"/>
      </rPr>
      <t xml:space="preserve">每家 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（最新期：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ORCL 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2026H1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9M2026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Anthropic 2026 </t>
    </r>
    <r>
      <rPr>
        <sz val="11"/>
        <color theme="1"/>
        <rFont val="Noto Sans CJK SC"/>
        <family val="2"/>
      </rPr>
      <t xml:space="preserve">迄今）；期後事件與指引另列，不進比例。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：過橋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為再融資、不與債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重複；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段資本支出 </t>
    </r>
    <r>
      <rPr>
        <sz val="11"/>
        <color theme="1"/>
        <rFont val="Calibri"/>
        <family val="2"/>
        <charset val="1"/>
      </rPr>
      <t xml:space="preserve">12.7 </t>
    </r>
    <r>
      <rPr>
        <sz val="11"/>
        <color theme="1"/>
        <rFont val="Noto Sans CJK SC"/>
        <family val="2"/>
      </rPr>
      <t xml:space="preserve">不與合併 </t>
    </r>
    <r>
      <rPr>
        <sz val="11"/>
        <color theme="1"/>
        <rFont val="Calibri"/>
        <family val="2"/>
        <charset val="1"/>
      </rPr>
      <t xml:space="preserve">20.7 </t>
    </r>
    <r>
      <rPr>
        <sz val="11"/>
        <color theme="1"/>
        <rFont val="Noto Sans CJK SC"/>
        <family val="2"/>
      </rPr>
      <t xml:space="preserve">重複。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SPV 35 </t>
    </r>
    <r>
      <rPr>
        <sz val="11"/>
        <color theme="1"/>
        <rFont val="Noto Sans CJK SC"/>
        <family val="2"/>
      </rPr>
      <t xml:space="preserve">已完成、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洽談中分列。存量（尚未起租、承諾、合資曝險、淨負債水位）不進比例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</si>
  <si>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§4</t>
    </r>
  </si>
  <si>
    <t xml:space="preserve">GL11-04</t>
  </si>
  <si>
    <r>
      <rPr>
        <sz val="11"/>
        <color theme="1"/>
        <rFont val="Calibri"/>
        <family val="2"/>
        <charset val="1"/>
      </rPr>
      <t xml:space="preserve">Facility genset </t>
    </r>
    <r>
      <rPr>
        <sz val="11"/>
        <color theme="1"/>
        <rFont val="Noto Sans CJK SC"/>
        <family val="2"/>
      </rPr>
      <t xml:space="preserve">調整</t>
    </r>
  </si>
  <si>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1.6 × 1.0 $M/MW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1.60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1.40</t>
    </r>
    <r>
      <rPr>
        <sz val="11"/>
        <color theme="1"/>
        <rFont val="Noto Sans CJK SC"/>
        <family val="2"/>
      </rPr>
      <t xml:space="preserve">），差額 </t>
    </r>
    <r>
      <rPr>
        <sz val="11"/>
        <color theme="1"/>
        <rFont val="Calibri"/>
        <family val="2"/>
        <charset val="1"/>
      </rPr>
      <t xml:space="preserve">0.20 </t>
    </r>
    <r>
      <rPr>
        <sz val="11"/>
        <color theme="1"/>
        <rFont val="Noto Sans CJK SC"/>
        <family val="2"/>
      </rPr>
      <t xml:space="preserve">從『其他專業服務』扣（</t>
    </r>
    <r>
      <rPr>
        <sz val="11"/>
        <color theme="1"/>
        <rFont val="Calibri"/>
        <family val="2"/>
        <charset val="1"/>
      </rPr>
      <t xml:space="preserve">0.90 → 0.70</t>
    </r>
    <r>
      <rPr>
        <sz val="11"/>
        <color theme="1"/>
        <rFont val="Noto Sans CJK SC"/>
        <family val="2"/>
      </rPr>
      <t xml:space="preserve">），使拆分合計仍＝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；殘差列『其他／未拆』＝</t>
    </r>
    <r>
      <rPr>
        <sz val="11"/>
        <color theme="1"/>
        <rFont val="Calibri"/>
        <family val="2"/>
        <charset val="1"/>
      </rPr>
      <t xml:space="preserve">TK − Σ </t>
    </r>
    <r>
      <rPr>
        <sz val="11"/>
        <color theme="1"/>
        <rFont val="Noto Sans CJK SC"/>
        <family val="2"/>
      </rPr>
      <t xml:space="preserve">各項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</si>
  <si>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P28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§5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4</t>
    </r>
  </si>
  <si>
    <t xml:space="preserve">GL11-05</t>
  </si>
  <si>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拆分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</si>
  <si>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(1 −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</t>
    </r>
    <r>
      <rPr>
        <sz val="11"/>
        <color theme="1"/>
        <rFont val="Calibri"/>
        <family val="2"/>
        <charset val="1"/>
      </rPr>
      <t xml:space="preserve">) × NVIDIA </t>
    </r>
    <r>
      <rPr>
        <sz val="11"/>
        <color theme="1"/>
        <rFont val="Noto Sans CJK SC"/>
        <family val="2"/>
      </rPr>
      <t xml:space="preserve">世代加權 </t>
    </r>
    <r>
      <rPr>
        <sz val="11"/>
        <color theme="1"/>
        <rFont val="Calibri"/>
        <family val="2"/>
        <charset val="1"/>
      </rPr>
      <t xml:space="preserve">IF_CapexIT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× spend_nnv_hold × VR200 IF_CapexIT</t>
    </r>
    <r>
      <rPr>
        <sz val="11"/>
        <color theme="1"/>
        <rFont val="Noto Sans CJK SC"/>
        <family val="2"/>
      </rPr>
      <t xml:space="preserve">；再依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次產業『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  <r>
      <rPr>
        <sz val="11"/>
        <color theme="1"/>
        <rFont val="Noto Sans CJK SC"/>
        <family val="2"/>
      </rPr>
      <t xml:space="preserve">』比例（</t>
    </r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，合計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）拆成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項。比例為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平台橋接表，套到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為近似。新增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取主路徑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年新增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</si>
  <si>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指示 </t>
    </r>
    <r>
      <rPr>
        <sz val="11"/>
        <color theme="1"/>
        <rFont val="Calibri"/>
        <family val="2"/>
        <charset val="1"/>
      </rPr>
      <t xml:space="preserve">5</t>
    </r>
  </si>
  <si>
    <t xml:space="preserve">GL01-11</t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</si>
  <si>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</si>
  <si>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TK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數換成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RU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））；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不計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</si>
  <si>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</t>
    </r>
  </si>
  <si>
    <t xml:space="preserve">GL01-12</t>
  </si>
  <si>
    <r>
      <rPr>
        <sz val="11"/>
        <color theme="1"/>
        <rFont val="Noto Sans CJK SC"/>
        <family val="2"/>
      </rPr>
      <t xml:space="preserve">延遲參數 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2023–25 NonNV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</si>
  <si>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Noto Sans CJK SC"/>
        <family val="2"/>
      </rPr>
      <t xml:space="preserve">佔位值（</t>
    </r>
    <r>
      <rPr>
        <sz val="11"/>
        <color theme="1"/>
        <rFont val="Calibri"/>
        <family val="2"/>
        <charset val="1"/>
      </rPr>
      <t xml:space="preserve">In S1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Y6 nnv_mkt</t>
    </r>
    <r>
      <rPr>
        <sz val="11"/>
        <color theme="1"/>
        <rFont val="Noto Sans CJK SC"/>
        <family val="2"/>
      </rPr>
      <t xml:space="preserve">）；待 </t>
    </r>
    <r>
      <rPr>
        <sz val="11"/>
        <color theme="1"/>
        <rFont val="Calibri"/>
        <family val="2"/>
        <charset val="1"/>
      </rPr>
      <t xml:space="preserve">B_delay.csv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判斷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</si>
  <si>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端建置指示</t>
    </r>
  </si>
  <si>
    <r>
      <rPr>
        <sz val="11"/>
        <color theme="1"/>
        <rFont val="Calibri"/>
        <family val="2"/>
        <charset val="1"/>
      </rPr>
      <t xml:space="preserve">DB_Evidence — </t>
    </r>
    <r>
      <rPr>
        <sz val="11"/>
        <color theme="1"/>
        <rFont val="Noto Sans CJK SC"/>
        <family val="2"/>
      </rPr>
      <t xml:space="preserve">證據登錄（</t>
    </r>
    <r>
      <rPr>
        <sz val="11"/>
        <color theme="1"/>
        <rFont val="Calibri"/>
        <family val="2"/>
        <charset val="1"/>
      </rPr>
      <t xml:space="preserve">wattonomics/evidence_raw/*.csv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端複核後整理入本頁；含不採納者）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</si>
  <si>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tools/import_evidence.py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產生；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段判定以 </t>
    </r>
    <r>
      <rPr>
        <sz val="11"/>
        <color theme="1"/>
        <rFont val="Calibri"/>
        <family val="2"/>
        <charset val="1"/>
      </rPr>
      <t xml:space="preserve">C_review.md </t>
    </r>
    <r>
      <rPr>
        <sz val="11"/>
        <color theme="1"/>
        <rFont val="Noto Sans CJK SC"/>
        <family val="2"/>
      </rPr>
      <t xml:space="preserve">為準。只有『屬實』與『小誤（已更正）』可入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；『錯誤』『無法核對』『未抽查』只列於此（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納入＝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或只作說明）。對應鍵＝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頁說明欄引用本列的鍵</t>
    </r>
  </si>
  <si>
    <t xml:space="preserve">玩家／範圍</t>
  </si>
  <si>
    <t xml:space="preserve">主張（摘要）</t>
  </si>
  <si>
    <t xml:space="preserve">as_of</t>
  </si>
  <si>
    <t xml:space="preserve">標記（原檔）</t>
  </si>
  <si>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段判定</t>
    </r>
  </si>
  <si>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段說明／更正</t>
    </r>
  </si>
  <si>
    <r>
      <rPr>
        <b val="true"/>
        <sz val="11"/>
        <rFont val="Noto Sans CJK SC"/>
        <family val="2"/>
      </rPr>
      <t xml:space="preserve">對應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鍵</t>
    </r>
  </si>
  <si>
    <t xml:space="preserve">A#2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</si>
  <si>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新增產能（全部負載）｜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</si>
  <si>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（下限，年增量）</t>
    </r>
  </si>
  <si>
    <t xml:space="preserve">unknown</t>
  </si>
  <si>
    <t xml:space="preserve">https://www.microsoft.com/en-us/investor/events/fy-2025/earnings-fy-2025-q4</t>
  </si>
  <si>
    <t xml:space="preserve">A#3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</si>
  <si>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FY26Q2 </t>
    </r>
    <r>
      <rPr>
        <sz val="11"/>
        <color theme="1"/>
        <rFont val="Noto Sans CJK SC"/>
        <family val="2"/>
      </rPr>
      <t xml:space="preserve">當季新增產能｜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</si>
  <si>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（約，季增量）</t>
    </r>
  </si>
  <si>
    <t xml:space="preserve">FY26Q2</t>
  </si>
  <si>
    <t xml:space="preserve">https://www.microsoft.com/en-us/investor/events/fy-2026/earnings-fy-2026-q2</t>
  </si>
  <si>
    <t xml:space="preserve">A#4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</si>
  <si>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FY26Q3 </t>
    </r>
    <r>
      <rPr>
        <sz val="11"/>
        <color theme="1"/>
        <rFont val="Noto Sans CJK SC"/>
        <family val="2"/>
      </rPr>
      <t xml:space="preserve">當季新增產能｜</t>
    </r>
    <r>
      <rPr>
        <sz val="11"/>
        <color theme="1"/>
        <rFont val="Calibri"/>
        <family val="2"/>
        <charset val="1"/>
      </rPr>
      <t xml:space="preserve">online</t>
    </r>
  </si>
  <si>
    <t xml:space="preserve">FY26Q3</t>
  </si>
  <si>
    <t xml:space="preserve">https://www.microsoft.com/en-us/investor/events/fy-2026/earnings-fy-2026-q3</t>
  </si>
  <si>
    <t xml:space="preserve">A#5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</si>
  <si>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FY26Q4 </t>
    </r>
    <r>
      <rPr>
        <sz val="11"/>
        <color theme="1"/>
        <rFont val="Noto Sans CJK SC"/>
        <family val="2"/>
      </rPr>
      <t xml:space="preserve">當季新增產能｜</t>
    </r>
    <r>
      <rPr>
        <sz val="11"/>
        <color theme="1"/>
        <rFont val="Calibri"/>
        <family val="2"/>
        <charset val="1"/>
      </rPr>
      <t xml:space="preserve">online</t>
    </r>
  </si>
  <si>
    <t xml:space="preserve">FY26Q4</t>
  </si>
  <si>
    <t xml:space="preserve">https://www.microsoft.com/en-us/investor/events/fy-2026/earnings-fy-2026-q4</t>
  </si>
  <si>
    <t xml:space="preserve">A#6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</si>
  <si>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FY26Q4 </t>
    </r>
    <r>
      <rPr>
        <sz val="11"/>
        <color theme="1"/>
        <rFont val="Noto Sans CJK SC"/>
        <family val="2"/>
      </rPr>
      <t xml:space="preserve">法說：兩年容量翻倍｜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</si>
  <si>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倍（約 </t>
    </r>
    <r>
      <rPr>
        <sz val="11"/>
        <color theme="1"/>
        <rFont val="Calibri"/>
        <family val="2"/>
        <charset val="1"/>
      </rPr>
      <t xml:space="preserve">FY26→FY28</t>
    </r>
    <r>
      <rPr>
        <sz val="11"/>
        <color theme="1"/>
        <rFont val="Noto Sans CJK SC"/>
        <family val="2"/>
      </rPr>
      <t xml:space="preserve">）</t>
    </r>
  </si>
  <si>
    <t xml:space="preserve">2026-07-29</t>
  </si>
  <si>
    <t xml:space="preserve">https://www.marketbeat.com/instant-alerts/microsoft-q4-earnings-call-highlights-2026-07-29/</t>
  </si>
  <si>
    <t xml:space="preserve">A#7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</si>
  <si>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｜全公司自有＋租賃總容量（不含 </t>
    </r>
    <r>
      <rPr>
        <sz val="11"/>
        <color theme="1"/>
        <rFont val="Calibri"/>
        <family val="2"/>
        <charset val="1"/>
      </rPr>
      <t xml:space="preserve">neocloud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</si>
  <si>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12000 MW</t>
    </r>
    <r>
      <rPr>
        <sz val="11"/>
        <color theme="1"/>
        <rFont val="Noto Sans CJK SC"/>
        <family val="2"/>
      </rPr>
      <t xml:space="preserve">（約）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</si>
  <si>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：措辭；原文無『知情人士』『全部負載』</t>
    </r>
  </si>
  <si>
    <t xml:space="preserve">https://aiweekly.co/alerts/microsoft-plans-to-grow-data-center-capacity-from-12gw-to-38gw-by-2032-a-third</t>
  </si>
  <si>
    <t xml:space="preserve">A#8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</si>
  <si>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容量目標｜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</si>
  <si>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38000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&gt;38 GW</t>
    </r>
    <r>
      <rPr>
        <sz val="11"/>
        <color theme="1"/>
        <rFont val="Noto Sans CJK SC"/>
        <family val="2"/>
      </rPr>
      <t xml:space="preserve">）</t>
    </r>
  </si>
  <si>
    <t xml:space="preserve">A#9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</si>
  <si>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｜全公司已安裝容量（賣方估）｜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</si>
  <si>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5000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，約）</t>
    </r>
  </si>
  <si>
    <t xml:space="preserve">2024-06-30</t>
  </si>
  <si>
    <t xml:space="preserve">https://finance.yahoo.com/markets/stocks/articles/morgan-stanley-resets-microsoft-stock-231700522.html</t>
  </si>
  <si>
    <t xml:space="preserve">A#10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</si>
  <si>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</si>
  <si>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861.5 MW</t>
    </r>
    <r>
      <rPr>
        <sz val="11"/>
        <color theme="1"/>
        <rFont val="Noto Sans CJK SC"/>
        <family val="2"/>
      </rPr>
      <t xml:space="preserve">（晶片功耗）</t>
    </r>
  </si>
  <si>
    <t xml:space="preserve">2024Q4</t>
  </si>
  <si>
    <t xml:space="preserve">[Analogy]</t>
  </si>
  <si>
    <t xml:space="preserve">https://epoch.ai/data/ai_chip_owners_cumulative_by_designer.csv</t>
  </si>
  <si>
    <t xml:space="preserve">A#11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</si>
  <si>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</si>
  <si>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2015.7 MW</t>
    </r>
    <r>
      <rPr>
        <sz val="11"/>
        <color theme="1"/>
        <rFont val="Noto Sans CJK SC"/>
        <family val="2"/>
      </rPr>
      <t xml:space="preserve">（晶片功耗）</t>
    </r>
  </si>
  <si>
    <t xml:space="preserve">2025Q4</t>
  </si>
  <si>
    <t xml:space="preserve">A#12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</si>
  <si>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2026Q1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</si>
  <si>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1955.22 MW</t>
    </r>
    <r>
      <rPr>
        <sz val="11"/>
        <color theme="1"/>
        <rFont val="Noto Sans CJK SC"/>
        <family val="2"/>
      </rPr>
      <t xml:space="preserve">（晶片功耗）</t>
    </r>
  </si>
  <si>
    <t xml:space="preserve">A#13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</si>
  <si>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｜自有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在役（不含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租用）｜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</si>
  <si>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4500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3,500–5,500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</si>
  <si>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引用（見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說明：值另有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來源，或為更正／排除註記）</t>
    </r>
  </si>
  <si>
    <t xml:space="preserve">/root/company-models/microsoft/data/microsoft_facts_20261008.json</t>
  </si>
  <si>
    <t xml:space="preserve">A#14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</si>
  <si>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</si>
  <si>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1100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800–1,500</t>
    </r>
    <r>
      <rPr>
        <sz val="11"/>
        <color theme="1"/>
        <rFont val="Noto Sans CJK SC"/>
        <family val="2"/>
      </rPr>
      <t xml:space="preserve">）</t>
    </r>
  </si>
  <si>
    <t xml:space="preserve">A#15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</si>
  <si>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Atlanta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</si>
  <si>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636 MW-IT</t>
  </si>
  <si>
    <t xml:space="preserve">2026-06-14</t>
  </si>
  <si>
    <t xml:space="preserve">https://epoch.ai/data/ai-data-centers/directory/microsoft-fairwater-atlanta</t>
  </si>
  <si>
    <t xml:space="preserve">A#16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</si>
  <si>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Wisconsin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Mount Pleasant</t>
    </r>
    <r>
      <rPr>
        <sz val="11"/>
        <color theme="1"/>
        <rFont val="Noto Sans CJK SC"/>
        <family val="2"/>
      </rPr>
      <t xml:space="preserve">）一期｜</t>
    </r>
    <r>
      <rPr>
        <sz val="11"/>
        <color theme="1"/>
        <rFont val="Calibri"/>
        <family val="2"/>
        <charset val="1"/>
      </rPr>
      <t xml:space="preserve">online</t>
    </r>
  </si>
  <si>
    <t xml:space="preserve">369 MW-IT</t>
  </si>
  <si>
    <t xml:space="preserve">2026-10-05</t>
  </si>
  <si>
    <t xml:space="preserve">as_of 2026-05-15</t>
  </si>
  <si>
    <t xml:space="preserve">https://epoch.ai/data/ai-data-centers/directory/microsoft-fairwater-wisconsin</t>
  </si>
  <si>
    <t xml:space="preserve">A#17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</si>
  <si>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Wisconsin </t>
    </r>
    <r>
      <rPr>
        <sz val="11"/>
        <color theme="1"/>
        <rFont val="Noto Sans CJK SC"/>
        <family val="2"/>
      </rPr>
      <t xml:space="preserve">全園區｜</t>
    </r>
    <r>
      <rPr>
        <sz val="11"/>
        <color theme="1"/>
        <rFont val="Calibri"/>
        <family val="2"/>
        <charset val="1"/>
      </rPr>
      <t xml:space="preserve">planned</t>
    </r>
  </si>
  <si>
    <t xml:space="preserve">2263 MW-IT</t>
  </si>
  <si>
    <t xml:space="preserve">A#18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</si>
  <si>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Abilene,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鄰近園區）｜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</si>
  <si>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700 MW</t>
  </si>
  <si>
    <t xml:space="preserve">2026-03-30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</si>
  <si>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value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900 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現場發電廠容量；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 </t>
    </r>
    <r>
      <rPr>
        <sz val="11"/>
        <color theme="1"/>
        <rFont val="Calibri"/>
        <family val="2"/>
        <charset val="1"/>
      </rPr>
      <t xml:space="preserve">700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Excel In!J189 cp_msft_abl 900→700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段判屬實有誤；以原文為準</t>
    </r>
  </si>
  <si>
    <t xml:space="preserve">https://w.media/microsoft-to-add-900-mw-to-ai-campus-in-abilene-texas/</t>
  </si>
  <si>
    <t xml:space="preserve">A#19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</si>
  <si>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的算力承諾｜</t>
    </r>
    <r>
      <rPr>
        <sz val="11"/>
        <color theme="1"/>
        <rFont val="Calibri"/>
        <family val="2"/>
        <charset val="1"/>
      </rPr>
      <t xml:space="preserve">option</t>
    </r>
    <r>
      <rPr>
        <sz val="11"/>
        <color theme="1"/>
        <rFont val="Noto Sans CJK SC"/>
        <family val="2"/>
      </rPr>
      <t xml:space="preserve">（上限）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</si>
  <si>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$30B Azure </t>
    </r>
    <r>
      <rPr>
        <sz val="11"/>
        <color theme="1"/>
        <rFont val="Noto Sans CJK SC"/>
        <family val="2"/>
      </rPr>
      <t xml:space="preserve">之外的額外承諾，上限 </t>
    </r>
    <r>
      <rPr>
        <sz val="11"/>
        <color theme="1"/>
        <rFont val="Calibri"/>
        <family val="2"/>
        <charset val="1"/>
      </rPr>
      <t xml:space="preserve">up to 1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$30B </t>
    </r>
    <r>
      <rPr>
        <sz val="11"/>
        <color theme="1"/>
        <rFont val="Noto Sans CJK SC"/>
        <family val="2"/>
      </rPr>
      <t xml:space="preserve">對應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未揭露）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</si>
  <si>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段更正（取代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段『全案上限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』）：</t>
    </r>
    <r>
      <rPr>
        <sz val="11"/>
        <color theme="1"/>
        <rFont val="Calibri"/>
        <family val="2"/>
        <charset val="1"/>
      </rPr>
      <t xml:space="preserve">$30B Azure </t>
    </r>
    <r>
      <rPr>
        <sz val="11"/>
        <color theme="1"/>
        <rFont val="Noto Sans CJK SC"/>
        <family val="2"/>
      </rPr>
      <t xml:space="preserve">確定採購（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未揭露）＋額外至多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（上限）；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unit</t>
    </r>
    <r>
      <rPr>
        <sz val="11"/>
        <color theme="1"/>
        <rFont val="Noto Sans CJK SC"/>
        <family val="2"/>
      </rPr>
      <t xml:space="preserve">：原文 </t>
    </r>
    <r>
      <rPr>
        <sz val="11"/>
        <color theme="1"/>
        <rFont val="Calibri"/>
        <family val="2"/>
        <charset val="1"/>
      </rPr>
      <t xml:space="preserve">'and to contract additional compute capacity up to one gigawatt'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段『全案上限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』有誤；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為上限承諾，非確定量；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：一手頁可讀</t>
    </r>
  </si>
  <si>
    <t xml:space="preserve">https://computeprices.com/deals/anthropic-microsoft-azure-2025-11</t>
  </si>
  <si>
    <t xml:space="preserve">A#20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</si>
  <si>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承諾｜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</si>
  <si>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（未揭露）</t>
    </r>
  </si>
  <si>
    <t xml:space="preserve">https://www.sec.gov/Archives/edgar/data/789019/000119312525256321/msft-20250930.htm</t>
  </si>
  <si>
    <t xml:space="preserve">A#21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</si>
  <si>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資本支出預期｜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</si>
  <si>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175 US$B</t>
    </r>
    <r>
      <rPr>
        <sz val="11"/>
        <color theme="1"/>
        <rFont val="Noto Sans CJK SC"/>
        <family val="2"/>
      </rPr>
      <t xml:space="preserve">（約；租賃改分類後）</t>
    </r>
  </si>
  <si>
    <r>
      <rPr>
        <sz val="11"/>
        <color theme="1"/>
        <rFont val="Noto Sans CJK SC"/>
        <family val="2"/>
      </rPr>
      <t xml:space="preserve">差額原因另含耐用年限 </t>
    </r>
    <r>
      <rPr>
        <sz val="11"/>
        <color theme="1"/>
        <rFont val="Calibri"/>
        <family val="2"/>
        <charset val="1"/>
      </rPr>
      <t xml:space="preserve">15→25 </t>
    </r>
    <r>
      <rPr>
        <sz val="11"/>
        <color theme="1"/>
        <rFont val="Noto Sans CJK SC"/>
        <family val="2"/>
      </rPr>
      <t xml:space="preserve">年</t>
    </r>
  </si>
  <si>
    <t xml:space="preserve">https://www.cfodive.com/news/microsoft-holds-line-ai-spending-plans/826648/</t>
  </si>
  <si>
    <t xml:space="preserve">A#22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</si>
  <si>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法說｜</t>
    </r>
    <r>
      <rPr>
        <sz val="11"/>
        <color theme="1"/>
        <rFont val="Calibri"/>
        <family val="2"/>
        <charset val="1"/>
      </rPr>
      <t xml:space="preserve">capex</t>
    </r>
  </si>
  <si>
    <t xml:space="preserve">[Assumed]</t>
  </si>
  <si>
    <t xml:space="preserve">https://finviz.com/news/400058/microsoft-announces-quarterly-earnings-release-date</t>
  </si>
  <si>
    <t xml:space="preserve">A#23</t>
  </si>
  <si>
    <t xml:space="preserve">Alphabet/Google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</si>
  <si>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</si>
  <si>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1298.3 MW</t>
    </r>
    <r>
      <rPr>
        <sz val="11"/>
        <color theme="1"/>
        <rFont val="Noto Sans CJK SC"/>
        <family val="2"/>
      </rPr>
      <t xml:space="preserve">（晶片功耗）</t>
    </r>
  </si>
  <si>
    <t xml:space="preserve">A#24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</si>
  <si>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</si>
  <si>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2953.2 MW</t>
    </r>
    <r>
      <rPr>
        <sz val="11"/>
        <color theme="1"/>
        <rFont val="Noto Sans CJK SC"/>
        <family val="2"/>
      </rPr>
      <t xml:space="preserve">（晶片功耗）</t>
    </r>
  </si>
  <si>
    <t xml:space="preserve">A#25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</si>
  <si>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AI </t>
    </r>
    <r>
      <rPr>
        <sz val="11"/>
        <color theme="1"/>
        <rFont val="Noto Sans CJK SC"/>
        <family val="2"/>
      </rPr>
      <t xml:space="preserve">在役（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×1.4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</si>
  <si>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4873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4,134–5,611</t>
    </r>
    <r>
      <rPr>
        <sz val="11"/>
        <color theme="1"/>
        <rFont val="Noto Sans CJK SC"/>
        <family val="2"/>
      </rPr>
      <t xml:space="preserve">）</t>
    </r>
  </si>
  <si>
    <t xml:space="preserve">/root/company-models/alphabet/data/alphabet_facts_20261008.json</t>
  </si>
  <si>
    <t xml:space="preserve">A#26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</si>
  <si>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AI </t>
    </r>
    <r>
      <rPr>
        <sz val="11"/>
        <color theme="1"/>
        <rFont val="Noto Sans CJK SC"/>
        <family val="2"/>
      </rPr>
      <t xml:space="preserve">在役（期初）｜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</si>
  <si>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6337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5,012–7,891</t>
    </r>
    <r>
      <rPr>
        <sz val="11"/>
        <color theme="1"/>
        <rFont val="Noto Sans CJK SC"/>
        <family val="2"/>
      </rPr>
      <t xml:space="preserve">）</t>
    </r>
  </si>
  <si>
    <t xml:space="preserve">A#27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</si>
  <si>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｜全公司資料中心平均負載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（全部負載）｜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</si>
  <si>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4840 MW</t>
    </r>
    <r>
      <rPr>
        <sz val="11"/>
        <color theme="1"/>
        <rFont val="Noto Sans CJK SC"/>
        <family val="2"/>
      </rPr>
      <t xml:space="preserve">（設施，年平均）</t>
    </r>
  </si>
  <si>
    <t xml:space="preserve">facility</t>
  </si>
  <si>
    <t xml:space="preserve">https://en.paperjam.lu/article/googles-electricity-consumption-rose-by-37-in-2025</t>
  </si>
  <si>
    <t xml:space="preserve">A#28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</si>
  <si>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Mesa, AZ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</si>
  <si>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183 MW-IT</t>
  </si>
  <si>
    <t xml:space="preserve">2026-08-15</t>
  </si>
  <si>
    <t xml:space="preserve">https://epoch.ai/data/ai-data-centers/directory/google-mesa</t>
  </si>
  <si>
    <t xml:space="preserve">A#29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</si>
  <si>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</si>
  <si>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（下限，</t>
    </r>
    <r>
      <rPr>
        <sz val="11"/>
        <color theme="1"/>
        <rFont val="Calibri"/>
        <family val="2"/>
        <charset val="1"/>
      </rPr>
      <t xml:space="preserve">well over 1 GW</t>
    </r>
    <r>
      <rPr>
        <sz val="11"/>
        <color theme="1"/>
        <rFont val="Noto Sans CJK SC"/>
        <family val="2"/>
      </rPr>
      <t xml:space="preserve">）</t>
    </r>
  </si>
  <si>
    <t xml:space="preserve">2025-10-23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</si>
  <si>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）：維持；</t>
    </r>
    <r>
      <rPr>
        <sz val="11"/>
        <color theme="1"/>
        <rFont val="Calibri"/>
        <family val="2"/>
        <charset val="1"/>
      </rPr>
      <t xml:space="preserve">1000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'well over a gigawatt' </t>
    </r>
    <r>
      <rPr>
        <sz val="11"/>
        <color theme="1"/>
        <rFont val="Noto Sans CJK SC"/>
        <family val="2"/>
      </rPr>
      <t xml:space="preserve">下限，</t>
    </r>
    <r>
      <rPr>
        <sz val="11"/>
        <color theme="1"/>
        <rFont val="Calibri"/>
        <family val="2"/>
        <charset val="1"/>
      </rPr>
      <t xml:space="preserve">unit </t>
    </r>
    <r>
      <rPr>
        <sz val="11"/>
        <color theme="1"/>
        <rFont val="Noto Sans CJK SC"/>
        <family val="2"/>
      </rPr>
      <t xml:space="preserve">已註明</t>
    </r>
  </si>
  <si>
    <r>
      <rPr>
        <sz val="11"/>
        <color theme="1"/>
        <rFont val="Calibri"/>
        <family val="2"/>
        <charset val="1"/>
      </rPr>
      <t xml:space="preserve">ctr_googl_ant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al_googl_ant</t>
    </r>
  </si>
  <si>
    <t xml:space="preserve">https://www.anthropic.com/news/expanding-our-use-of-google-cloud-tpus-and-services</t>
  </si>
  <si>
    <t xml:space="preserve">A#30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</si>
  <si>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次世代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</si>
  <si>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3500 MW</t>
  </si>
  <si>
    <t xml:space="preserve">2026-04-06</t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</si>
  <si>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（統一；原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</si>
  <si>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原頁被擋；標記統一為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兩段原不一致）</t>
    </r>
  </si>
  <si>
    <t xml:space="preserve">https://www.boardroomalpha.com/sec/avgo-8-k-2026-04-06-0001193125-26-144028</t>
  </si>
  <si>
    <t xml:space="preserve">A#31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</si>
  <si>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Google–Blackstone TPU </t>
    </r>
    <r>
      <rPr>
        <sz val="11"/>
        <color theme="1"/>
        <rFont val="Noto Sans CJK SC"/>
        <family val="2"/>
      </rPr>
      <t xml:space="preserve">雲合資｜</t>
    </r>
    <r>
      <rPr>
        <sz val="11"/>
        <color theme="1"/>
        <rFont val="Calibri"/>
        <family val="2"/>
        <charset val="1"/>
      </rPr>
      <t xml:space="preserve">planned</t>
    </r>
  </si>
  <si>
    <t xml:space="preserve">500 MW</t>
  </si>
  <si>
    <t xml:space="preserve">引用（未入值）</t>
  </si>
  <si>
    <t xml:space="preserve">https://xenospectrum.com/en/google-tpu-agi-allocation/</t>
  </si>
  <si>
    <t xml:space="preserve">A#32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</si>
  <si>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系統銷售給客戶自建機房｜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</si>
  <si>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multiple GW</t>
    </r>
    <r>
      <rPr>
        <sz val="11"/>
        <color theme="1"/>
        <rFont val="Noto Sans CJK SC"/>
        <family val="2"/>
      </rPr>
      <t xml:space="preserve">，未量化）</t>
    </r>
  </si>
  <si>
    <t xml:space="preserve">A#33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</si>
  <si>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</si>
  <si>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226 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153–226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</si>
  <si>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起</t>
    </r>
  </si>
  <si>
    <t xml:space="preserve">錯誤</t>
  </si>
  <si>
    <r>
      <rPr>
        <sz val="11"/>
        <color theme="1"/>
        <rFont val="Noto Sans CJK SC"/>
        <family val="2"/>
      </rPr>
      <t xml:space="preserve">方向寫反：營運者＝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、使用者＝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B#49</t>
    </r>
    <r>
      <rPr>
        <sz val="11"/>
        <color theme="1"/>
        <rFont val="Noto Sans CJK SC"/>
        <family val="2"/>
      </rPr>
      <t xml:space="preserve">）；不計入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營運者 </t>
    </r>
    <r>
      <rPr>
        <sz val="11"/>
        <color theme="1"/>
        <rFont val="Calibri"/>
        <family val="2"/>
        <charset val="1"/>
      </rPr>
      <t xml:space="preserve">GW</t>
    </r>
  </si>
  <si>
    <t xml:space="preserve">https://www.sec.gov/Archives/edgar/data/1181412/000162828026041150/spacexagreementfwp.htm</t>
  </si>
  <si>
    <t xml:space="preserve">A#34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</si>
  <si>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</si>
  <si>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195–205 US$B</t>
  </si>
  <si>
    <t xml:space="preserve">2026-07-22</t>
  </si>
  <si>
    <t xml:space="preserve">A#35</t>
  </si>
  <si>
    <t xml:space="preserve">Amazon/AWS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</si>
  <si>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｜全公司 截至 </t>
    </r>
    <r>
      <rPr>
        <sz val="11"/>
        <color theme="1"/>
        <rFont val="Calibri"/>
        <family val="2"/>
        <charset val="1"/>
      </rPr>
      <t xml:space="preserve">2025Q3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個月新增電力容量｜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</si>
  <si>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3800 MW</t>
    </r>
    <r>
      <rPr>
        <sz val="11"/>
        <color theme="1"/>
        <rFont val="Noto Sans CJK SC"/>
        <family val="2"/>
      </rPr>
      <t xml:space="preserve">（年增量）</t>
    </r>
  </si>
  <si>
    <t xml:space="preserve">2025-09-30</t>
  </si>
  <si>
    <t xml:space="preserve">https://www.sec.gov/Archives/edgar/data/1018724/000101872425000121/amzn-20250930xex991.htm</t>
  </si>
  <si>
    <t xml:space="preserve">A#36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</si>
  <si>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全年新增電力容量｜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</si>
  <si>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3900 MW</t>
    </r>
    <r>
      <rPr>
        <sz val="11"/>
        <color theme="1"/>
        <rFont val="Noto Sans CJK SC"/>
        <family val="2"/>
      </rPr>
      <t xml:space="preserve">（年增量）</t>
    </r>
  </si>
  <si>
    <t xml:space="preserve">https://www.aol.com/finance/amazon-amzn-q4-2025-earnings-005233264.html</t>
  </si>
  <si>
    <t xml:space="preserve">A#37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</si>
  <si>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電力容量目標｜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</si>
  <si>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年底）</t>
    </r>
  </si>
  <si>
    <t xml:space="preserve">2026-07-30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</si>
  <si>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site_or_scope</t>
    </r>
    <r>
      <rPr>
        <sz val="11"/>
        <color theme="1"/>
        <rFont val="Noto Sans CJK SC"/>
        <family val="2"/>
      </rPr>
      <t xml:space="preserve">：原文 </t>
    </r>
    <r>
      <rPr>
        <sz val="11"/>
        <color theme="1"/>
        <rFont val="Calibri"/>
        <family val="2"/>
        <charset val="1"/>
      </rPr>
      <t xml:space="preserve">'AWS remains on pace to double its power capacity'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：無引號，屬轉述</t>
    </r>
  </si>
  <si>
    <t xml:space="preserve">https://fortune.com/2026/07/30/andy-jassy-amazon-capex-demand-aws-pga-tour/</t>
  </si>
  <si>
    <t xml:space="preserve">A#38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</si>
  <si>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</si>
  <si>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616.0 MW</t>
    </r>
    <r>
      <rPr>
        <sz val="11"/>
        <color theme="1"/>
        <rFont val="Noto Sans CJK SC"/>
        <family val="2"/>
      </rPr>
      <t xml:space="preserve">（晶片功耗）</t>
    </r>
  </si>
  <si>
    <t xml:space="preserve">A#39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</si>
  <si>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</si>
  <si>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1672.5 MW</t>
    </r>
    <r>
      <rPr>
        <sz val="11"/>
        <color theme="1"/>
        <rFont val="Noto Sans CJK SC"/>
        <family val="2"/>
      </rPr>
      <t xml:space="preserve">（晶片功耗）</t>
    </r>
  </si>
  <si>
    <t xml:space="preserve">A#40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</si>
  <si>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在役（期初）｜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</si>
  <si>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2600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2,000–3,300</t>
    </r>
    <r>
      <rPr>
        <sz val="11"/>
        <color theme="1"/>
        <rFont val="Noto Sans CJK SC"/>
        <family val="2"/>
      </rPr>
      <t xml:space="preserve">）</t>
    </r>
  </si>
  <si>
    <t xml:space="preserve">/root/company-models/amazon/data/amazon_facts_20261008.json</t>
  </si>
  <si>
    <t xml:space="preserve">A#41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</si>
  <si>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Carlisle, 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Rainier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</si>
  <si>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1037 MW-IT</t>
  </si>
  <si>
    <t xml:space="preserve">2026-10-19</t>
  </si>
  <si>
    <r>
      <rPr>
        <sz val="11"/>
        <color theme="1"/>
        <rFont val="Calibri"/>
        <family val="2"/>
        <charset val="1"/>
      </rPr>
      <t xml:space="preserve">al_amzn_ant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cp_amzn_nc1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cp_amzn_nc2</t>
    </r>
  </si>
  <si>
    <t xml:space="preserve">https://epoch.ai/data/ai-data-centers/directory/anthropic-amazon-new-carlisle</t>
  </si>
  <si>
    <t xml:space="preserve">A#42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</si>
  <si>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Carlisle </t>
    </r>
    <r>
      <rPr>
        <sz val="11"/>
        <color theme="1"/>
        <rFont val="Noto Sans CJK SC"/>
        <family val="2"/>
      </rPr>
      <t xml:space="preserve">全園區｜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</si>
  <si>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2200 MW</t>
    </r>
    <r>
      <rPr>
        <sz val="11"/>
        <color theme="1"/>
        <rFont val="Noto Sans CJK SC"/>
        <family val="2"/>
      </rPr>
      <t xml:space="preserve">（公司說 </t>
    </r>
    <r>
      <rPr>
        <sz val="11"/>
        <color theme="1"/>
        <rFont val="Calibri"/>
        <family val="2"/>
        <charset val="1"/>
      </rPr>
      <t xml:space="preserve">2.2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棟）</t>
    </r>
  </si>
  <si>
    <t xml:space="preserve">2025-10-29</t>
  </si>
  <si>
    <t xml:space="preserve">https://convergedigest.com/aws-activates-project-rainier-data-center-campus/</t>
  </si>
  <si>
    <t xml:space="preserve">A#43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</si>
  <si>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Ridgeland, 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</si>
  <si>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228 MW-IT</t>
  </si>
  <si>
    <t xml:space="preserve">2026-05-15</t>
  </si>
  <si>
    <t xml:space="preserve">https://epoch.ai/data/ai-data-centers/directory/amazon-ridgeland</t>
  </si>
  <si>
    <t xml:space="preserve">A#44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</si>
  <si>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Madison Mega Site, 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</si>
  <si>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284 MW-IT</t>
  </si>
  <si>
    <t xml:space="preserve">2025-06-23</t>
  </si>
  <si>
    <t xml:space="preserve">https://epoch.ai/data/ai-data-centers/directory/amazon-madison-mega-site</t>
  </si>
  <si>
    <t xml:space="preserve">A#45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</si>
  <si>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Anthropic–AWS </t>
    </r>
    <r>
      <rPr>
        <sz val="11"/>
        <color theme="1"/>
        <rFont val="Noto Sans CJK SC"/>
        <family val="2"/>
      </rPr>
      <t xml:space="preserve">擴大合約｜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</si>
  <si>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5000 MW</t>
    </r>
    <r>
      <rPr>
        <sz val="11"/>
        <color theme="1"/>
        <rFont val="Noto Sans CJK SC"/>
        <family val="2"/>
      </rPr>
      <t xml:space="preserve">（上限）</t>
    </r>
  </si>
  <si>
    <t xml:space="preserve">2026-04-20</t>
  </si>
  <si>
    <r>
      <rPr>
        <sz val="11"/>
        <color theme="1"/>
        <rFont val="Noto Sans CJK SC"/>
        <family val="2"/>
      </rPr>
      <t xml:space="preserve">標記改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數為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自述／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）</t>
    </r>
  </si>
  <si>
    <t xml:space="preserve">A#46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</si>
  <si>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OpenAI–AWS Trainium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</si>
  <si>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（約）</t>
    </r>
  </si>
  <si>
    <t xml:space="preserve">https://www.sec.gov/Archives/edgar/data/1018724/000101872426000012/amzn-20260331xex991.htm</t>
  </si>
  <si>
    <t xml:space="preserve">A#47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</si>
  <si>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OpenAI–AWS NVIDIA </t>
    </r>
    <r>
      <rPr>
        <sz val="11"/>
        <color theme="1"/>
        <rFont val="Noto Sans CJK SC"/>
        <family val="2"/>
      </rPr>
      <t xml:space="preserve">合約（</t>
    </r>
    <r>
      <rPr>
        <sz val="11"/>
        <color theme="1"/>
        <rFont val="Calibri"/>
        <family val="2"/>
        <charset val="1"/>
      </rPr>
      <t xml:space="preserve">$38B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</si>
  <si>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2025-11-03</t>
  </si>
  <si>
    <t xml:space="preserve">https://www.datacenterdynamics.com/en/news/openai-signs-38bn-multi-year-agreement-with-aws-for-access-to-nvidia-gb200s-and-gb300s/</t>
  </si>
  <si>
    <t xml:space="preserve">A#48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</si>
  <si>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Cipher Black Pearl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Wink, TX</t>
    </r>
    <r>
      <rPr>
        <sz val="11"/>
        <color theme="1"/>
        <rFont val="Noto Sans CJK SC"/>
        <family val="2"/>
      </rPr>
      <t xml:space="preserve">）租予 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</si>
  <si>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216 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300 MW gross</t>
    </r>
    <r>
      <rPr>
        <sz val="11"/>
        <color theme="1"/>
        <rFont val="Noto Sans CJK SC"/>
        <family val="2"/>
      </rPr>
      <t xml:space="preserve">）</t>
    </r>
  </si>
  <si>
    <t xml:space="preserve">A#49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</si>
  <si>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新增容量（賣方估）｜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</si>
  <si>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6000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年增量；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8,000</t>
    </r>
    <r>
      <rPr>
        <sz val="11"/>
        <color theme="1"/>
        <rFont val="Noto Sans CJK SC"/>
        <family val="2"/>
      </rPr>
      <t xml:space="preserve">）</t>
    </r>
  </si>
  <si>
    <t xml:space="preserve">2026-08-18</t>
  </si>
  <si>
    <t xml:space="preserve">https://invezz.com/news/2026/08/18/could-amazon-stock-double-by-end-of-next-year-heres-what-morgan-stanley-says/</t>
  </si>
  <si>
    <t xml:space="preserve">A#50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</si>
  <si>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現金資本支出｜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</si>
  <si>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220 US$B</t>
    </r>
    <r>
      <rPr>
        <sz val="11"/>
        <color theme="1"/>
        <rFont val="Noto Sans CJK SC"/>
        <family val="2"/>
      </rPr>
      <t xml:space="preserve">（約）</t>
    </r>
  </si>
  <si>
    <t xml:space="preserve">A#51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</si>
  <si>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</si>
  <si>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523.5 MW</t>
    </r>
    <r>
      <rPr>
        <sz val="11"/>
        <color theme="1"/>
        <rFont val="Noto Sans CJK SC"/>
        <family val="2"/>
      </rPr>
      <t xml:space="preserve">（晶片功耗）</t>
    </r>
  </si>
  <si>
    <t xml:space="preserve">A#52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</si>
  <si>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</si>
  <si>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1338.7 MW</t>
    </r>
    <r>
      <rPr>
        <sz val="11"/>
        <color theme="1"/>
        <rFont val="Noto Sans CJK SC"/>
        <family val="2"/>
      </rPr>
      <t xml:space="preserve">（晶片功耗）</t>
    </r>
  </si>
  <si>
    <t xml:space="preserve">A#53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</si>
  <si>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2026Q1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</si>
  <si>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1135.79 MW</t>
    </r>
    <r>
      <rPr>
        <sz val="11"/>
        <color theme="1"/>
        <rFont val="Noto Sans CJK SC"/>
        <family val="2"/>
      </rPr>
      <t xml:space="preserve">（晶片功耗）</t>
    </r>
  </si>
  <si>
    <t xml:space="preserve">A#54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</si>
  <si>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｜全公司資料中心用電 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（全部負載）｜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</si>
  <si>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2062 MW</t>
    </r>
    <r>
      <rPr>
        <sz val="11"/>
        <color theme="1"/>
        <rFont val="Noto Sans CJK SC"/>
        <family val="2"/>
      </rPr>
      <t xml:space="preserve">（設施，年平均）</t>
    </r>
  </si>
  <si>
    <t xml:space="preserve">https://sustainability.atmeta.com/asset/2025-environmental-data-index</t>
  </si>
  <si>
    <t xml:space="preserve">A#55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</si>
  <si>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Prometheus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 Albany, OH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</si>
  <si>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471 MW-IT</t>
  </si>
  <si>
    <r>
      <rPr>
        <sz val="11"/>
        <color theme="1"/>
        <rFont val="Calibri"/>
        <family val="2"/>
        <charset val="1"/>
      </rPr>
      <t xml:space="preserve">cp_meta_pro1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cp_meta_pro2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cp_meta_pro3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cp_meta_pro4</t>
    </r>
  </si>
  <si>
    <t xml:space="preserve">https://epoch.ai/data/ai-data-centers/directory/meta-prometheus</t>
  </si>
  <si>
    <t xml:space="preserve">A#56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</si>
  <si>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Prometheus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</si>
  <si>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目標）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</si>
  <si>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：主來源 </t>
    </r>
    <r>
      <rPr>
        <sz val="11"/>
        <color theme="1"/>
        <rFont val="Calibri"/>
        <family val="2"/>
        <charset val="1"/>
      </rPr>
      <t xml:space="preserve">cryptobriefing </t>
    </r>
    <r>
      <rPr>
        <sz val="11"/>
        <color theme="1"/>
        <rFont val="Noto Sans CJK SC"/>
        <family val="2"/>
      </rPr>
      <t xml:space="preserve">被擋（未繞過）</t>
    </r>
  </si>
  <si>
    <t xml:space="preserve">https://cryptobriefing.com/meta-prometheus-supercluster-ohio-ai-training/</t>
  </si>
  <si>
    <t xml:space="preserve">A#57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</si>
  <si>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Richland Parish, LA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</si>
  <si>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1632 MW-IT</t>
    </r>
    <r>
      <rPr>
        <sz val="11"/>
        <color theme="1"/>
        <rFont val="Noto Sans CJK SC"/>
        <family val="2"/>
      </rPr>
      <t xml:space="preserve">（一期）</t>
    </r>
  </si>
  <si>
    <t xml:space="preserve">2026-09-21</t>
  </si>
  <si>
    <t xml:space="preserve">https://epoch.ai/data/ai-data-centers/directory/meta-hyperion</t>
  </si>
  <si>
    <t xml:space="preserve">A#58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</si>
  <si>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Hyperion </t>
    </r>
    <r>
      <rPr>
        <sz val="11"/>
        <color theme="1"/>
        <rFont val="Noto Sans CJK SC"/>
        <family val="2"/>
      </rPr>
      <t xml:space="preserve">全園區｜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</si>
  <si>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5000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）</t>
    </r>
  </si>
  <si>
    <t xml:space="preserve">2026-07-13</t>
  </si>
  <si>
    <r>
      <rPr>
        <sz val="11"/>
        <color theme="1"/>
        <rFont val="Calibri"/>
        <family val="2"/>
        <charset val="1"/>
      </rPr>
      <t xml:space="preserve">Entergy 7 </t>
    </r>
    <r>
      <rPr>
        <sz val="11"/>
        <color theme="1"/>
        <rFont val="Noto Sans CJK SC"/>
        <family val="2"/>
      </rPr>
      <t xml:space="preserve">座燃氣電廠；租金起付日不在原文；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2 GW </t>
    </r>
    <r>
      <rPr>
        <sz val="11"/>
        <color theme="1"/>
        <rFont val="Noto Sans CJK SC"/>
        <family val="2"/>
      </rPr>
      <t xml:space="preserve">屬實</t>
    </r>
  </si>
  <si>
    <r>
      <rPr>
        <sz val="11"/>
        <color theme="1"/>
        <rFont val="Calibri"/>
        <family val="2"/>
        <charset val="1"/>
      </rPr>
      <t xml:space="preserve">cp_meta_hyp1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cp_meta_hyp2</t>
    </r>
  </si>
  <si>
    <t xml:space="preserve">https://qz.com/meta-louisiana-hyperion-data-center-expansion-5-gigawatts-071326</t>
  </si>
  <si>
    <t xml:space="preserve">A#59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</si>
  <si>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El Paso,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BlackRock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</si>
  <si>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compute capacity</t>
    </r>
    <r>
      <rPr>
        <sz val="11"/>
        <color theme="1"/>
        <rFont val="Noto Sans CJK SC"/>
        <family val="2"/>
      </rPr>
      <t xml:space="preserve">）</t>
    </r>
  </si>
  <si>
    <t xml:space="preserve">2026-07-28</t>
  </si>
  <si>
    <t xml:space="preserve">https://s21.q4cdn.com/399680738/files/doc_news/Meta-Announces-New-Strategic-Venture-with-BlackRock-to-Develop-Data-Center-in-El-Paso-2026.pdf</t>
  </si>
  <si>
    <t xml:space="preserve">A#60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</si>
  <si>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合約（兩筆）｜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</si>
  <si>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2026-04-09</t>
  </si>
  <si>
    <t xml:space="preserve">https://www.datacenterdynamics.com/en/news/meta-signs-21bn-ai-infrastructure-contract-with-coreweave/</t>
  </si>
  <si>
    <t xml:space="preserve">A#61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</si>
  <si>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合約｜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</si>
  <si>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（第三方彙整引 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</si>
  <si>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as_of</t>
    </r>
    <r>
      <rPr>
        <sz val="11"/>
        <color theme="1"/>
        <rFont val="Noto Sans CJK SC"/>
        <family val="2"/>
      </rPr>
      <t xml:space="preserve">：來源只寫 </t>
    </r>
    <r>
      <rPr>
        <sz val="11"/>
        <color theme="1"/>
        <rFont val="Calibri"/>
        <family val="2"/>
        <charset val="1"/>
      </rPr>
      <t xml:space="preserve">Announced Mar 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：出處性質</t>
    </r>
  </si>
  <si>
    <t xml:space="preserve">https://computeprices.com/deals/meta-nebius-2026-03</t>
  </si>
  <si>
    <t xml:space="preserve">A#62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</si>
  <si>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雲合約（</t>
    </r>
    <r>
      <rPr>
        <sz val="11"/>
        <color theme="1"/>
        <rFont val="Calibri"/>
        <family val="2"/>
        <charset val="1"/>
      </rPr>
      <t xml:space="preserve">Childress TX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Warrenton MO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</si>
  <si>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1600 MW</t>
    </r>
    <r>
      <rPr>
        <sz val="11"/>
        <color theme="1"/>
        <rFont val="Noto Sans CJK SC"/>
        <family val="2"/>
      </rPr>
      <t xml:space="preserve">（約，合計）</t>
    </r>
  </si>
  <si>
    <t xml:space="preserve">https://explorer.hub71.com/news/note/crusoe-sidelined-at-1-8gw-project-jade-data-centre-in-wyoming</t>
  </si>
  <si>
    <t xml:space="preserve">A#63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</si>
  <si>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資本支出指引（含融資租賃本金）｜</t>
    </r>
    <r>
      <rPr>
        <sz val="11"/>
        <color theme="1"/>
        <rFont val="Calibri"/>
        <family val="2"/>
        <charset val="1"/>
      </rPr>
      <t xml:space="preserve">capex</t>
    </r>
  </si>
  <si>
    <t xml:space="preserve">135–145 US$B</t>
  </si>
  <si>
    <t xml:space="preserve">2026-10-21</t>
  </si>
  <si>
    <r>
      <rPr>
        <sz val="11"/>
        <color theme="1"/>
        <rFont val="Calibri"/>
        <family val="2"/>
        <charset val="1"/>
      </rPr>
      <t xml:space="preserve">fye_meta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cap_meta</t>
    </r>
  </si>
  <si>
    <t xml:space="preserve">https://www.sec.gov/Archives/edgar/data/0001326801/000162828026066700/meta-09302026xexhibit991.htm</t>
  </si>
  <si>
    <t xml:space="preserve">A#64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</si>
  <si>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DC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</si>
  <si>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1200 MW</t>
    </r>
    <r>
      <rPr>
        <sz val="11"/>
        <color theme="1"/>
        <rFont val="Noto Sans CJK SC"/>
        <family val="2"/>
      </rPr>
      <t xml:space="preserve">（年增量）</t>
    </r>
  </si>
  <si>
    <t xml:space="preserve">https://s23.q4cdn.com/440135859/files/doc_financials/2026/q4/Q4-FY26-Oracle-Earnings-Slides.pdf</t>
  </si>
  <si>
    <t xml:space="preserve">A#65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</si>
  <si>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DC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</si>
  <si>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850 MW</t>
    </r>
    <r>
      <rPr>
        <sz val="11"/>
        <color theme="1"/>
        <rFont val="Noto Sans CJK SC"/>
        <family val="2"/>
      </rPr>
      <t xml:space="preserve">（季增量）</t>
    </r>
  </si>
  <si>
    <t xml:space="preserve">A#66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</si>
  <si>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｜已連網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（推估）｜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</si>
  <si>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2543 MW-IT</t>
  </si>
  <si>
    <t xml:space="preserve">/root/company-models/oracle/company.json</t>
  </si>
  <si>
    <t xml:space="preserve">A#67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</si>
  <si>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</si>
  <si>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208.9 MW</t>
    </r>
    <r>
      <rPr>
        <sz val="11"/>
        <color theme="1"/>
        <rFont val="Noto Sans CJK SC"/>
        <family val="2"/>
      </rPr>
      <t xml:space="preserve">（晶片功耗）</t>
    </r>
  </si>
  <si>
    <t xml:space="preserve">A#68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</si>
  <si>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</si>
  <si>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650.2 MW</t>
    </r>
    <r>
      <rPr>
        <sz val="11"/>
        <color theme="1"/>
        <rFont val="Noto Sans CJK SC"/>
        <family val="2"/>
      </rPr>
      <t xml:space="preserve">（晶片功耗）</t>
    </r>
  </si>
  <si>
    <t xml:space="preserve">A#69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</si>
  <si>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Abilene,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一期）｜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</si>
  <si>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618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棟，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</si>
  <si>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cp_orcl_abl</t>
    </r>
  </si>
  <si>
    <t xml:space="preserve">A#70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</si>
  <si>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擴建（取消）｜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</si>
  <si>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0 MW</t>
    </r>
    <r>
      <rPr>
        <sz val="11"/>
        <color theme="1"/>
        <rFont val="Noto Sans CJK SC"/>
        <family val="2"/>
      </rPr>
      <t xml:space="preserve">（原規劃園區擴至約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；現上限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，取消增量約 </t>
    </r>
    <r>
      <rPr>
        <sz val="11"/>
        <color theme="1"/>
        <rFont val="Calibri"/>
        <family val="2"/>
        <charset val="1"/>
      </rPr>
      <t xml:space="preserve">0.8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B#8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600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</si>
  <si>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unit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 GW </t>
    </r>
    <r>
      <rPr>
        <sz val="11"/>
        <color theme="1"/>
        <rFont val="Noto Sans CJK SC"/>
        <family val="2"/>
      </rPr>
      <t xml:space="preserve">為園區總目標非擴建量；</t>
    </r>
    <r>
      <rPr>
        <sz val="11"/>
        <color theme="1"/>
        <rFont val="Calibri"/>
        <family val="2"/>
        <charset val="1"/>
      </rPr>
      <t xml:space="preserve">expected_online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A#18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as_of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TechRadar 2026-03-09</t>
    </r>
    <r>
      <rPr>
        <sz val="11"/>
        <color theme="1"/>
        <rFont val="Noto Sans CJK SC"/>
        <family val="2"/>
      </rPr>
      <t xml:space="preserve">，原文無 </t>
    </r>
    <r>
      <rPr>
        <sz val="11"/>
        <color theme="1"/>
        <rFont val="Calibri"/>
        <family val="2"/>
        <charset val="1"/>
      </rPr>
      <t xml:space="preserve">3/6</t>
    </r>
  </si>
  <si>
    <t xml:space="preserve">https://www.techradar.com/pro/oracle-and-openai-drop-plans-for-mega-stargate-ai-us-data-center</t>
  </si>
  <si>
    <t xml:space="preserve">A#71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</si>
  <si>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OpenAI–Oracle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</si>
  <si>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4500 MW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）</t>
    </r>
  </si>
  <si>
    <t xml:space="preserve">2025-09-23</t>
  </si>
  <si>
    <t xml:space="preserve">https://openai.com/index/five-new-stargate-sites/</t>
  </si>
  <si>
    <t xml:space="preserve">A#72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</si>
  <si>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Shackelford County,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</si>
  <si>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2000 MW</t>
  </si>
  <si>
    <t xml:space="preserve">2026-04-17</t>
  </si>
  <si>
    <r>
      <rPr>
        <sz val="11"/>
        <color theme="1"/>
        <rFont val="Noto Sans CJK SC"/>
        <family val="2"/>
      </rPr>
      <t xml:space="preserve">屬實（設施）；首棟已延到 </t>
    </r>
    <r>
      <rPr>
        <sz val="11"/>
        <color theme="1"/>
        <rFont val="Calibri"/>
        <family val="2"/>
        <charset val="1"/>
      </rPr>
      <t xml:space="preserve">2027-08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</si>
  <si>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ctr_orcl_oai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cp_orcl_shk2</t>
    </r>
  </si>
  <si>
    <t xml:space="preserve">https://epoch.ai/publications/openai-stargate-where-the-us-sites-stand</t>
  </si>
  <si>
    <t xml:space="preserve">A#73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</si>
  <si>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Doña Ana County, NM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</si>
  <si>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2200 MW</t>
  </si>
  <si>
    <t xml:space="preserve">A#74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</si>
  <si>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 Washington, WI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Lighthouse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</si>
  <si>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1300 MW</t>
  </si>
  <si>
    <t xml:space="preserve">A#75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</si>
  <si>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Saline Township, MI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Barn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</si>
  <si>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1400 MW</t>
  </si>
  <si>
    <t xml:space="preserve">A#76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</si>
  <si>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2027-05</t>
    </r>
    <r>
      <rPr>
        <sz val="11"/>
        <color theme="1"/>
        <rFont val="Noto Sans CJK SC"/>
        <family val="2"/>
      </rPr>
      <t xml:space="preserve">）資本支出指引｜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</si>
  <si>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90–95 US$B</t>
  </si>
  <si>
    <t xml:space="preserve">2026-09-10</t>
  </si>
  <si>
    <t xml:space="preserve">A#77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</si>
  <si>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</si>
  <si>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70 MW</t>
    </r>
    <r>
      <rPr>
        <sz val="11"/>
        <color theme="1"/>
        <rFont val="Noto Sans CJK SC"/>
        <family val="2"/>
      </rPr>
      <t xml:space="preserve">（下限）</t>
    </r>
  </si>
  <si>
    <t xml:space="preserve">2023-12-31</t>
  </si>
  <si>
    <t xml:space="preserve">https://www.sec.gov/Archives/edgar/data/1769628/000176962826000104/crwv-20251231.htm</t>
  </si>
  <si>
    <t xml:space="preserve">A#78</t>
  </si>
  <si>
    <r>
      <rPr>
        <sz val="11"/>
        <color theme="1"/>
        <rFont val="Calibri"/>
        <family val="2"/>
        <charset val="1"/>
      </rPr>
      <t xml:space="preserve">360 MW</t>
    </r>
    <r>
      <rPr>
        <sz val="11"/>
        <color theme="1"/>
        <rFont val="Noto Sans CJK SC"/>
        <family val="2"/>
      </rPr>
      <t xml:space="preserve">（下限）</t>
    </r>
  </si>
  <si>
    <t xml:space="preserve">2024-12-31</t>
  </si>
  <si>
    <t xml:space="preserve">/root/company-models/coreweave/company.json</t>
  </si>
  <si>
    <t xml:space="preserve">A#79</t>
  </si>
  <si>
    <r>
      <rPr>
        <sz val="11"/>
        <color theme="1"/>
        <rFont val="Calibri"/>
        <family val="2"/>
        <charset val="1"/>
      </rPr>
      <t xml:space="preserve">850 MW</t>
    </r>
    <r>
      <rPr>
        <sz val="11"/>
        <color theme="1"/>
        <rFont val="Noto Sans CJK SC"/>
        <family val="2"/>
      </rPr>
      <t xml:space="preserve">（下限）</t>
    </r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</si>
  <si>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交叉屬實；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原頁被擋</t>
    </r>
  </si>
  <si>
    <t xml:space="preserve">A#80</t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</si>
  <si>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（下限）</t>
    </r>
  </si>
  <si>
    <t xml:space="preserve">https://www.datacenterdynamics.com/en/news/coreweave-surpasses-1gw-of-data-center-capacity-pushes-more-into-self-builds/</t>
  </si>
  <si>
    <t xml:space="preserve">A#81</t>
  </si>
  <si>
    <r>
      <rPr>
        <sz val="11"/>
        <color theme="1"/>
        <rFont val="Calibri"/>
        <family val="2"/>
        <charset val="1"/>
      </rPr>
      <t xml:space="preserve">1500 MW</t>
    </r>
    <r>
      <rPr>
        <sz val="11"/>
        <color theme="1"/>
        <rFont val="Noto Sans CJK SC"/>
        <family val="2"/>
      </rPr>
      <t xml:space="preserve">（下限）</t>
    </r>
  </si>
  <si>
    <t xml:space="preserve">https://investors.coreweave.com/news/news-details/2026/CoreWeave-Reports-Strong-Second-Quarter-2026-Results/default.aspx</t>
  </si>
  <si>
    <t xml:space="preserve">A#82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</si>
  <si>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</si>
  <si>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1850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&gt;1.85 GW</t>
    </r>
    <r>
      <rPr>
        <sz val="11"/>
        <color theme="1"/>
        <rFont val="Noto Sans CJK SC"/>
        <family val="2"/>
      </rPr>
      <t xml:space="preserve">）</t>
    </r>
  </si>
  <si>
    <t xml:space="preserve">2026-08-11</t>
  </si>
  <si>
    <t xml:space="preserve">A#83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</si>
  <si>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contracted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</si>
  <si>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3100 MW</t>
    </r>
    <r>
      <rPr>
        <sz val="11"/>
        <color theme="1"/>
        <rFont val="Noto Sans CJK SC"/>
        <family val="2"/>
      </rPr>
      <t xml:space="preserve">（約）</t>
    </r>
  </si>
  <si>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被擋</t>
    </r>
  </si>
  <si>
    <t xml:space="preserve">A#84</t>
  </si>
  <si>
    <r>
      <rPr>
        <sz val="11"/>
        <color theme="1"/>
        <rFont val="Calibri"/>
        <family val="2"/>
        <charset val="1"/>
      </rPr>
      <t xml:space="preserve">3700 MW</t>
    </r>
    <r>
      <rPr>
        <sz val="11"/>
        <color theme="1"/>
        <rFont val="Noto Sans CJK SC"/>
        <family val="2"/>
      </rPr>
      <t xml:space="preserve">（約）</t>
    </r>
  </si>
  <si>
    <t xml:space="preserve">A#85</t>
  </si>
  <si>
    <r>
      <rPr>
        <sz val="11"/>
        <color theme="1"/>
        <rFont val="Calibri"/>
        <family val="2"/>
        <charset val="1"/>
      </rPr>
      <t xml:space="preserve">4200 MW</t>
    </r>
    <r>
      <rPr>
        <sz val="11"/>
        <color theme="1"/>
        <rFont val="Noto Sans CJK SC"/>
        <family val="2"/>
      </rPr>
      <t xml:space="preserve">（約）</t>
    </r>
  </si>
  <si>
    <t xml:space="preserve">https://investors.coreweave.com/news/news-details/2026/CoreWeave-Continues-to-Contract-New-Compute-Capacity-at-Higher-Prices/default.aspx</t>
  </si>
  <si>
    <t xml:space="preserve">A#86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</si>
  <si>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容量目標｜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</si>
  <si>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8000 MW</t>
    </r>
    <r>
      <rPr>
        <sz val="11"/>
        <color theme="1"/>
        <rFont val="Noto Sans CJK SC"/>
        <family val="2"/>
      </rPr>
      <t xml:space="preserve">（最多 </t>
    </r>
    <r>
      <rPr>
        <sz val="11"/>
        <color theme="1"/>
        <rFont val="Calibri"/>
        <family val="2"/>
        <charset val="1"/>
      </rPr>
      <t xml:space="preserve">8 GW</t>
    </r>
    <r>
      <rPr>
        <sz val="11"/>
        <color theme="1"/>
        <rFont val="Noto Sans CJK SC"/>
        <family val="2"/>
      </rPr>
      <t xml:space="preserve">）</t>
    </r>
  </si>
  <si>
    <t xml:space="preserve">A#87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</si>
  <si>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Dickens County, TX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</si>
  <si>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133 MW critical IT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200 MW gross</t>
    </r>
    <r>
      <rPr>
        <sz val="11"/>
        <color theme="1"/>
        <rFont val="Noto Sans CJK SC"/>
        <family val="2"/>
      </rPr>
      <t xml:space="preserve">）</t>
    </r>
  </si>
  <si>
    <t xml:space="preserve">2026-07-06</t>
  </si>
  <si>
    <t xml:space="preserve">https://www.galaxy.com/newsroom/galaxy-completes-phase-i-of-its-helios-data-center-campus</t>
  </si>
  <si>
    <t xml:space="preserve">A#88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</si>
  <si>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全案｜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</si>
  <si>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526 MW critical IT</t>
  </si>
  <si>
    <t xml:space="preserve">A#89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</si>
  <si>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Polaris Forge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Ellendale, ND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</si>
  <si>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250 MW critical IT</t>
  </si>
  <si>
    <t xml:space="preserve">https://www.sec.gov/Archives/edgar/data/0001144879/000114487926000057/apldq127earningsrelease.htm</t>
  </si>
  <si>
    <t xml:space="preserve">A#90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</si>
  <si>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</t>
    </r>
    <r>
      <rPr>
        <sz val="11"/>
        <color theme="1"/>
        <rFont val="Noto Sans CJK SC"/>
        <family val="2"/>
      </rPr>
      <t xml:space="preserve">多站｜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</si>
  <si>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590 MW critical IT</t>
    </r>
    <r>
      <rPr>
        <sz val="11"/>
        <color theme="1"/>
        <rFont val="Noto Sans CJK SC"/>
        <family val="2"/>
      </rPr>
      <t xml:space="preserve">（約）</t>
    </r>
  </si>
  <si>
    <t xml:space="preserve">2025-02-26</t>
  </si>
  <si>
    <t xml:space="preserve">https://www.sec.gov/Archives/edgar/data/1839341/000162828025008312/ex991-coreweavepressrelease.htm</t>
  </si>
  <si>
    <t xml:space="preserve">A#91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</si>
  <si>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Kenilworth, NJ</t>
    </r>
    <r>
      <rPr>
        <sz val="11"/>
        <color theme="1"/>
        <rFont val="Noto Sans CJK SC"/>
        <family val="2"/>
      </rPr>
      <t xml:space="preserve">（自建）｜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</si>
  <si>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A#92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</si>
  <si>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Lancaster, PA</t>
    </r>
    <r>
      <rPr>
        <sz val="11"/>
        <color theme="1"/>
        <rFont val="Noto Sans CJK SC"/>
        <family val="2"/>
      </rPr>
      <t xml:space="preserve">（自建／</t>
    </r>
    <r>
      <rPr>
        <sz val="11"/>
        <color theme="1"/>
        <rFont val="Calibri"/>
        <family val="2"/>
        <charset val="1"/>
      </rPr>
      <t xml:space="preserve">Blue Owl JV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</si>
  <si>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300 MW</t>
  </si>
  <si>
    <t xml:space="preserve">A#93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</si>
  <si>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Indonesia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APAC </t>
    </r>
    <r>
      <rPr>
        <sz val="11"/>
        <color theme="1"/>
        <rFont val="Noto Sans CJK SC"/>
        <family val="2"/>
      </rPr>
      <t xml:space="preserve">首站）｜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</si>
  <si>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360 MW</t>
  </si>
  <si>
    <t xml:space="preserve">A#94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</si>
  <si>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</si>
  <si>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35–39 US$B</t>
  </si>
  <si>
    <t xml:space="preserve">A#95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</si>
  <si>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</si>
  <si>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170 MW</t>
    </r>
    <r>
      <rPr>
        <sz val="11"/>
        <color theme="1"/>
        <rFont val="Noto Sans CJK SC"/>
        <family val="2"/>
      </rPr>
      <t xml:space="preserve">（約）</t>
    </r>
  </si>
  <si>
    <t xml:space="preserve">https://www.sec.gov/Archives/edgar/data/1513845/000110465926013946/tm266173d1_ex99-2.htm</t>
  </si>
  <si>
    <t xml:space="preserve">A#96</t>
  </si>
  <si>
    <t xml:space="preserve">A#97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</si>
  <si>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connected power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</si>
  <si>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t xml:space="preserve">800–1000 MW</t>
  </si>
  <si>
    <t xml:space="preserve">2026-08-12</t>
  </si>
  <si>
    <t xml:space="preserve">https://www.marketbeat.com/instant-alerts/nebius-group-q2-earnings-call-highlights-2026-08-12/?.tsrc=rss</t>
  </si>
  <si>
    <t xml:space="preserve">A#98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</si>
  <si>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contracted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</si>
  <si>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3500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&gt;3.5 GW</t>
    </r>
    <r>
      <rPr>
        <sz val="11"/>
        <color theme="1"/>
        <rFont val="Noto Sans CJK SC"/>
        <family val="2"/>
      </rPr>
      <t xml:space="preserve">）</t>
    </r>
  </si>
  <si>
    <t xml:space="preserve">2026-05-13</t>
  </si>
  <si>
    <t xml:space="preserve">https://www.sec.gov/Archives/edgar/data/1513845/000110465926059872/tm2614392d1_ex99-2.htm</t>
  </si>
  <si>
    <t xml:space="preserve">A#99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</si>
  <si>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Lappeenranta, Finland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</si>
  <si>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310 MW</t>
  </si>
  <si>
    <t xml:space="preserve">/root/company-models/nebius/data/nebius_facts_20261007.json</t>
  </si>
  <si>
    <t xml:space="preserve">A#100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</si>
  <si>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Independence, Missouri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</si>
  <si>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1200 MW</t>
  </si>
  <si>
    <t xml:space="preserve">A#101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</si>
  <si>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Pennsylvania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</si>
  <si>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A#102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</si>
  <si>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Vineland, NJ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build-to-suit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</si>
  <si>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205 MW-IT</t>
    </r>
    <r>
      <rPr>
        <sz val="11"/>
        <color theme="1"/>
        <rFont val="Noto Sans CJK SC"/>
        <family val="2"/>
      </rPr>
      <t xml:space="preserve">（推估）</t>
    </r>
  </si>
  <si>
    <t xml:space="preserve">A#103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</si>
  <si>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</si>
  <si>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20–25 US$B</t>
  </si>
  <si>
    <t xml:space="preserve">A#104</t>
  </si>
  <si>
    <t xml:space="preserve">其他新雲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</si>
  <si>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IREN Childress,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Horizon 1–4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</si>
  <si>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200 MW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× 50</t>
    </r>
    <r>
      <rPr>
        <sz val="11"/>
        <color theme="1"/>
        <rFont val="Noto Sans CJK SC"/>
        <family val="2"/>
      </rPr>
      <t xml:space="preserve">）</t>
    </r>
  </si>
  <si>
    <t xml:space="preserve">2026-08-27</t>
  </si>
  <si>
    <r>
      <rPr>
        <sz val="11"/>
        <color theme="1"/>
        <rFont val="Calibri"/>
        <family val="2"/>
        <charset val="1"/>
      </rPr>
      <t xml:space="preserve">al_neo_msft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cp_neo_iren</t>
    </r>
  </si>
  <si>
    <t xml:space="preserve">https://www.sec.gov/Archives/edgar/data/0001878848/000187884826000051/irenreportsfy26results.htm</t>
  </si>
  <si>
    <t xml:space="preserve">A#105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</si>
  <si>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累計交付目標｜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</si>
  <si>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300 MW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</si>
  <si>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t xml:space="preserve">A#106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</si>
  <si>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Applied Digital </t>
    </r>
    <r>
      <rPr>
        <sz val="11"/>
        <color theme="1"/>
        <rFont val="Noto Sans CJK SC"/>
        <family val="2"/>
      </rPr>
      <t xml:space="preserve">全公司租約｜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</si>
  <si>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1410 MW critical IT</t>
  </si>
  <si>
    <t xml:space="preserve">A#107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</si>
  <si>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Core Scientific </t>
    </r>
    <r>
      <rPr>
        <sz val="11"/>
        <color theme="1"/>
        <rFont val="Noto Sans CJK SC"/>
        <family val="2"/>
      </rPr>
      <t xml:space="preserve">計費容量｜</t>
    </r>
    <r>
      <rPr>
        <sz val="11"/>
        <color theme="1"/>
        <rFont val="Calibri"/>
        <family val="2"/>
        <charset val="1"/>
      </rPr>
      <t xml:space="preserve">online</t>
    </r>
  </si>
  <si>
    <t xml:space="preserve">437 MW</t>
  </si>
  <si>
    <t xml:space="preserve">2026-07-15</t>
  </si>
  <si>
    <t xml:space="preserve">https://www.sec.gov/Archives/edgar/data/0001839341/000183934126000013/q22026corescientificinc-ea.htm</t>
  </si>
  <si>
    <t xml:space="preserve">A#108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</si>
  <si>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已簽約容量｜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</si>
  <si>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4900 MW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）</t>
    </r>
  </si>
  <si>
    <t xml:space="preserve">2026-06-09</t>
  </si>
  <si>
    <t xml:space="preserve">https://news.bgov.com/artificial-intelligence/crusoe-touts-5-gigawatts-of-data-centers-pauses-wyoming-site</t>
  </si>
  <si>
    <t xml:space="preserve">A#109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</si>
  <si>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Lambda Kansas City, MO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</si>
  <si>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100 MW</t>
    </r>
    <r>
      <rPr>
        <sz val="11"/>
        <color theme="1"/>
        <rFont val="Noto Sans CJK SC"/>
        <family val="2"/>
      </rPr>
      <t xml:space="preserve">（首期 </t>
    </r>
    <r>
      <rPr>
        <sz val="11"/>
        <color theme="1"/>
        <rFont val="Calibri"/>
        <family val="2"/>
        <charset val="1"/>
      </rPr>
      <t xml:space="preserve">24 MW</t>
    </r>
    <r>
      <rPr>
        <sz val="11"/>
        <color theme="1"/>
        <rFont val="Noto Sans CJK SC"/>
        <family val="2"/>
      </rPr>
      <t xml:space="preserve">，可擴至 </t>
    </r>
    <r>
      <rPr>
        <sz val="11"/>
        <color theme="1"/>
        <rFont val="Calibri"/>
        <family val="2"/>
        <charset val="1"/>
      </rPr>
      <t xml:space="preserve">100+</t>
    </r>
    <r>
      <rPr>
        <sz val="11"/>
        <color theme="1"/>
        <rFont val="Noto Sans CJK SC"/>
        <family val="2"/>
      </rPr>
      <t xml:space="preserve">）</t>
    </r>
  </si>
  <si>
    <t xml:space="preserve">https://convergedigest.com/?p=106817</t>
  </si>
  <si>
    <t xml:space="preserve">A#110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</si>
  <si>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Lambda–Anthropic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</si>
  <si>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350 MW</t>
    </r>
    <r>
      <rPr>
        <sz val="11"/>
        <color theme="1"/>
        <rFont val="Noto Sans CJK SC"/>
        <family val="2"/>
      </rPr>
      <t xml:space="preserve">（約）</t>
    </r>
  </si>
  <si>
    <t xml:space="preserve">2026-09-01</t>
  </si>
  <si>
    <t xml:space="preserve">https://blog.pebblous.ai/blog/lambda-backlog-anthropic-concentration/en/</t>
  </si>
  <si>
    <t xml:space="preserve">A#111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</si>
  <si>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Nscale active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contracted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</si>
  <si>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1370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active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contracted </t>
    </r>
    <r>
      <rPr>
        <sz val="11"/>
        <color theme="1"/>
        <rFont val="Noto Sans CJK SC"/>
        <family val="2"/>
      </rPr>
      <t xml:space="preserve">合計）</t>
    </r>
  </si>
  <si>
    <t xml:space="preserve">https://pulse2.com/nscale-ipo-filing-reveals-103-4-billion-in-active-and-contracted-ai-infrastructure-agreements/</t>
  </si>
  <si>
    <t xml:space="preserve">A#112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</si>
  <si>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Nscale Loughton, Essex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</si>
  <si>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50 MW</t>
  </si>
  <si>
    <t xml:space="preserve">https://www.ibtimes.co.uk/microsoft-withdraws-essex-ai-data-centre-deal-1826366</t>
  </si>
  <si>
    <t xml:space="preserve">A#113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</si>
  <si>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Nscale Texas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Sines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Narvik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</si>
  <si>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411 MW-IT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200,000 GB300 </t>
    </r>
    <r>
      <rPr>
        <sz val="11"/>
        <color theme="1"/>
        <rFont val="Noto Sans CJK SC"/>
        <family val="2"/>
      </rPr>
      <t xml:space="preserve">換算）</t>
    </r>
  </si>
  <si>
    <t xml:space="preserve">2025-10-15</t>
  </si>
  <si>
    <t xml:space="preserve">A#114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</si>
  <si>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</si>
  <si>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102 MW critical IT</t>
  </si>
  <si>
    <r>
      <rPr>
        <sz val="11"/>
        <color theme="1"/>
        <rFont val="Calibri"/>
        <family val="2"/>
        <charset val="1"/>
      </rPr>
      <t xml:space="preserve">al_neo_ant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cp_neo_twf1</t>
    </r>
  </si>
  <si>
    <t xml:space="preserve">https://investors.terawulf.com/news-events/press-releases/detail/144</t>
  </si>
  <si>
    <t xml:space="preserve">A#115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</si>
  <si>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Together AI × HUMAIN</t>
    </r>
    <r>
      <rPr>
        <sz val="11"/>
        <color theme="1"/>
        <rFont val="Noto Sans CJK SC"/>
        <family val="2"/>
      </rPr>
      <t xml:space="preserve">（沙烏地）｜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</si>
  <si>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250 MW</t>
  </si>
  <si>
    <t xml:space="preserve">https://menastartupdigest.com/?p=50000</t>
  </si>
  <si>
    <t xml:space="preserve">A#116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</si>
  <si>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」擁有者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</si>
  <si>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2074.0 MW</t>
    </r>
    <r>
      <rPr>
        <sz val="11"/>
        <color theme="1"/>
        <rFont val="Noto Sans CJK SC"/>
        <family val="2"/>
      </rPr>
      <t xml:space="preserve">（晶片功耗）</t>
    </r>
  </si>
  <si>
    <r>
      <rPr>
        <sz val="11"/>
        <color theme="1"/>
        <rFont val="Noto Sans CJK SC"/>
        <family val="2"/>
      </rPr>
      <t xml:space="preserve">數值屬實；『不含中國』無出處，中國買家晶片可能在 </t>
    </r>
    <r>
      <rPr>
        <sz val="11"/>
        <color theme="1"/>
        <rFont val="Calibri"/>
        <family val="2"/>
        <charset val="1"/>
      </rPr>
      <t xml:space="preserve">Other </t>
    </r>
    <r>
      <rPr>
        <sz val="11"/>
        <color theme="1"/>
        <rFont val="Noto Sans CJK SC"/>
        <family val="2"/>
      </rPr>
      <t xml:space="preserve">內</t>
    </r>
  </si>
  <si>
    <r>
      <rPr>
        <sz val="11"/>
        <color theme="1"/>
        <rFont val="Calibri"/>
        <family val="2"/>
        <charset val="1"/>
      </rPr>
      <t xml:space="preserve">other_incl_china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tp_epoch</t>
    </r>
  </si>
  <si>
    <t xml:space="preserve">A#117</t>
  </si>
  <si>
    <t xml:space="preserve">市場對照</t>
  </si>
  <si>
    <r>
      <rPr>
        <sz val="11"/>
        <color theme="1"/>
        <rFont val="Noto Sans CJK SC"/>
        <family val="2"/>
      </rPr>
      <t xml:space="preserve">市場對照｜五大超大雲占累計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算力｜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</si>
  <si>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0.71 </t>
    </r>
    <r>
      <rPr>
        <sz val="11"/>
        <color theme="1"/>
        <rFont val="Noto Sans CJK SC"/>
        <family val="2"/>
      </rPr>
      <t xml:space="preserve">比率（</t>
    </r>
    <r>
      <rPr>
        <sz val="11"/>
        <color theme="1"/>
        <rFont val="Calibri"/>
        <family val="2"/>
        <charset val="1"/>
      </rPr>
      <t xml:space="preserve">H100e</t>
    </r>
    <r>
      <rPr>
        <sz val="11"/>
        <color theme="1"/>
        <rFont val="Noto Sans CJK SC"/>
        <family val="2"/>
      </rPr>
      <t xml:space="preserve">）</t>
    </r>
  </si>
  <si>
    <t xml:space="preserve">https://epoch.ai/data-insights/hyperscalers-control-most-compute</t>
  </si>
  <si>
    <t xml:space="preserve">A#118</t>
  </si>
  <si>
    <r>
      <rPr>
        <sz val="11"/>
        <color theme="1"/>
        <rFont val="Noto Sans CJK SC"/>
        <family val="2"/>
      </rPr>
      <t xml:space="preserve">市場對照｜全球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新增資料中心容量｜</t>
    </r>
    <r>
      <rPr>
        <sz val="11"/>
        <color theme="1"/>
        <rFont val="Calibri"/>
        <family val="2"/>
        <charset val="1"/>
      </rPr>
      <t xml:space="preserve">planned</t>
    </r>
  </si>
  <si>
    <t xml:space="preserve">50000 MW</t>
  </si>
  <si>
    <t xml:space="preserve">https://aiweekly.co/alerts/semianalysis-50gw-of-new-data-center-capacity-will-come-online-in-2027-matching</t>
  </si>
  <si>
    <t xml:space="preserve">B#2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</si>
  <si>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｜全體（自報）｜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</si>
  <si>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1.9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</si>
  <si>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CFO Friar</t>
    </r>
    <r>
      <rPr>
        <sz val="11"/>
        <color theme="1"/>
        <rFont val="Noto Sans CJK SC"/>
        <family val="2"/>
      </rPr>
      <t xml:space="preserve">；募資</t>
    </r>
    <r>
      <rPr>
        <sz val="11"/>
        <color theme="1"/>
        <rFont val="Calibri"/>
        <family val="2"/>
        <charset val="1"/>
      </rPr>
      <t xml:space="preserve">/IPO </t>
    </r>
    <r>
      <rPr>
        <sz val="11"/>
        <color theme="1"/>
        <rFont val="Noto Sans CJK SC"/>
        <family val="2"/>
      </rPr>
      <t xml:space="preserve">誘因）</t>
    </r>
  </si>
  <si>
    <t xml:space="preserve">https://www.datacenterdynamics.com/en/news/openai-cfo-says-company-ended-2025-with-19gw-of-compute-scaled-revenue-at-same-speed/</t>
  </si>
  <si>
    <t xml:space="preserve">B#3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</si>
  <si>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｜全體（簽約，美國）｜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</si>
  <si>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10 GW</t>
  </si>
  <si>
    <t xml:space="preserve">2026-04-29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</si>
  <si>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</si>
  <si>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天簽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AWS 2 GW</t>
    </r>
    <r>
      <rPr>
        <sz val="11"/>
        <color theme="1"/>
        <rFont val="Noto Sans CJK SC"/>
        <family val="2"/>
      </rPr>
      <t xml:space="preserve">），非 </t>
    </r>
    <r>
      <rPr>
        <sz val="11"/>
        <color theme="1"/>
        <rFont val="Calibri"/>
        <family val="2"/>
        <charset val="1"/>
      </rPr>
      <t xml:space="preserve">&gt;3 GW</t>
    </r>
  </si>
  <si>
    <t xml:space="preserve">https://the-decoder.com/openai-says-it-hit-its-10-gigawatt-compute-goal-years-ahead-of-schedule/</t>
  </si>
  <si>
    <t xml:space="preserve">B#4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</si>
  <si>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</si>
  <si>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low double-digit </t>
    </r>
    <r>
      <rPr>
        <sz val="11"/>
        <color theme="1"/>
        <rFont val="Noto Sans CJK SC"/>
        <family val="2"/>
      </rPr>
      <t xml:space="preserve">中點）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</si>
  <si>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內部預測，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引；備忘錄經 </t>
    </r>
    <r>
      <rPr>
        <sz val="11"/>
        <color theme="1"/>
        <rFont val="Calibri"/>
        <family val="2"/>
        <charset val="1"/>
      </rPr>
      <t xml:space="preserve">Tae Kim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</si>
  <si>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：出處拆分；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：無 </t>
    </r>
    <r>
      <rPr>
        <sz val="11"/>
        <color theme="1"/>
        <rFont val="Calibri"/>
        <family val="2"/>
        <charset val="1"/>
      </rPr>
      <t xml:space="preserve">Bloomberg</t>
    </r>
  </si>
  <si>
    <t xml:space="preserve">https://epoch.ai/gradient-updates/frontier-labs-dont-use-most-ai-compute</t>
  </si>
  <si>
    <t xml:space="preserve">B#5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</si>
  <si>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平均上線（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推估）｜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</si>
  <si>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2.5–3.8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2.8–3.2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</si>
  <si>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（隨 </t>
    </r>
    <r>
      <rPr>
        <sz val="11"/>
        <color theme="1"/>
        <rFont val="Calibri"/>
        <family val="2"/>
        <charset val="1"/>
      </rPr>
      <t xml:space="preserve">1.9GW </t>
    </r>
    <r>
      <rPr>
        <sz val="11"/>
        <color theme="1"/>
        <rFont val="Noto Sans CJK SC"/>
        <family val="2"/>
      </rPr>
      <t xml:space="preserve">口徑）</t>
    </r>
  </si>
  <si>
    <t xml:space="preserve">2026-10-24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</si>
  <si>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（輸入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</si>
  <si>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repo:/root/Tokenomics/docs/evidence/20261024_OpenAI2026GW_A</t>
    </r>
    <r>
      <rPr>
        <sz val="11"/>
        <color theme="1"/>
        <rFont val="Noto Sans CJK SC"/>
        <family val="2"/>
      </rPr>
      <t xml:space="preserve">段</t>
    </r>
    <r>
      <rPr>
        <sz val="11"/>
        <color theme="1"/>
        <rFont val="Calibri"/>
        <family val="2"/>
        <charset val="1"/>
      </rPr>
      <t xml:space="preserve">/README.md</t>
    </r>
  </si>
  <si>
    <t xml:space="preserve">B#6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</si>
  <si>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｜第三方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年底估｜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</si>
  <si>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 GW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</si>
  <si>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NextBigFuture </t>
    </r>
    <r>
      <rPr>
        <sz val="11"/>
        <color theme="1"/>
        <rFont val="Noto Sans CJK SC"/>
        <family val="2"/>
      </rPr>
      <t xml:space="preserve">轉述；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只作佐證）</t>
    </r>
  </si>
  <si>
    <t xml:space="preserve">https://www.nextbigfuture.com/2026/08/tracking-ai-gigawatts-revenue-expenses-and-deep-dive-into-productive-agents.html</t>
  </si>
  <si>
    <t xml:space="preserve">B#7</t>
  </si>
  <si>
    <t xml:space="preserve">Oracle×OpenAI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</si>
  <si>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Abilene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建、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承租）｜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</si>
  <si>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618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</si>
  <si>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轉述）</t>
    </r>
  </si>
  <si>
    <t xml:space="preserve">https://www.marketbeat.com/instant-alerts/transcript-oracle-q1-earnings-call-highlights-2026-09-10/</t>
  </si>
  <si>
    <t xml:space="preserve">B#8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</si>
  <si>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Abilene </t>
    </r>
    <r>
      <rPr>
        <sz val="11"/>
        <color theme="1"/>
        <rFont val="Noto Sans CJK SC"/>
        <family val="2"/>
      </rPr>
      <t xml:space="preserve">擴建（約 </t>
    </r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</si>
  <si>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0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</si>
  <si>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報導，二手）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</si>
  <si>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：出處錯置；</t>
    </r>
    <r>
      <rPr>
        <sz val="11"/>
        <color theme="1"/>
        <rFont val="Calibri"/>
        <family val="2"/>
        <charset val="1"/>
      </rPr>
      <t xml:space="preserve">as_of</t>
    </r>
    <r>
      <rPr>
        <sz val="11"/>
        <color theme="1"/>
        <rFont val="Noto Sans CJK SC"/>
        <family val="2"/>
      </rPr>
      <t xml:space="preserve">：原文僅月份</t>
    </r>
  </si>
  <si>
    <t xml:space="preserve">https://www.regardsofwallstreet.com/data/ai-deals/entity/openai</t>
  </si>
  <si>
    <t xml:space="preserve">B#9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</si>
  <si>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雲端合約（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擴大）｜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</si>
  <si>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4.5 GW</t>
  </si>
  <si>
    <t xml:space="preserve">2025-07-22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</si>
  <si>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公告 </t>
    </r>
    <r>
      <rPr>
        <sz val="11"/>
        <color theme="1"/>
        <rFont val="Calibri"/>
        <family val="2"/>
        <charset val="1"/>
      </rPr>
      <t xml:space="preserve">4.5GW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$300B </t>
    </r>
    <r>
      <rPr>
        <sz val="11"/>
        <color theme="1"/>
        <rFont val="Noto Sans CJK SC"/>
        <family val="2"/>
      </rPr>
      <t xml:space="preserve">為報導，雙方未發稿）</t>
    </r>
  </si>
  <si>
    <t xml:space="preserve">https://www.theregister.com/2025/07/22/openai_oracle_gpus/</t>
  </si>
  <si>
    <t xml:space="preserve">B#10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</si>
  <si>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Shackelford TX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</si>
  <si>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衛星＋揭露推估）</t>
    </r>
  </si>
  <si>
    <r>
      <rPr>
        <sz val="11"/>
        <color theme="1"/>
        <rFont val="Calibri"/>
        <family val="2"/>
        <charset val="1"/>
      </rPr>
      <t xml:space="preserve">al_orcl_oai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cp_orcl_shk2</t>
    </r>
  </si>
  <si>
    <r>
      <rPr>
        <sz val="11"/>
        <color theme="1"/>
        <rFont val="Calibri"/>
        <family val="2"/>
        <charset val="1"/>
      </rPr>
      <t xml:space="preserve">repo:/root/Tokenomics/docs/evidence/20261024_J7_OpenAI</t>
    </r>
    <r>
      <rPr>
        <sz val="11"/>
        <color theme="1"/>
        <rFont val="Noto Sans CJK SC"/>
        <family val="2"/>
      </rPr>
      <t xml:space="preserve">站點</t>
    </r>
    <r>
      <rPr>
        <sz val="11"/>
        <color theme="1"/>
        <rFont val="Calibri"/>
        <family val="2"/>
        <charset val="1"/>
      </rPr>
      <t xml:space="preserve">MW/epoch_openai_sites_timelines.csv</t>
    </r>
  </si>
  <si>
    <t xml:space="preserve">B#11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</si>
  <si>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Doña Ana NM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</si>
  <si>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1750 MW</t>
  </si>
  <si>
    <t xml:space="preserve">2026-06-22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</si>
  <si>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）；延遲：報導</t>
    </r>
  </si>
  <si>
    <t xml:space="preserve">B#12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</si>
  <si>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Michigan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Saline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</si>
  <si>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988 MW</t>
  </si>
  <si>
    <t xml:space="preserve">2026-03-12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</si>
  <si>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</si>
  <si>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B#13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</si>
  <si>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Wisconsin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Port Washington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</si>
  <si>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902 MW</t>
  </si>
  <si>
    <t xml:space="preserve">2026-07-24</t>
  </si>
  <si>
    <t xml:space="preserve">B#14</t>
  </si>
  <si>
    <t xml:space="preserve">SoftBank×OpenAI</t>
  </si>
  <si>
    <r>
      <rPr>
        <sz val="11"/>
        <color theme="1"/>
        <rFont val="Calibri"/>
        <family val="2"/>
        <charset val="1"/>
      </rPr>
      <t xml:space="preserve">SoftBank×OpenAI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Milam County TX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</si>
  <si>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857 MW</t>
  </si>
  <si>
    <t xml:space="preserve">2026-03-23</t>
  </si>
  <si>
    <r>
      <rPr>
        <sz val="11"/>
        <color theme="1"/>
        <rFont val="Calibri"/>
        <family val="2"/>
        <charset val="1"/>
      </rPr>
      <t xml:space="preserve">mw_oai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cpx_oai_milam</t>
    </r>
  </si>
  <si>
    <t xml:space="preserve">B#15</t>
  </si>
  <si>
    <r>
      <rPr>
        <sz val="11"/>
        <color theme="1"/>
        <rFont val="Calibri"/>
        <family val="2"/>
        <charset val="1"/>
      </rPr>
      <t xml:space="preserve">SoftBank×OpenAI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Lordstown OH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</si>
  <si>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214 MW</t>
  </si>
  <si>
    <r>
      <rPr>
        <sz val="11"/>
        <color theme="1"/>
        <rFont val="Calibri"/>
        <family val="2"/>
        <charset val="1"/>
      </rPr>
      <t xml:space="preserve">mw_oai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cpx_oai_lord</t>
    </r>
  </si>
  <si>
    <t xml:space="preserve">B#16</t>
  </si>
  <si>
    <t xml:space="preserve">SB Energy×OpenAI</t>
  </si>
  <si>
    <r>
      <rPr>
        <sz val="11"/>
        <color theme="1"/>
        <rFont val="Calibri"/>
        <family val="2"/>
        <charset val="1"/>
      </rPr>
      <t xml:space="preserve">SB Energy×OpenAI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 Pike </t>
    </r>
    <r>
      <rPr>
        <sz val="11"/>
        <color theme="1"/>
        <rFont val="Noto Sans CJK SC"/>
        <family val="2"/>
      </rPr>
      <t xml:space="preserve">園區 </t>
    </r>
    <r>
      <rPr>
        <sz val="11"/>
        <color theme="1"/>
        <rFont val="Calibri"/>
        <family val="2"/>
        <charset val="1"/>
      </rPr>
      <t xml:space="preserve">OH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擔保）｜</t>
    </r>
    <r>
      <rPr>
        <sz val="11"/>
        <color theme="1"/>
        <rFont val="Calibri"/>
        <family val="2"/>
        <charset val="1"/>
      </rPr>
      <t xml:space="preserve">initial_phase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信用支持首期；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租約全園 </t>
    </r>
    <r>
      <rPr>
        <sz val="11"/>
        <color theme="1"/>
        <rFont val="Calibri"/>
        <family val="2"/>
        <charset val="1"/>
      </rPr>
      <t xml:space="preserve">8 IT-GW</t>
    </r>
    <r>
      <rPr>
        <sz val="11"/>
        <color theme="1"/>
        <rFont val="Noto Sans CJK SC"/>
        <family val="2"/>
      </rPr>
      <t xml:space="preserve">）</t>
    </r>
  </si>
  <si>
    <t xml:space="preserve">4.25 GW</t>
  </si>
  <si>
    <t xml:space="preserve">2026-08-17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</si>
  <si>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</si>
  <si>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Noto Sans CJK SC"/>
        <family val="2"/>
      </rPr>
      <t xml:space="preserve">全園 </t>
    </r>
    <r>
      <rPr>
        <sz val="11"/>
        <color theme="1"/>
        <rFont val="Calibri"/>
        <family val="2"/>
        <charset val="1"/>
      </rPr>
      <t xml:space="preserve">8 IT-GW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4.25 IT-GW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3.75 </t>
    </r>
    <r>
      <rPr>
        <sz val="11"/>
        <color theme="1"/>
        <rFont val="Noto Sans CJK SC"/>
        <family val="2"/>
      </rPr>
      <t xml:space="preserve">為選擇權；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起分期；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4.25 </t>
    </r>
    <r>
      <rPr>
        <sz val="11"/>
        <color theme="1"/>
        <rFont val="Noto Sans CJK SC"/>
        <family val="2"/>
      </rPr>
      <t xml:space="preserve">為首期，非簽約量；</t>
    </r>
    <r>
      <rPr>
        <sz val="11"/>
        <color theme="1"/>
        <rFont val="Calibri"/>
        <family val="2"/>
        <charset val="1"/>
      </rPr>
      <t xml:space="preserve">expected_online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800MW </t>
    </r>
    <r>
      <rPr>
        <sz val="11"/>
        <color theme="1"/>
        <rFont val="Noto Sans CJK SC"/>
        <family val="2"/>
      </rPr>
      <t xml:space="preserve">不在原文</t>
    </r>
  </si>
  <si>
    <r>
      <rPr>
        <sz val="11"/>
        <color theme="1"/>
        <rFont val="Calibri"/>
        <family val="2"/>
        <charset val="1"/>
      </rPr>
      <t xml:space="preserve">al_oai_self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cp_oai_pp1</t>
    </r>
  </si>
  <si>
    <t xml:space="preserve">https://nvidianews.nvidia.com/news/nvidia-guarantees-sb-energy-s-ports-pike-technology-campus-in-ohio-to-exclusively-host-nvidia-ai-compute</t>
  </si>
  <si>
    <t xml:space="preserve">B#17</t>
  </si>
  <si>
    <t xml:space="preserve">Microsoft×OpenAI</t>
  </si>
  <si>
    <r>
      <rPr>
        <sz val="11"/>
        <color theme="1"/>
        <rFont val="Calibri"/>
        <family val="2"/>
        <charset val="1"/>
      </rPr>
      <t xml:space="preserve">Microsoft×OpenAI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增量承諾 </t>
    </r>
    <r>
      <rPr>
        <sz val="11"/>
        <color theme="1"/>
        <rFont val="Calibri"/>
        <family val="2"/>
        <charset val="1"/>
      </rPr>
      <t xml:space="preserve">$250B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</si>
  <si>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（未揭露）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</si>
  <si>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8-K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公告）</t>
    </r>
  </si>
  <si>
    <t xml:space="preserve">https://openai.com/index/next-chapter-of-microsoft-openai-partnership/</t>
  </si>
  <si>
    <t xml:space="preserve">B#18</t>
  </si>
  <si>
    <r>
      <rPr>
        <sz val="11"/>
        <color theme="1"/>
        <rFont val="Calibri"/>
        <family val="2"/>
        <charset val="1"/>
      </rPr>
      <t xml:space="preserve">Microsoft×OpenAI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Atlanta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</si>
  <si>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636 MW</t>
  </si>
  <si>
    <t xml:space="preserve">B#19</t>
  </si>
  <si>
    <r>
      <rPr>
        <sz val="11"/>
        <color theme="1"/>
        <rFont val="Calibri"/>
        <family val="2"/>
        <charset val="1"/>
      </rPr>
      <t xml:space="preserve">Microsoft×OpenAI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Wisconsin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</si>
  <si>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369 MW</t>
  </si>
  <si>
    <t xml:space="preserve">2026-04-16</t>
  </si>
  <si>
    <t xml:space="preserve">B#20</t>
  </si>
  <si>
    <t xml:space="preserve">CoreWeave×OpenAI</t>
  </si>
  <si>
    <r>
      <rPr>
        <sz val="11"/>
        <color theme="1"/>
        <rFont val="Calibri"/>
        <family val="2"/>
        <charset val="1"/>
      </rPr>
      <t xml:space="preserve">CoreWeave×OpenAI</t>
    </r>
    <r>
      <rPr>
        <sz val="11"/>
        <color theme="1"/>
        <rFont val="Noto Sans CJK SC"/>
        <family val="2"/>
      </rPr>
      <t xml:space="preserve">｜三份合約 </t>
    </r>
    <r>
      <rPr>
        <sz val="11"/>
        <color theme="1"/>
        <rFont val="Calibri"/>
        <family val="2"/>
        <charset val="1"/>
      </rPr>
      <t xml:space="preserve">$11.9B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$4B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$6.5B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</si>
  <si>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2025-09-25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</si>
  <si>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$6.5B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2031-05-31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ledger </t>
    </r>
    <r>
      <rPr>
        <sz val="11"/>
        <color theme="1"/>
        <rFont val="Noto Sans CJK SC"/>
        <family val="2"/>
      </rPr>
      <t xml:space="preserve">轉述（</t>
    </r>
    <r>
      <rPr>
        <sz val="11"/>
        <color theme="1"/>
        <rFont val="Calibri"/>
        <family val="2"/>
        <charset val="1"/>
      </rPr>
      <t xml:space="preserve">$11.9B 5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$4B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</si>
  <si>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找不到有誤：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有；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『至 </t>
    </r>
    <r>
      <rPr>
        <sz val="11"/>
        <color theme="1"/>
        <rFont val="Calibri"/>
        <family val="2"/>
        <charset val="1"/>
      </rPr>
      <t xml:space="preserve">2029–2031 </t>
    </r>
    <r>
      <rPr>
        <sz val="11"/>
        <color theme="1"/>
        <rFont val="Noto Sans CJK SC"/>
        <family val="2"/>
      </rPr>
      <t xml:space="preserve">找不到』有誤（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$6.5B through May 31, 2031</t>
    </r>
    <r>
      <rPr>
        <sz val="11"/>
        <color theme="1"/>
        <rFont val="Noto Sans CJK SC"/>
        <family val="2"/>
      </rPr>
      <t xml:space="preserve">）</t>
    </r>
  </si>
  <si>
    <t xml:space="preserve">B#21</t>
  </si>
  <si>
    <t xml:space="preserve">AWS×OpenAI</t>
  </si>
  <si>
    <r>
      <rPr>
        <sz val="11"/>
        <color theme="1"/>
        <rFont val="Calibri"/>
        <family val="2"/>
        <charset val="1"/>
      </rPr>
      <t xml:space="preserve">AWS×OpenAI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$38B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GB200/GB300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</si>
  <si>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AWS/OpenAI </t>
    </r>
    <r>
      <rPr>
        <sz val="11"/>
        <color theme="1"/>
        <rFont val="Noto Sans CJK SC"/>
        <family val="2"/>
      </rPr>
      <t xml:space="preserve">公告）</t>
    </r>
  </si>
  <si>
    <t xml:space="preserve">B#22</t>
  </si>
  <si>
    <r>
      <rPr>
        <sz val="11"/>
        <color theme="1"/>
        <rFont val="Calibri"/>
        <family val="2"/>
        <charset val="1"/>
      </rPr>
      <t xml:space="preserve">AWS×OpenAI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Trainium 2GW</t>
    </r>
    <r>
      <rPr>
        <sz val="11"/>
        <color theme="1"/>
        <rFont val="Noto Sans CJK SC"/>
        <family val="2"/>
      </rPr>
      <t xml:space="preserve">（＋</t>
    </r>
    <r>
      <rPr>
        <sz val="11"/>
        <color theme="1"/>
        <rFont val="Calibri"/>
        <family val="2"/>
        <charset val="1"/>
      </rPr>
      <t xml:space="preserve">$100B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</si>
  <si>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 GW</t>
  </si>
  <si>
    <t xml:space="preserve">2026-02-27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</si>
  <si>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OpenAI/Amazon </t>
    </r>
    <r>
      <rPr>
        <sz val="11"/>
        <color theme="1"/>
        <rFont val="Noto Sans CJK SC"/>
        <family val="2"/>
      </rPr>
      <t xml:space="preserve">公告）</t>
    </r>
  </si>
  <si>
    <t xml:space="preserve">https://siliconangle.com/2026/02/27/openai-raises-110b-730b-valuation-expands-aws-nvidia-partnerships/</t>
  </si>
  <si>
    <t xml:space="preserve">B#23</t>
  </si>
  <si>
    <t xml:space="preserve">Nvidia×OpenAI</t>
  </si>
  <si>
    <r>
      <rPr>
        <sz val="11"/>
        <color theme="1"/>
        <rFont val="Calibri"/>
        <family val="2"/>
        <charset val="1"/>
      </rPr>
      <t xml:space="preserve">Nvidia×OpenAI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Vera Rubin 5GW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新增）｜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</si>
  <si>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5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</si>
  <si>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（公司公告；</t>
    </r>
    <r>
      <rPr>
        <sz val="11"/>
        <color theme="1"/>
        <rFont val="Calibri"/>
        <family val="2"/>
        <charset val="1"/>
      </rPr>
      <t xml:space="preserve">LOI </t>
    </r>
    <r>
      <rPr>
        <sz val="11"/>
        <color theme="1"/>
        <rFont val="Noto Sans CJK SC"/>
        <family val="2"/>
      </rPr>
      <t xml:space="preserve">改案為報導）</t>
    </r>
  </si>
  <si>
    <t xml:space="preserve">B#24</t>
  </si>
  <si>
    <t xml:space="preserve">AMD×OpenAI</t>
  </si>
  <si>
    <r>
      <rPr>
        <sz val="11"/>
        <color theme="1"/>
        <rFont val="Calibri"/>
        <family val="2"/>
        <charset val="1"/>
      </rPr>
      <t xml:space="preserve">AMD×OpenAI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MI450 6GW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</si>
  <si>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6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</si>
  <si>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AMD/OpenAI</t>
    </r>
    <r>
      <rPr>
        <sz val="11"/>
        <color theme="1"/>
        <rFont val="Noto Sans CJK SC"/>
        <family val="2"/>
      </rPr>
      <t xml:space="preserve">）</t>
    </r>
  </si>
  <si>
    <t xml:space="preserve">https://www.datacenterdynamics.com/en/news/amd-to-supply-openai-with-6gw-worth-of-gpus-plans-1gw-deployment-starting-in-2026/</t>
  </si>
  <si>
    <t xml:space="preserve">B#25</t>
  </si>
  <si>
    <t xml:space="preserve">Broadcom×OpenAI</t>
  </si>
  <si>
    <r>
      <rPr>
        <sz val="11"/>
        <color theme="1"/>
        <rFont val="Calibri"/>
        <family val="2"/>
        <charset val="1"/>
      </rPr>
      <t xml:space="preserve">Broadcom×OpenAI</t>
    </r>
    <r>
      <rPr>
        <sz val="11"/>
        <color theme="1"/>
        <rFont val="Noto Sans CJK SC"/>
        <family val="2"/>
      </rPr>
      <t xml:space="preserve">｜客製加速器 </t>
    </r>
    <r>
      <rPr>
        <sz val="11"/>
        <color theme="1"/>
        <rFont val="Calibri"/>
        <family val="2"/>
        <charset val="1"/>
      </rPr>
      <t xml:space="preserve">10GW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</si>
  <si>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2025-10-13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</si>
  <si>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Broadcom/OpenAI</t>
    </r>
    <r>
      <rPr>
        <sz val="11"/>
        <color theme="1"/>
        <rFont val="Noto Sans CJK SC"/>
        <family val="2"/>
      </rPr>
      <t xml:space="preserve">）</t>
    </r>
  </si>
  <si>
    <t xml:space="preserve">https://www.maginative.com/article/openai-and-broadcom-to-co-design-custom-ai-chips-deploy-10-gw-by-2029/</t>
  </si>
  <si>
    <t xml:space="preserve">B#26</t>
  </si>
  <si>
    <t xml:space="preserve">Cerebras×OpenAI</t>
  </si>
  <si>
    <r>
      <rPr>
        <sz val="11"/>
        <color theme="1"/>
        <rFont val="Calibri"/>
        <family val="2"/>
        <charset val="1"/>
      </rPr>
      <t xml:space="preserve">Cerebras×OpenAI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750MW </t>
    </r>
    <r>
      <rPr>
        <sz val="11"/>
        <color theme="1"/>
        <rFont val="Noto Sans CJK SC"/>
        <family val="2"/>
      </rPr>
      <t xml:space="preserve">推論容量（＋</t>
    </r>
    <r>
      <rPr>
        <sz val="11"/>
        <color theme="1"/>
        <rFont val="Calibri"/>
        <family val="2"/>
        <charset val="1"/>
      </rPr>
      <t xml:space="preserve">1.25GW </t>
    </r>
    <r>
      <rPr>
        <sz val="11"/>
        <color theme="1"/>
        <rFont val="Noto Sans CJK SC"/>
        <family val="2"/>
      </rPr>
      <t xml:space="preserve">選擇權）｜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</si>
  <si>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750 MW</t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</si>
  <si>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CS-3 </t>
    </r>
    <r>
      <rPr>
        <sz val="11"/>
        <color theme="1"/>
        <rFont val="Noto Sans CJK SC"/>
        <family val="2"/>
      </rPr>
      <t xml:space="preserve">系統）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</si>
  <si>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Cerebras S-1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</si>
  <si>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https://letsdatascience.com/blog/cerebras-ipo-openai-20-billion-doubled-commitment</t>
  </si>
  <si>
    <t xml:space="preserve">B#27</t>
  </si>
  <si>
    <t xml:space="preserve">G42/Khazna×OpenAI</t>
  </si>
  <si>
    <r>
      <rPr>
        <sz val="11"/>
        <color theme="1"/>
        <rFont val="Calibri"/>
        <family val="2"/>
        <charset val="1"/>
      </rPr>
      <t xml:space="preserve">G42/Khazna×OpenAI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UAE </t>
    </r>
    <r>
      <rPr>
        <sz val="11"/>
        <color theme="1"/>
        <rFont val="Noto Sans CJK SC"/>
        <family val="2"/>
      </rPr>
      <t xml:space="preserve">第一期｜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</si>
  <si>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200 MW</t>
  </si>
  <si>
    <t xml:space="preserve">2026-09-12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</si>
  <si>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）；延遲：報導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</si>
  <si>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delay_note</t>
    </r>
    <r>
      <rPr>
        <sz val="11"/>
        <color theme="1"/>
        <rFont val="Noto Sans CJK SC"/>
        <family val="2"/>
      </rPr>
      <t xml:space="preserve">：範圍誤植；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：兩來源皆無 </t>
    </r>
    <r>
      <rPr>
        <sz val="11"/>
        <color theme="1"/>
        <rFont val="Calibri"/>
        <family val="2"/>
        <charset val="1"/>
      </rPr>
      <t xml:space="preserve">Epoch</t>
    </r>
  </si>
  <si>
    <t xml:space="preserve">https://thegulftape.com/articles/stargate-uae</t>
  </si>
  <si>
    <t xml:space="preserve">B#28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</si>
  <si>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Norway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</si>
  <si>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2026-04-28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</si>
  <si>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（報導）</t>
    </r>
  </si>
  <si>
    <t xml:space="preserve">https://www.structureresearch.net/2026/04/28/openai-suspends-stargate-uk-norway-projects-microsoft-steps-in-on-one/</t>
  </si>
  <si>
    <t xml:space="preserve">B#29</t>
  </si>
  <si>
    <t xml:space="preserve">Google×Anthropic</t>
  </si>
  <si>
    <r>
      <rPr>
        <sz val="11"/>
        <color theme="1"/>
        <rFont val="Calibri"/>
        <family val="2"/>
        <charset val="1"/>
      </rPr>
      <t xml:space="preserve">Google×Anthropic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Cloud TPU</t>
    </r>
    <r>
      <rPr>
        <sz val="11"/>
        <color theme="1"/>
        <rFont val="Noto Sans CJK SC"/>
        <family val="2"/>
      </rPr>
      <t xml:space="preserve">（至多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</si>
  <si>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&gt;1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</si>
  <si>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Anthropic/Google</t>
    </r>
    <r>
      <rPr>
        <sz val="11"/>
        <color theme="1"/>
        <rFont val="Noto Sans CJK SC"/>
        <family val="2"/>
      </rPr>
      <t xml:space="preserve">）</t>
    </r>
  </si>
  <si>
    <t xml:space="preserve">B#30</t>
  </si>
  <si>
    <t xml:space="preserve">Broadcom/Google×Anthropic</t>
  </si>
  <si>
    <r>
      <rPr>
        <sz val="11"/>
        <color theme="1"/>
        <rFont val="Calibri"/>
        <family val="2"/>
        <charset val="1"/>
      </rPr>
      <t xml:space="preserve">Broadcom/Google×Anthropic</t>
    </r>
    <r>
      <rPr>
        <sz val="11"/>
        <color theme="1"/>
        <rFont val="Noto Sans CJK SC"/>
        <family val="2"/>
      </rPr>
      <t xml:space="preserve">｜下一代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</si>
  <si>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3.5 GW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</si>
  <si>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A#30</t>
    </r>
    <r>
      <rPr>
        <sz val="11"/>
        <color theme="1"/>
        <rFont val="Noto Sans CJK SC"/>
        <family val="2"/>
      </rPr>
      <t xml:space="preserve">（標記已統一）；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：承諾量為公司自述；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：出處錯置</t>
    </r>
  </si>
  <si>
    <t xml:space="preserve">B#31</t>
  </si>
  <si>
    <t xml:space="preserve">AWS×Anthropic</t>
  </si>
  <si>
    <r>
      <rPr>
        <sz val="11"/>
        <color theme="1"/>
        <rFont val="Calibri"/>
        <family val="2"/>
        <charset val="1"/>
      </rPr>
      <t xml:space="preserve">AWS×Anthropic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Rainier New Carlisle 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</si>
  <si>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1037 MW</t>
  </si>
  <si>
    <t xml:space="preserve">2026-10</t>
  </si>
  <si>
    <t xml:space="preserve">https://epoch.ai/graphs/largest-ai-data-centers-by-power-capacity</t>
  </si>
  <si>
    <t xml:space="preserve">B#32</t>
  </si>
  <si>
    <r>
      <rPr>
        <sz val="11"/>
        <color theme="1"/>
        <rFont val="Calibri"/>
        <family val="2"/>
        <charset val="1"/>
      </rPr>
      <t xml:space="preserve">AWS×Anthropic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Trainium2–4 </t>
    </r>
    <r>
      <rPr>
        <sz val="11"/>
        <color theme="1"/>
        <rFont val="Noto Sans CJK SC"/>
        <family val="2"/>
      </rPr>
      <t xml:space="preserve">至多 </t>
    </r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&gt;$100B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</si>
  <si>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</t>
    </r>
  </si>
  <si>
    <t xml:space="preserve">https://www.anthropic.com/news/anthropic-amazon-compute</t>
  </si>
  <si>
    <t xml:space="preserve">B#33</t>
  </si>
  <si>
    <t xml:space="preserve">Microsoft×Anthropic</t>
  </si>
  <si>
    <r>
      <rPr>
        <sz val="11"/>
        <color theme="1"/>
        <rFont val="Calibri"/>
        <family val="2"/>
        <charset val="1"/>
      </rPr>
      <t xml:space="preserve">Microsoft×Anthropic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Azure $30B </t>
    </r>
    <r>
      <rPr>
        <sz val="11"/>
        <color theme="1"/>
        <rFont val="Noto Sans CJK SC"/>
        <family val="2"/>
      </rPr>
      <t xml:space="preserve">確定採購＋額外 </t>
    </r>
    <r>
      <rPr>
        <sz val="11"/>
        <color theme="1"/>
        <rFont val="Calibri"/>
        <family val="2"/>
        <charset val="1"/>
      </rPr>
      <t xml:space="preserve">NVIDIA GB/VR </t>
    </r>
    <r>
      <rPr>
        <sz val="11"/>
        <color theme="1"/>
        <rFont val="Noto Sans CJK SC"/>
        <family val="2"/>
      </rPr>
      <t xml:space="preserve">至多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option</t>
    </r>
    <r>
      <rPr>
        <sz val="11"/>
        <color theme="1"/>
        <rFont val="Noto Sans CJK SC"/>
        <family val="2"/>
      </rPr>
      <t xml:space="preserve">（上限）</t>
    </r>
  </si>
  <si>
    <t xml:space="preserve">1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</si>
  <si>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（公司公告）；招股書金額 </t>
    </r>
    <r>
      <rPr>
        <sz val="11"/>
        <color theme="1"/>
        <rFont val="Calibri"/>
        <family val="2"/>
        <charset val="1"/>
      </rPr>
      <t xml:space="preserve">$31.4B</t>
    </r>
    <r>
      <rPr>
        <sz val="11"/>
        <color theme="1"/>
        <rFont val="Noto Sans CJK SC"/>
        <family val="2"/>
      </rPr>
      <t xml:space="preserve">（報導轉述）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</si>
  <si>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site_or_contract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為額外承諾（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段判屬實有誤）；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up to</t>
    </r>
  </si>
  <si>
    <t xml:space="preserve">B#34</t>
  </si>
  <si>
    <t xml:space="preserve">SpaceX/xAI×Anthropic</t>
  </si>
  <si>
    <r>
      <rPr>
        <sz val="11"/>
        <color theme="1"/>
        <rFont val="Calibri"/>
        <family val="2"/>
        <charset val="1"/>
      </rPr>
      <t xml:space="preserve">SpaceX/xAI×Anthropic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Colossus 1 </t>
    </r>
    <r>
      <rPr>
        <sz val="11"/>
        <color theme="1"/>
        <rFont val="Noto Sans CJK SC"/>
        <family val="2"/>
      </rPr>
      <t xml:space="preserve">全部＋</t>
    </r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部分｜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</si>
  <si>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&gt;300 MW</t>
  </si>
  <si>
    <t xml:space="preserve">2026-05-06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</si>
  <si>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公告）＋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SpaceX S-1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</si>
  <si>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：二手轉述非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Colossus II </t>
    </r>
    <r>
      <rPr>
        <sz val="11"/>
        <color theme="1"/>
        <rFont val="Noto Sans CJK SC"/>
        <family val="2"/>
      </rPr>
      <t xml:space="preserve">有據（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$84.5B </t>
    </r>
    <r>
      <rPr>
        <sz val="11"/>
        <color theme="1"/>
        <rFont val="Noto Sans CJK SC"/>
        <family val="2"/>
      </rPr>
      <t xml:space="preserve">兩來源皆無</t>
    </r>
  </si>
  <si>
    <t xml:space="preserve">https://www.anthropic.com/news/higher-limits-spacex</t>
  </si>
  <si>
    <t xml:space="preserve">B#35</t>
  </si>
  <si>
    <r>
      <rPr>
        <sz val="11"/>
        <color theme="1"/>
        <rFont val="Calibri"/>
        <family val="2"/>
        <charset val="1"/>
      </rPr>
      <t xml:space="preserve">Fluidstack/</t>
    </r>
    <r>
      <rPr>
        <sz val="11"/>
        <color theme="1"/>
        <rFont val="Noto Sans CJK SC"/>
        <family val="2"/>
      </rPr>
      <t xml:space="preserve">新雲</t>
    </r>
    <r>
      <rPr>
        <sz val="11"/>
        <color theme="1"/>
        <rFont val="Calibri"/>
        <family val="2"/>
        <charset val="1"/>
      </rPr>
      <t xml:space="preserve">×Anthropic</t>
    </r>
  </si>
  <si>
    <r>
      <rPr>
        <sz val="11"/>
        <color theme="1"/>
        <rFont val="Calibri"/>
        <family val="2"/>
        <charset val="1"/>
      </rPr>
      <t xml:space="preserve">Fluidstack/</t>
    </r>
    <r>
      <rPr>
        <sz val="11"/>
        <color theme="1"/>
        <rFont val="Noto Sans CJK SC"/>
        <family val="2"/>
      </rPr>
      <t xml:space="preserve">新雲</t>
    </r>
    <r>
      <rPr>
        <sz val="11"/>
        <color theme="1"/>
        <rFont val="Calibri"/>
        <family val="2"/>
        <charset val="1"/>
      </rPr>
      <t xml:space="preserve">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Fluidstack $50B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Hut 8 River Bend 245MW</t>
    </r>
    <r>
      <rPr>
        <sz val="11"/>
        <color theme="1"/>
        <rFont val="Noto Sans CJK SC"/>
        <family val="2"/>
      </rPr>
      <t xml:space="preserve">（至多 </t>
    </r>
    <r>
      <rPr>
        <sz val="11"/>
        <color theme="1"/>
        <rFont val="Calibri"/>
        <family val="2"/>
        <charset val="1"/>
      </rPr>
      <t xml:space="preserve">2.295GW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</si>
  <si>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245 MW</t>
  </si>
  <si>
    <t xml:space="preserve">2025-12-17</t>
  </si>
  <si>
    <t xml:space="preserve">https://www.datacenterdynamics.com/en/news/hut-8-signs-245mw-capacity-deal-with-fluidstack-as-part-of-multi-gigawatt-partnership-with-anthropic</t>
  </si>
  <si>
    <t xml:space="preserve">B#36</t>
  </si>
  <si>
    <t xml:space="preserve">TeraWulf×Anthropic</t>
  </si>
  <si>
    <r>
      <rPr>
        <sz val="11"/>
        <color theme="1"/>
        <rFont val="Calibri"/>
        <family val="2"/>
        <charset val="1"/>
      </rPr>
      <t xml:space="preserve">TeraWulf×Anthropic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Kentucky </t>
    </r>
    <r>
      <rPr>
        <sz val="11"/>
        <color theme="1"/>
        <rFont val="Noto Sans CJK SC"/>
        <family val="2"/>
      </rPr>
      <t xml:space="preserve">機房租約｜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</si>
  <si>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401 MW</t>
  </si>
  <si>
    <t xml:space="preserve">2026-08-05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</si>
  <si>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TeraWulf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</si>
  <si>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2027H2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初全部交付</t>
    </r>
  </si>
  <si>
    <t xml:space="preserve">B#37</t>
  </si>
  <si>
    <t xml:space="preserve">Riot×Anthropic</t>
  </si>
  <si>
    <r>
      <rPr>
        <sz val="11"/>
        <color theme="1"/>
        <rFont val="Calibri"/>
        <family val="2"/>
        <charset val="1"/>
      </rPr>
      <t xml:space="preserve">Riot×Anthropic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Rockdale TX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</si>
  <si>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191 MW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</si>
  <si>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expected_online</t>
    </r>
    <r>
      <rPr>
        <sz val="11"/>
        <color theme="1"/>
        <rFont val="Noto Sans CJK SC"/>
        <family val="2"/>
      </rPr>
      <t xml:space="preserve">：原文有</t>
    </r>
  </si>
  <si>
    <t xml:space="preserve">https://www.datacenterdynamics.com/en/news/riot-platforms-agrees-191mw-20-year-lease-agreement-with-anthropic-worth-91bn-report/</t>
  </si>
  <si>
    <t xml:space="preserve">B#38</t>
  </si>
  <si>
    <t xml:space="preserve">Nscale×Anthropic</t>
  </si>
  <si>
    <r>
      <rPr>
        <sz val="11"/>
        <color theme="1"/>
        <rFont val="Calibri"/>
        <family val="2"/>
        <charset val="1"/>
      </rPr>
      <t xml:space="preserve">Nscale×Anthropic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算力 </t>
    </r>
    <r>
      <rPr>
        <sz val="11"/>
        <color theme="1"/>
        <rFont val="Calibri"/>
        <family val="2"/>
        <charset val="1"/>
      </rPr>
      <t xml:space="preserve">$45B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</si>
  <si>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460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</si>
  <si>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報導）</t>
    </r>
  </si>
  <si>
    <t xml:space="preserve">https://www.datacenterdynamics.com/en/news/anthropic-signs-45bn-compute-capacity-agreement-with-nscale-report/</t>
  </si>
  <si>
    <t xml:space="preserve">B#39</t>
  </si>
  <si>
    <t xml:space="preserve">Lambda×Anthropic</t>
  </si>
  <si>
    <r>
      <rPr>
        <sz val="11"/>
        <color theme="1"/>
        <rFont val="Calibri"/>
        <family val="2"/>
        <charset val="1"/>
      </rPr>
      <t xml:space="preserve">Lambda×Anthropic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Hut 8 Nueces County TX $35B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</si>
  <si>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350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</si>
  <si>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WSJ </t>
    </r>
    <r>
      <rPr>
        <sz val="11"/>
        <color theme="1"/>
        <rFont val="Noto Sans CJK SC"/>
        <family val="2"/>
      </rPr>
      <t xml:space="preserve">首報）</t>
    </r>
  </si>
  <si>
    <t xml:space="preserve">https://www.vktr.com/ai-market/anthropic-signs-35-billion-cloud-deal-with-nvidia-backed-lambda/</t>
  </si>
  <si>
    <t xml:space="preserve">B#40</t>
  </si>
  <si>
    <t xml:space="preserve">Volta×Anthropic</t>
  </si>
  <si>
    <r>
      <rPr>
        <sz val="11"/>
        <color theme="1"/>
        <rFont val="Calibri"/>
        <family val="2"/>
        <charset val="1"/>
      </rPr>
      <t xml:space="preserve">Volta×Anthropic</t>
    </r>
    <r>
      <rPr>
        <sz val="11"/>
        <color theme="1"/>
        <rFont val="Noto Sans CJK SC"/>
        <family val="2"/>
      </rPr>
      <t xml:space="preserve">｜挪威 </t>
    </r>
    <r>
      <rPr>
        <sz val="11"/>
        <color theme="1"/>
        <rFont val="Calibri"/>
        <family val="2"/>
        <charset val="1"/>
      </rPr>
      <t xml:space="preserve">Vera Rubin $10B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</si>
  <si>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133 MW</t>
  </si>
  <si>
    <t xml:space="preserve">https://the-decoder.com/anthropic-locks-in-10-billion-of-compute-from-volta-a-cloud-startup-that-didnt-exist-six-months-ago/</t>
  </si>
  <si>
    <t xml:space="preserve">B#41</t>
  </si>
  <si>
    <t xml:space="preserve">Nexus×Anthropic</t>
  </si>
  <si>
    <r>
      <rPr>
        <sz val="11"/>
        <color theme="1"/>
        <rFont val="Calibri"/>
        <family val="2"/>
        <charset val="1"/>
      </rPr>
      <t xml:space="preserve">Nexus×Anthropic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Hubbard TX </t>
    </r>
    <r>
      <rPr>
        <sz val="11"/>
        <color theme="1"/>
        <rFont val="Noto Sans CJK SC"/>
        <family val="2"/>
      </rPr>
      <t xml:space="preserve">園區｜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</si>
  <si>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Noto Sans CJK SC"/>
        <family val="2"/>
      </rPr>
      <t xml:space="preserve">報導）</t>
    </r>
  </si>
  <si>
    <t xml:space="preserve">https://www.datacenterdynamics.com/en/news/google-to-provide-financial-backing-for-multi-billion-dollar-anthropic-data-center-in-texas-report/</t>
  </si>
  <si>
    <t xml:space="preserve">B#42</t>
  </si>
  <si>
    <t xml:space="preserve">AMD×Anthropic</t>
  </si>
  <si>
    <r>
      <rPr>
        <sz val="11"/>
        <color theme="1"/>
        <rFont val="Calibri"/>
        <family val="2"/>
        <charset val="1"/>
      </rPr>
      <t xml:space="preserve">AMD×Anthropic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至多 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</si>
  <si>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新聞稿）</t>
    </r>
  </si>
  <si>
    <t xml:space="preserve">https://newsroom.amd.com/news/amd-anthropic-strategic-partnership/</t>
  </si>
  <si>
    <t xml:space="preserve">B#43</t>
  </si>
  <si>
    <t xml:space="preserve">CoreWeave×Anthropic</t>
  </si>
  <si>
    <r>
      <rPr>
        <sz val="11"/>
        <color theme="1"/>
        <rFont val="Calibri"/>
        <family val="2"/>
        <charset val="1"/>
      </rPr>
      <t xml:space="preserve">CoreWeave×Anthropic</t>
    </r>
    <r>
      <rPr>
        <sz val="11"/>
        <color theme="1"/>
        <rFont val="Noto Sans CJK SC"/>
        <family val="2"/>
      </rPr>
      <t xml:space="preserve">｜多年合約｜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</si>
  <si>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2026-04-10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</si>
  <si>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）</t>
    </r>
  </si>
  <si>
    <t xml:space="preserve">https://coreweave.com/news/coreweave-announces-multi-year-agreement-with-anthropic</t>
  </si>
  <si>
    <t xml:space="preserve">B#44</t>
  </si>
  <si>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｜全體簽約（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</si>
  <si>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&gt;=14.8 GW</t>
  </si>
  <si>
    <t xml:space="preserve">2026-09-06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</si>
  <si>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Information </t>
    </r>
    <r>
      <rPr>
        <sz val="11"/>
        <color theme="1"/>
        <rFont val="Noto Sans CJK SC"/>
        <family val="2"/>
      </rPr>
      <t xml:space="preserve">彙整）</t>
    </r>
  </si>
  <si>
    <t xml:space="preserve">https://dealroom.co/news/info-iclajk-how-anthropic-clinched-517-billion-in-compute-deals-in-11-months/</t>
  </si>
  <si>
    <t xml:space="preserve">B#45</t>
  </si>
  <si>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年底計畫｜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</si>
  <si>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2026-09-18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</si>
  <si>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NYT </t>
    </r>
    <r>
      <rPr>
        <sz val="11"/>
        <color theme="1"/>
        <rFont val="Noto Sans CJK SC"/>
        <family val="2"/>
      </rPr>
      <t xml:space="preserve">報導）</t>
    </r>
  </si>
  <si>
    <t xml:space="preserve">https://www.newsquawk.com/headlines/anthropic-reportedly-plans-to-have-5gw-worth-of-compute-by-the-end-of-2026-reports-nyt</t>
  </si>
  <si>
    <t xml:space="preserve">B#46</t>
  </si>
  <si>
    <t xml:space="preserve">SpaceX/xAI</t>
  </si>
  <si>
    <r>
      <rPr>
        <sz val="11"/>
        <color theme="1"/>
        <rFont val="Calibri"/>
        <family val="2"/>
        <charset val="1"/>
      </rPr>
      <t xml:space="preserve">SpaceX/xAI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nameplate compute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</si>
  <si>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1.4 GW</t>
  </si>
  <si>
    <r>
      <rPr>
        <sz val="11"/>
        <color theme="1"/>
        <rFont val="Calibri"/>
        <family val="2"/>
        <charset val="1"/>
      </rPr>
      <t xml:space="preserve">unknown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compute </t>
    </r>
    <r>
      <rPr>
        <sz val="11"/>
        <color theme="1"/>
        <rFont val="Noto Sans CJK SC"/>
        <family val="2"/>
      </rPr>
      <t xml:space="preserve">銘牌）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</si>
  <si>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季報／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</si>
  <si>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obs_xai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tgt_xai_27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mw_xai</t>
    </r>
  </si>
  <si>
    <t xml:space="preserve">https://www.datacenterdynamics.com/en/news/spacex-earnings-2gw-of-compute-by-year-end-aiming-for-10-20gw-by-end-of-2027/</t>
  </si>
  <si>
    <t xml:space="preserve">B#47</t>
  </si>
  <si>
    <r>
      <rPr>
        <sz val="11"/>
        <color theme="1"/>
        <rFont val="Calibri"/>
        <family val="2"/>
        <charset val="1"/>
      </rPr>
      <t xml:space="preserve">SpaceX/xAI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Colossus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Memphis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Southaven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</si>
  <si>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946 MW</t>
  </si>
  <si>
    <t xml:space="preserve">2026-06-15</t>
  </si>
  <si>
    <r>
      <rPr>
        <sz val="11"/>
        <color theme="1"/>
        <rFont val="Calibri"/>
        <family val="2"/>
        <charset val="1"/>
      </rPr>
      <t xml:space="preserve">946 MW-IT 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1,531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）無出處，刪除</t>
    </r>
  </si>
  <si>
    <r>
      <rPr>
        <sz val="11"/>
        <color theme="1"/>
        <rFont val="Calibri"/>
        <family val="2"/>
        <charset val="1"/>
      </rPr>
      <t xml:space="preserve">nnv_xai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cpx_xai_c2</t>
    </r>
  </si>
  <si>
    <t xml:space="preserve">https://epoch.ai/data/ai-data-centers/directory/colossus-2/satellite-explorer</t>
  </si>
  <si>
    <t xml:space="preserve">B#48</t>
  </si>
  <si>
    <r>
      <rPr>
        <sz val="11"/>
        <color theme="1"/>
        <rFont val="Calibri"/>
        <family val="2"/>
        <charset val="1"/>
      </rPr>
      <t xml:space="preserve">SpaceX/xAI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Colossus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Memphis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</si>
  <si>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&gt;300MW</t>
    </r>
    <r>
      <rPr>
        <sz val="11"/>
        <color theme="1"/>
        <rFont val="Noto Sans CJK SC"/>
        <family val="2"/>
      </rPr>
      <t xml:space="preserve">）</t>
    </r>
  </si>
  <si>
    <t xml:space="preserve">B#49</t>
  </si>
  <si>
    <t xml:space="preserve">SpaceX/xAI×Google</t>
  </si>
  <si>
    <r>
      <rPr>
        <sz val="11"/>
        <color theme="1"/>
        <rFont val="Calibri"/>
        <family val="2"/>
        <charset val="1"/>
      </rPr>
      <t xml:space="preserve">SpaceX/xAI×Google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租用約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</si>
  <si>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2026-06-05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</si>
  <si>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IPO </t>
    </r>
    <r>
      <rPr>
        <sz val="11"/>
        <color theme="1"/>
        <rFont val="Noto Sans CJK SC"/>
        <family val="2"/>
      </rPr>
      <t xml:space="preserve">申報，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轉述）</t>
    </r>
  </si>
  <si>
    <t xml:space="preserve">https://www.datacenterdynamics.com/en/news/google-to-pay-920-million-to-spacex-monthly-for-ai-capacity/</t>
  </si>
  <si>
    <t xml:space="preserve">B#50</t>
  </si>
  <si>
    <t xml:space="preserve">中國（全國）</t>
  </si>
  <si>
    <r>
      <rPr>
        <sz val="11"/>
        <color theme="1"/>
        <rFont val="Noto Sans CJK SC"/>
        <family val="2"/>
      </rPr>
      <t xml:space="preserve">中國（全國）｜智算總量｜</t>
    </r>
    <r>
      <rPr>
        <sz val="11"/>
        <color theme="1"/>
        <rFont val="Calibri"/>
        <family val="2"/>
        <charset val="1"/>
      </rPr>
      <t xml:space="preserve">online</t>
    </r>
  </si>
  <si>
    <t xml:space="preserve">2185 EFLOPS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</si>
  <si>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MIIT </t>
    </r>
    <r>
      <rPr>
        <sz val="11"/>
        <color theme="1"/>
        <rFont val="Noto Sans CJK SC"/>
        <family val="2"/>
      </rPr>
      <t xml:space="preserve">數據；經 </t>
    </r>
    <r>
      <rPr>
        <sz val="11"/>
        <color theme="1"/>
        <rFont val="Calibri"/>
        <family val="2"/>
        <charset val="1"/>
      </rPr>
      <t xml:space="preserve">SCMP/AI Weekly </t>
    </r>
    <r>
      <rPr>
        <sz val="11"/>
        <color theme="1"/>
        <rFont val="Noto Sans CJK SC"/>
        <family val="2"/>
      </rPr>
      <t xml:space="preserve">二手轉述）</t>
    </r>
  </si>
  <si>
    <t xml:space="preserve">https://aiweekly.co/alerts/miit-targets-9800-eflops-of-ai-compute-by-2030-532b-plan</t>
  </si>
  <si>
    <t xml:space="preserve">B#51</t>
  </si>
  <si>
    <r>
      <rPr>
        <sz val="11"/>
        <color theme="1"/>
        <rFont val="Noto Sans CJK SC"/>
        <family val="2"/>
      </rPr>
      <t xml:space="preserve">中國（全國）｜資料中心總容量｜</t>
    </r>
    <r>
      <rPr>
        <sz val="11"/>
        <color theme="1"/>
        <rFont val="Calibri"/>
        <family val="2"/>
        <charset val="1"/>
      </rPr>
      <t xml:space="preserve">online</t>
    </r>
  </si>
  <si>
    <t xml:space="preserve">32 GW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</si>
  <si>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，第三方）</t>
    </r>
  </si>
  <si>
    <r>
      <rPr>
        <sz val="11"/>
        <color theme="1"/>
        <rFont val="Calibri"/>
        <family val="2"/>
        <charset val="1"/>
      </rPr>
      <t xml:space="preserve">cn_tot26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cn_tot30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cn_sh26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cn_sh30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rng26_cn</t>
    </r>
  </si>
  <si>
    <t xml:space="preserve">https://www.rystadenergy.com/news/chinas-data-center-capacity-doubling-of-power</t>
  </si>
  <si>
    <t xml:space="preserve">B#52</t>
  </si>
  <si>
    <t xml:space="preserve">字節跳動</t>
  </si>
  <si>
    <r>
      <rPr>
        <sz val="11"/>
        <color theme="1"/>
        <rFont val="Noto Sans CJK SC"/>
        <family val="2"/>
      </rPr>
      <t xml:space="preserve">字節跳動｜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</si>
  <si>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1600→&gt;2000</t>
    </r>
    <r>
      <rPr>
        <sz val="11"/>
        <color theme="1"/>
        <rFont val="Noto Sans CJK SC"/>
        <family val="2"/>
      </rPr>
      <t xml:space="preserve">（或至多 </t>
    </r>
    <r>
      <rPr>
        <sz val="11"/>
        <color theme="1"/>
        <rFont val="Calibri"/>
        <family val="2"/>
        <charset val="1"/>
      </rPr>
      <t xml:space="preserve">$70B</t>
    </r>
    <r>
      <rPr>
        <sz val="11"/>
        <color theme="1"/>
        <rFont val="Noto Sans CJK SC"/>
        <family val="2"/>
      </rPr>
      <t xml:space="preserve">） 億人民幣</t>
    </r>
  </si>
  <si>
    <t xml:space="preserve">2026-05-27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</si>
  <si>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（匿名知情人士；</t>
    </r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SCMP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報導）</t>
    </r>
  </si>
  <si>
    <t xml:space="preserve">https://scmp.com/tech/article/3352906/bytedance-raises-2026-capex-least-25-amid-ai-boom-rising-memory-costs-sources-say</t>
  </si>
  <si>
    <t xml:space="preserve">B#53</t>
  </si>
  <si>
    <t xml:space="preserve">阿里巴巴</t>
  </si>
  <si>
    <r>
      <rPr>
        <sz val="11"/>
        <color theme="1"/>
        <rFont val="Noto Sans CJK SC"/>
        <family val="2"/>
      </rPr>
      <t xml:space="preserve">阿里巴巴｜單季資本支出（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4–6 </t>
    </r>
    <r>
      <rPr>
        <sz val="11"/>
        <color theme="1"/>
        <rFont val="Noto Sans CJK SC"/>
        <family val="2"/>
      </rPr>
      <t xml:space="preserve">月）｜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</si>
  <si>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677 </t>
    </r>
    <r>
      <rPr>
        <sz val="11"/>
        <color theme="1"/>
        <rFont val="Noto Sans CJK SC"/>
        <family val="2"/>
      </rPr>
      <t xml:space="preserve">億人民幣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</si>
  <si>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（財報，</t>
    </r>
    <r>
      <rPr>
        <sz val="11"/>
        <color theme="1"/>
        <rFont val="Calibri"/>
        <family val="2"/>
        <charset val="1"/>
      </rPr>
      <t xml:space="preserve">AP </t>
    </r>
    <r>
      <rPr>
        <sz val="11"/>
        <color theme="1"/>
        <rFont val="Noto Sans CJK SC"/>
        <family val="2"/>
      </rPr>
      <t xml:space="preserve">轉述）</t>
    </r>
  </si>
  <si>
    <t xml:space="preserve">https://ny1.com/nyc/all-boroughs/ap-top-news/2026/08/20/alibaba-quarterly-profit-drops-75-as-ai-investment-spending-grows</t>
  </si>
  <si>
    <t xml:space="preserve">B#54</t>
  </si>
  <si>
    <t xml:space="preserve">騰訊</t>
  </si>
  <si>
    <r>
      <rPr>
        <sz val="11"/>
        <color theme="1"/>
        <rFont val="Noto Sans CJK SC"/>
        <family val="2"/>
      </rPr>
      <t xml:space="preserve">騰訊｜單季資本支出（</t>
    </r>
    <r>
      <rPr>
        <sz val="11"/>
        <color theme="1"/>
        <rFont val="Calibri"/>
        <family val="2"/>
        <charset val="1"/>
      </rPr>
      <t xml:space="preserve">2026 Q2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</si>
  <si>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528 </t>
    </r>
    <r>
      <rPr>
        <sz val="11"/>
        <color theme="1"/>
        <rFont val="Noto Sans CJK SC"/>
        <family val="2"/>
      </rPr>
      <t xml:space="preserve">億人民幣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</si>
  <si>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（騰訊財報新聞稿）</t>
    </r>
  </si>
  <si>
    <t xml:space="preserve">https://www.thailand-business-news.com/pr-news/tencent-announces-2026-second-quarter-results</t>
  </si>
  <si>
    <t xml:space="preserve">B#55</t>
  </si>
  <si>
    <t xml:space="preserve">中國四大（阿里、騰訊、百度、字節）</t>
  </si>
  <si>
    <r>
      <rPr>
        <sz val="11"/>
        <color theme="1"/>
        <rFont val="Noto Sans CJK SC"/>
        <family val="2"/>
      </rPr>
      <t xml:space="preserve">中國四大（阿里、騰訊、百度、字節）｜合計資本支出｜</t>
    </r>
    <r>
      <rPr>
        <sz val="11"/>
        <color theme="1"/>
        <rFont val="Calibri"/>
        <family val="2"/>
        <charset val="1"/>
      </rPr>
      <t xml:space="preserve">capex</t>
    </r>
  </si>
  <si>
    <t xml:space="preserve">84 $B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</si>
  <si>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Goldman Sachs </t>
    </r>
    <r>
      <rPr>
        <sz val="11"/>
        <color theme="1"/>
        <rFont val="Noto Sans CJK SC"/>
        <family val="2"/>
      </rPr>
      <t xml:space="preserve">預測，</t>
    </r>
    <r>
      <rPr>
        <sz val="11"/>
        <color theme="1"/>
        <rFont val="Calibri"/>
        <family val="2"/>
        <charset val="1"/>
      </rPr>
      <t xml:space="preserve">JPR </t>
    </r>
    <r>
      <rPr>
        <sz val="11"/>
        <color theme="1"/>
        <rFont val="Noto Sans CJK SC"/>
        <family val="2"/>
      </rPr>
      <t xml:space="preserve">轉述）</t>
    </r>
  </si>
  <si>
    <t xml:space="preserve">https://www.jonpeddie.com/news/data-center-build-out-in-china/</t>
  </si>
  <si>
    <t xml:space="preserve">B#56</t>
  </si>
  <si>
    <t xml:space="preserve">華為昇騰</t>
  </si>
  <si>
    <r>
      <rPr>
        <sz val="11"/>
        <color theme="1"/>
        <rFont val="Noto Sans CJK SC"/>
        <family val="2"/>
      </rPr>
      <t xml:space="preserve">華為昇騰｜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產量目標｜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</si>
  <si>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die</t>
    </r>
  </si>
  <si>
    <t xml:space="preserve">n/a</t>
  </si>
  <si>
    <t xml:space="preserve">2025-09-29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</si>
  <si>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（匿名知情人士；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</si>
  <si>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https://gulfnews.com/technology/huawei-to-double-output-of-top-ai-chip-as-nvidia-wavers-in-china-1.500287469</t>
  </si>
  <si>
    <t xml:space="preserve">B#57</t>
  </si>
  <si>
    <r>
      <rPr>
        <sz val="11"/>
        <color theme="1"/>
        <rFont val="Noto Sans CJK SC"/>
        <family val="2"/>
      </rPr>
      <t xml:space="preserve">中國（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進口）</t>
    </r>
  </si>
  <si>
    <r>
      <rPr>
        <sz val="11"/>
        <color theme="1"/>
        <rFont val="Noto Sans CJK SC"/>
        <family val="2"/>
      </rPr>
      <t xml:space="preserve">中國（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進口）｜</t>
    </r>
    <r>
      <rPr>
        <sz val="11"/>
        <color theme="1"/>
        <rFont val="Calibri"/>
        <family val="2"/>
        <charset val="1"/>
      </rPr>
      <t xml:space="preserve">ByteDance</t>
    </r>
    <r>
      <rPr>
        <sz val="11"/>
        <color theme="1"/>
        <rFont val="Noto Sans CJK SC"/>
        <family val="2"/>
      </rPr>
      <t xml:space="preserve">、阿里、騰訊獲准 </t>
    </r>
    <r>
      <rPr>
        <sz val="11"/>
        <color theme="1"/>
        <rFont val="Calibri"/>
        <family val="2"/>
        <charset val="1"/>
      </rPr>
      <t xml:space="preserve">H200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</si>
  <si>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萬顆</t>
    </r>
  </si>
  <si>
    <t xml:space="preserve">2026-02-02</t>
  </si>
  <si>
    <t xml:space="preserve">https://www.datacenterdynamics.com/en/news/alibaba-considers-increasing-ai-data-center-capex-spend-to-69bn-over-three-years-report/</t>
  </si>
  <si>
    <t xml:space="preserve">B#58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</si>
  <si>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（沙烏地）</t>
    </r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</si>
  <si>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（沙烏地）｜全體目標｜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</si>
  <si>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2025-05-28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</si>
  <si>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Humain CEO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</si>
  <si>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mw_sov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cp_sov_hum1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cp_sov_hum3</t>
    </r>
  </si>
  <si>
    <t xml:space="preserve">https://www.datacenterdynamics.com/en/news/saudi-arabias-ai-co-humain-looking-for-us-data-center-equity-partner-targets-66gw-by-2034-with-subsidized-electricity</t>
  </si>
  <si>
    <t xml:space="preserve">B#59</t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</si>
  <si>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Khazna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</si>
  <si>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Khazna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UAE-US AI </t>
    </r>
    <r>
      <rPr>
        <sz val="11"/>
        <color theme="1"/>
        <rFont val="Noto Sans CJK SC"/>
        <family val="2"/>
      </rPr>
      <t xml:space="preserve">園區｜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</si>
  <si>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2025-05-22</t>
  </si>
  <si>
    <t xml:space="preserve">https://openai.com/index/introducing-stargate-uae</t>
  </si>
  <si>
    <t xml:space="preserve">B#60</t>
  </si>
  <si>
    <t xml:space="preserve">歐盟</t>
  </si>
  <si>
    <r>
      <rPr>
        <sz val="11"/>
        <color theme="1"/>
        <rFont val="Noto Sans CJK SC"/>
        <family val="2"/>
      </rPr>
      <t xml:space="preserve">歐盟｜</t>
    </r>
    <r>
      <rPr>
        <sz val="11"/>
        <color theme="1"/>
        <rFont val="Calibri"/>
        <family val="2"/>
        <charset val="1"/>
      </rPr>
      <t xml:space="preserve">AI Gigafactories</t>
    </r>
    <r>
      <rPr>
        <sz val="11"/>
        <color theme="1"/>
        <rFont val="Noto Sans CJK SC"/>
        <family val="2"/>
      </rPr>
      <t xml:space="preserve">（至多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座）｜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</si>
  <si>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（未揭露；每座 ≥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</si>
  <si>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（歐盟執委會，報導轉述）</t>
    </r>
  </si>
  <si>
    <t xml:space="preserve">https://brusselssignal.eu/2026/07/european-commission-opens-bidding-to-build-seven-ai-gigafactories/</t>
  </si>
  <si>
    <t xml:space="preserve">B#61</t>
  </si>
  <si>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（法國）</t>
    </r>
  </si>
  <si>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（法國）｜巴黎近郊 </t>
    </r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園區｜</t>
    </r>
    <r>
      <rPr>
        <sz val="11"/>
        <color theme="1"/>
        <rFont val="Calibri"/>
        <family val="2"/>
        <charset val="1"/>
      </rPr>
      <t xml:space="preserve">planned</t>
    </r>
  </si>
  <si>
    <t xml:space="preserve">https://thenextweb.com/news/mistral-ai-830m-debt-data-centre-paris</t>
  </si>
  <si>
    <t xml:space="preserve">B#62</t>
  </si>
  <si>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</t>
    </r>
    <r>
      <rPr>
        <sz val="11"/>
        <color theme="1"/>
        <rFont val="Noto Sans CJK SC"/>
        <family val="2"/>
      </rPr>
      <t xml:space="preserve">（印度）</t>
    </r>
  </si>
  <si>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</t>
    </r>
    <r>
      <rPr>
        <sz val="11"/>
        <color theme="1"/>
        <rFont val="Noto Sans CJK SC"/>
        <family val="2"/>
      </rPr>
      <t xml:space="preserve">（印度）｜</t>
    </r>
    <r>
      <rPr>
        <sz val="11"/>
        <color theme="1"/>
        <rFont val="Calibri"/>
        <family val="2"/>
        <charset val="1"/>
      </rPr>
      <t xml:space="preserve">Visakhapatnam AI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planned</t>
    </r>
  </si>
  <si>
    <t xml:space="preserve">https://www.oilandgas360.com/reliance-industries-jv-partners-to-invest-11-billion-in-india-ai-data-capacity/</t>
  </si>
  <si>
    <t xml:space="preserve">B#63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</si>
  <si>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</si>
  <si>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資料中心容量（由晶片銷量推）｜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</si>
  <si>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30 GW</t>
  </si>
  <si>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（晶片功率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</si>
  <si>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，獨立研究機構模型）</t>
    </r>
  </si>
  <si>
    <t xml:space="preserve">https://epoch.ai/data-insights/ai-datacenter-power</t>
  </si>
  <si>
    <t xml:space="preserve">B#64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</si>
  <si>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）｜運行中算力｜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</si>
  <si>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1200–1600</t>
    </r>
    <r>
      <rPr>
        <sz val="11"/>
        <color theme="1"/>
        <rFont val="Noto Sans CJK SC"/>
        <family val="2"/>
      </rPr>
      <t xml:space="preserve">（一季落後 </t>
    </r>
    <r>
      <rPr>
        <sz val="11"/>
        <color theme="1"/>
        <rFont val="Calibri"/>
        <family val="2"/>
        <charset val="1"/>
      </rPr>
      <t xml:space="preserve">1600</t>
    </r>
    <r>
      <rPr>
        <sz val="11"/>
        <color theme="1"/>
        <rFont val="Noto Sans CJK SC"/>
        <family val="2"/>
      </rPr>
      <t xml:space="preserve">；兩季落後 </t>
    </r>
    <r>
      <rPr>
        <sz val="11"/>
        <color theme="1"/>
        <rFont val="Calibri"/>
        <family val="2"/>
        <charset val="1"/>
      </rPr>
      <t xml:space="preserve">1200</t>
    </r>
    <r>
      <rPr>
        <sz val="11"/>
        <color theme="1"/>
        <rFont val="Noto Sans CJK SC"/>
        <family val="2"/>
      </rPr>
      <t xml:space="preserve">） 萬 </t>
    </r>
    <r>
      <rPr>
        <sz val="11"/>
        <color theme="1"/>
        <rFont val="Calibri"/>
        <family val="2"/>
        <charset val="1"/>
      </rPr>
      <t xml:space="preserve">H100e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</si>
  <si>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value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1600 </t>
    </r>
    <r>
      <rPr>
        <sz val="11"/>
        <color theme="1"/>
        <rFont val="Noto Sans CJK SC"/>
        <family val="2"/>
      </rPr>
      <t xml:space="preserve">為情境值；</t>
    </r>
    <r>
      <rPr>
        <sz val="11"/>
        <color theme="1"/>
        <rFont val="Calibri"/>
        <family val="2"/>
        <charset val="1"/>
      </rPr>
      <t xml:space="preserve">expected_online</t>
    </r>
    <r>
      <rPr>
        <sz val="11"/>
        <color theme="1"/>
        <rFont val="Noto Sans CJK SC"/>
        <family val="2"/>
      </rPr>
      <t xml:space="preserve">：年份誤植</t>
    </r>
  </si>
  <si>
    <t xml:space="preserve">B#65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</si>
  <si>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IEA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</si>
  <si>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IEA</t>
    </r>
    <r>
      <rPr>
        <sz val="11"/>
        <color theme="1"/>
        <rFont val="Noto Sans CJK SC"/>
        <family val="2"/>
      </rPr>
      <t xml:space="preserve">）｜資料中心用電（全部）｜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</si>
  <si>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485 TWh</t>
  </si>
  <si>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（用電量）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</si>
  <si>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IEA</t>
    </r>
    <r>
      <rPr>
        <sz val="11"/>
        <color theme="1"/>
        <rFont val="Noto Sans CJK SC"/>
        <family val="2"/>
      </rPr>
      <t xml:space="preserve">）</t>
    </r>
  </si>
  <si>
    <t xml:space="preserve">https://www.enlit.world/library/ai-and-data-centre-electricity-use-continue-to-surge-iea-finds</t>
  </si>
  <si>
    <t xml:space="preserve">B#66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</si>
  <si>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LBNL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</si>
  <si>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LBNL</t>
    </r>
    <r>
      <rPr>
        <sz val="11"/>
        <color theme="1"/>
        <rFont val="Noto Sans CJK SC"/>
        <family val="2"/>
      </rPr>
      <t xml:space="preserve">）｜資料中心用電｜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</si>
  <si>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176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325–580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TWh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</si>
  <si>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LBNL/DOE</t>
    </r>
    <r>
      <rPr>
        <sz val="11"/>
        <color theme="1"/>
        <rFont val="Noto Sans CJK SC"/>
        <family val="2"/>
      </rPr>
      <t xml:space="preserve">）</t>
    </r>
  </si>
  <si>
    <t xml:space="preserve">https://www.energy.gov/articles/doe-releases-new-report-evaluating-increase-electricity-demand-data-centers</t>
  </si>
  <si>
    <t xml:space="preserve">B#67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</si>
  <si>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</si>
  <si>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資料中心容量需求｜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</si>
  <si>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，推）；</t>
    </r>
    <r>
      <rPr>
        <sz val="11"/>
        <color theme="1"/>
        <rFont val="Calibri"/>
        <family val="2"/>
        <charset val="1"/>
      </rPr>
      <t xml:space="preserve">156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</si>
  <si>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t xml:space="preserve">2025-04-28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</si>
  <si>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</t>
    </r>
    <r>
      <rPr>
        <sz val="11"/>
        <color theme="1"/>
        <rFont val="Noto Sans CJK SC"/>
        <family val="2"/>
      </rPr>
      <t xml:space="preserve">）</t>
    </r>
  </si>
  <si>
    <t xml:space="preserve">https://www.mckinsey.com/industries/technology-media-and-communications/our-insights/the-cost-of-compute-a-7-trillion-dollar-race-to-scale-data-centers</t>
  </si>
  <si>
    <t xml:space="preserve">B#68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</si>
  <si>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BNEF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</si>
  <si>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BNEF</t>
    </r>
    <r>
      <rPr>
        <sz val="11"/>
        <color theme="1"/>
        <rFont val="Noto Sans CJK SC"/>
        <family val="2"/>
      </rPr>
      <t xml:space="preserve">）｜資料中心電力需求｜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</si>
  <si>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106→194 GW</t>
  </si>
  <si>
    <r>
      <rPr>
        <sz val="11"/>
        <color theme="1"/>
        <rFont val="Calibri"/>
        <family val="2"/>
        <charset val="1"/>
      </rPr>
      <t xml:space="preserve">unknown</t>
    </r>
    <r>
      <rPr>
        <sz val="11"/>
        <color theme="1"/>
        <rFont val="Noto Sans CJK SC"/>
        <family val="2"/>
      </rPr>
      <t xml:space="preserve">（需求）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</si>
  <si>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BloombergNEF</t>
    </r>
    <r>
      <rPr>
        <sz val="11"/>
        <color theme="1"/>
        <rFont val="Noto Sans CJK SC"/>
        <family val="2"/>
      </rPr>
      <t xml:space="preserve">）</t>
    </r>
  </si>
  <si>
    <t xml:space="preserve">https://baxtel.com/news/us-data-center-power-demand-could-reach-194gw-by-2035</t>
  </si>
  <si>
    <t xml:space="preserve">B#69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</si>
  <si>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451 Research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</si>
  <si>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451 Research</t>
    </r>
    <r>
      <rPr>
        <sz val="11"/>
        <color theme="1"/>
        <rFont val="Noto Sans CJK SC"/>
        <family val="2"/>
      </rPr>
      <t xml:space="preserve">）｜資料中心電網需求｜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</si>
  <si>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61.8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75.8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134.4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</si>
  <si>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unknown</t>
    </r>
    <r>
      <rPr>
        <sz val="11"/>
        <color theme="1"/>
        <rFont val="Noto Sans CJK SC"/>
        <family val="2"/>
      </rPr>
      <t xml:space="preserve">（電網需求）</t>
    </r>
  </si>
  <si>
    <t xml:space="preserve">2026-05-14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</si>
  <si>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451 Research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Quartz </t>
    </r>
    <r>
      <rPr>
        <sz val="11"/>
        <color theme="1"/>
        <rFont val="Noto Sans CJK SC"/>
        <family val="2"/>
      </rPr>
      <t xml:space="preserve">轉述）</t>
    </r>
  </si>
  <si>
    <t xml:space="preserve">https://finance.yahoo.com/sectors/technology/articles/ai-data-centers-pass-1-153946550.html</t>
  </si>
  <si>
    <t xml:space="preserve">B#70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</si>
  <si>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</si>
  <si>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）｜資料中心已裝電力容量（全部）｜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</si>
  <si>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155 GW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</si>
  <si>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</si>
  <si>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https://www.trendforce.com/presscenter/news/20260506-13033.html</t>
  </si>
  <si>
    <t xml:space="preserve">B#71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</si>
  <si>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</si>
  <si>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）｜每年新增資料中心容量（全部）｜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</si>
  <si>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51.2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</si>
  <si>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t xml:space="preserve">2026-10-20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</si>
  <si>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，只佐證，不可單獨使用）</t>
    </r>
  </si>
  <si>
    <t xml:space="preserve">https://finance.technews.tw/2026/10/20/global-data-center-capacity-will-double-by-2027</t>
  </si>
  <si>
    <t xml:space="preserve">B#72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</si>
  <si>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</si>
  <si>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排定上線（</t>
    </r>
    <r>
      <rPr>
        <sz val="11"/>
        <color theme="1"/>
        <rFont val="Calibri"/>
        <family val="2"/>
        <charset val="1"/>
      </rPr>
      <t xml:space="preserve">&gt;50MW </t>
    </r>
    <r>
      <rPr>
        <sz val="11"/>
        <color theme="1"/>
        <rFont val="Noto Sans CJK SC"/>
        <family val="2"/>
      </rPr>
      <t xml:space="preserve">專案）｜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</si>
  <si>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16 GW</t>
  </si>
  <si>
    <t xml:space="preserve">2026-03-05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</si>
  <si>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 Climate</t>
    </r>
    <r>
      <rPr>
        <sz val="11"/>
        <color theme="1"/>
        <rFont val="Noto Sans CJK SC"/>
        <family val="2"/>
      </rPr>
      <t xml:space="preserve">）</t>
    </r>
  </si>
  <si>
    <t xml:space="preserve">https://www.utilitydive.com/press-release/20260305-sightline-climate-launches-powerstack-newsletter-with-analysis-finding-30-5-1</t>
  </si>
  <si>
    <t xml:space="preserve">B#73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</si>
  <si>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Grid Strategies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</si>
  <si>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Grid Strategies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新增資料中心負載｜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</si>
  <si>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（公用事業預測 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</si>
  <si>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t xml:space="preserve">2025-12-03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</si>
  <si>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Grid Strategies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Utility Dive </t>
    </r>
    <r>
      <rPr>
        <sz val="11"/>
        <color theme="1"/>
        <rFont val="Noto Sans CJK SC"/>
        <family val="2"/>
      </rPr>
      <t xml:space="preserve">轉述）</t>
    </r>
  </si>
  <si>
    <t xml:space="preserve">https://www.utilitydive.com/news/us-data-center-power-demand-could-reach-106-gw-by-2035-bloombergnef/806972/</t>
  </si>
  <si>
    <t xml:space="preserve">D#2</t>
  </si>
  <si>
    <r>
      <rPr>
        <sz val="11"/>
        <color theme="1"/>
        <rFont val="Noto Sans CJK SC"/>
        <family val="2"/>
      </rPr>
      <t xml:space="preserve">美國 北維吉尼亞（</t>
    </r>
    <r>
      <rPr>
        <sz val="11"/>
        <color theme="1"/>
        <rFont val="Calibri"/>
        <family val="2"/>
        <charset val="1"/>
      </rPr>
      <t xml:space="preserve">Dominion/PJM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</si>
  <si>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併網（大負載）｜美國 北維吉尼亞（</t>
    </r>
    <r>
      <rPr>
        <sz val="11"/>
        <color theme="1"/>
        <rFont val="Calibri"/>
        <family val="2"/>
        <charset val="1"/>
      </rPr>
      <t xml:space="preserve">Dominion/PJM</t>
    </r>
    <r>
      <rPr>
        <sz val="11"/>
        <color theme="1"/>
        <rFont val="Noto Sans CJK SC"/>
        <family val="2"/>
      </rPr>
      <t xml:space="preserve">）｜約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新負載的接電等待</t>
    </r>
  </si>
  <si>
    <r>
      <rPr>
        <sz val="11"/>
        <color theme="1"/>
        <rFont val="Calibri"/>
        <family val="2"/>
        <charset val="1"/>
      </rPr>
      <t xml:space="preserve">48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月</t>
    </r>
  </si>
  <si>
    <t xml:space="preserve">2026-07-01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</si>
  <si>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JLL 2026 Outlook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Construction Owners </t>
    </r>
    <r>
      <rPr>
        <sz val="11"/>
        <color theme="1"/>
        <rFont val="Noto Sans CJK SC"/>
        <family val="2"/>
      </rPr>
      <t xml:space="preserve">轉述）；</t>
    </r>
    <r>
      <rPr>
        <sz val="11"/>
        <color theme="1"/>
        <rFont val="Calibri"/>
        <family val="2"/>
        <charset val="1"/>
      </rPr>
      <t xml:space="preserve">IEA 2025 </t>
    </r>
    <r>
      <rPr>
        <sz val="11"/>
        <color theme="1"/>
        <rFont val="Noto Sans CJK SC"/>
        <family val="2"/>
      </rPr>
      <t xml:space="preserve">亦稱北維州最長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</si>
  <si>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t xml:space="preserve">https://www.constructionowners.com/insights/how-long-it-actually-takes-to-power-a-data-center-in-2026-a-u-s-market-by-market-reality-check</t>
  </si>
  <si>
    <t xml:space="preserve">D#3</t>
  </si>
  <si>
    <t xml:space="preserve">美國 全國平均</t>
  </si>
  <si>
    <t xml:space="preserve">併網（大負載）｜美國 全國平均｜大負載接電等待（公用事業報價）</t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</si>
  <si>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</si>
  <si>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JLL </t>
    </r>
    <r>
      <rPr>
        <sz val="11"/>
        <color theme="1"/>
        <rFont val="Noto Sans CJK SC"/>
        <family val="2"/>
      </rPr>
      <t xml:space="preserve">經轉述；多家整理站）</t>
    </r>
  </si>
  <si>
    <t xml:space="preserve">D#4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</si>
  <si>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ERCOT</t>
    </r>
  </si>
  <si>
    <r>
      <rPr>
        <sz val="11"/>
        <color theme="1"/>
        <rFont val="Noto Sans CJK SC"/>
        <family val="2"/>
      </rPr>
      <t xml:space="preserve">併網（大負載）｜美國 </t>
    </r>
    <r>
      <rPr>
        <sz val="11"/>
        <color theme="1"/>
        <rFont val="Calibri"/>
        <family val="2"/>
        <charset val="1"/>
      </rPr>
      <t xml:space="preserve">ERCOT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&gt;75MW </t>
    </r>
    <r>
      <rPr>
        <sz val="11"/>
        <color theme="1"/>
        <rFont val="Noto Sans CJK SC"/>
        <family val="2"/>
      </rPr>
      <t xml:space="preserve">大負載到商轉</t>
    </r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</si>
  <si>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</t>
    </r>
  </si>
  <si>
    <t xml:space="preserve">2026-07-25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</si>
  <si>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（整理站，未逐筆標來源；低品質）</t>
    </r>
  </si>
  <si>
    <t xml:space="preserve">https://presenc.ai/research/grid-interconnection-queue-ai-datacenters-2026</t>
  </si>
  <si>
    <t xml:space="preserve">D#5</t>
  </si>
  <si>
    <t xml:space="preserve">美國 全國</t>
  </si>
  <si>
    <r>
      <rPr>
        <sz val="11"/>
        <color theme="1"/>
        <rFont val="Noto Sans CJK SC"/>
        <family val="2"/>
      </rPr>
      <t xml:space="preserve">併網（發電側）｜美國 全國｜併網申請到商轉中位數（發電，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完工案）</t>
    </r>
  </si>
  <si>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月</t>
    </r>
  </si>
  <si>
    <t xml:space="preserve">2026-08-04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</si>
  <si>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LBNL </t>
    </r>
    <r>
      <rPr>
        <sz val="11"/>
        <color theme="1"/>
        <rFont val="Noto Sans CJK SC"/>
        <family val="2"/>
      </rPr>
      <t xml:space="preserve">經第三方轉述；</t>
    </r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4.3 </t>
    </r>
    <r>
      <rPr>
        <sz val="11"/>
        <color theme="1"/>
        <rFont val="Noto Sans CJK SC"/>
        <family val="2"/>
      </rPr>
      <t xml:space="preserve">年〔</t>
    </r>
    <r>
      <rPr>
        <sz val="11"/>
        <color theme="1"/>
        <rFont val="Calibri"/>
        <family val="2"/>
        <charset val="1"/>
      </rPr>
      <t xml:space="preserve">2018–24</t>
    </r>
    <r>
      <rPr>
        <sz val="11"/>
        <color theme="1"/>
        <rFont val="Noto Sans CJK SC"/>
        <family val="2"/>
      </rPr>
      <t xml:space="preserve">〕、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&gt;5 </t>
    </r>
    <r>
      <rPr>
        <sz val="11"/>
        <color theme="1"/>
        <rFont val="Noto Sans CJK SC"/>
        <family val="2"/>
      </rPr>
      <t xml:space="preserve">年下限〔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完工〕、</t>
    </r>
    <r>
      <rPr>
        <sz val="11"/>
        <color theme="1"/>
        <rFont val="Calibri"/>
        <family val="2"/>
        <charset val="1"/>
      </rPr>
      <t xml:space="preserve">84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PJM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&gt;7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</si>
  <si>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：數值屬實但為下限／不同統計</t>
    </r>
  </si>
  <si>
    <t xml:space="preserve">https://www.coradvisors.net/2026/08/data-center-grid-connection-problems.html</t>
  </si>
  <si>
    <t xml:space="preserve">D#6</t>
  </si>
  <si>
    <t xml:space="preserve">歐洲（荷蘭、德國、都柏林）</t>
  </si>
  <si>
    <t xml:space="preserve">併網（大負載）｜歐洲（荷蘭、德國、都柏林）｜資料中心接電等待</t>
  </si>
  <si>
    <r>
      <rPr>
        <sz val="11"/>
        <color theme="1"/>
        <rFont val="Calibri"/>
        <family val="2"/>
        <charset val="1"/>
      </rPr>
      <t xml:space="preserve">84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月</t>
    </r>
  </si>
  <si>
    <t xml:space="preserve">2025-04-10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</si>
  <si>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IEA Energy and AI</t>
    </r>
    <r>
      <rPr>
        <sz val="11"/>
        <color theme="1"/>
        <rFont val="Noto Sans CJK SC"/>
        <family val="2"/>
      </rPr>
      <t xml:space="preserve">）</t>
    </r>
  </si>
  <si>
    <t xml:space="preserve">https://www.latitudemedia.com/news/report-global-grid-congestion-puts-20-of-data-center-projects-at-risk/</t>
  </si>
  <si>
    <t xml:space="preserve">D#7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</si>
  <si>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GE Vernova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</si>
  <si>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燃氣渦輪（重型）｜全球（</t>
    </r>
    <r>
      <rPr>
        <sz val="11"/>
        <color theme="1"/>
        <rFont val="Calibri"/>
        <family val="2"/>
        <charset val="1"/>
      </rPr>
      <t xml:space="preserve">GE Vernova</t>
    </r>
    <r>
      <rPr>
        <sz val="11"/>
        <color theme="1"/>
        <rFont val="Noto Sans CJK SC"/>
        <family val="2"/>
      </rPr>
      <t xml:space="preserve">）｜新訂單交期</t>
    </r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</si>
  <si>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</t>
    </r>
  </si>
  <si>
    <t xml:space="preserve">2026-04-23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</si>
  <si>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GE Vernova </t>
    </r>
    <r>
      <rPr>
        <sz val="11"/>
        <color theme="1"/>
        <rFont val="Noto Sans CJK SC"/>
        <family val="2"/>
      </rPr>
      <t xml:space="preserve">法說）</t>
    </r>
  </si>
  <si>
    <t xml:space="preserve">措辭：『許多案子』渦輪不是卡關項</t>
  </si>
  <si>
    <t xml:space="preserve">https://www.power-eng.com/gas/turbines/data-centers-drive-record-surge-in-ge-vernova-power-equipment-orders-as-turbine-slots-tighten-through-2030/</t>
  </si>
  <si>
    <t xml:space="preserve">D#8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</si>
  <si>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Siemens Energy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</si>
  <si>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燃氣渦輪（重型）｜全球（</t>
    </r>
    <r>
      <rPr>
        <sz val="11"/>
        <color theme="1"/>
        <rFont val="Calibri"/>
        <family val="2"/>
        <charset val="1"/>
      </rPr>
      <t xml:space="preserve">Siemens Energy</t>
    </r>
    <r>
      <rPr>
        <sz val="11"/>
        <color theme="1"/>
        <rFont val="Noto Sans CJK SC"/>
        <family val="2"/>
      </rPr>
      <t xml:space="preserve">）｜全公司交期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</si>
  <si>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Siemens Energy CFO</t>
    </r>
    <r>
      <rPr>
        <sz val="11"/>
        <color theme="1"/>
        <rFont val="Noto Sans CJK SC"/>
        <family val="2"/>
      </rPr>
      <t xml:space="preserve">）</t>
    </r>
  </si>
  <si>
    <t xml:space="preserve">https://www.utilitydive.com/news/siemens-gas-turbine-backlog-nears-70-gw-as-company-expands-manufacturing/827390/</t>
  </si>
  <si>
    <t xml:space="preserve">D#9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</si>
  <si>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Mitsubishi Power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</si>
  <si>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燃氣渦輪（重型）｜全球（</t>
    </r>
    <r>
      <rPr>
        <sz val="11"/>
        <color theme="1"/>
        <rFont val="Calibri"/>
        <family val="2"/>
        <charset val="1"/>
      </rPr>
      <t xml:space="preserve">Mitsubishi Power</t>
    </r>
    <r>
      <rPr>
        <sz val="11"/>
        <color theme="1"/>
        <rFont val="Noto Sans CJK SC"/>
        <family val="2"/>
      </rPr>
      <t xml:space="preserve">）｜本季訂單交貨年</t>
    </r>
  </si>
  <si>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</t>
    </r>
  </si>
  <si>
    <t xml:space="preserve">2026-08-13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</si>
  <si>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MHI </t>
    </r>
    <r>
      <rPr>
        <sz val="11"/>
        <color theme="1"/>
        <rFont val="Noto Sans CJK SC"/>
        <family val="2"/>
      </rPr>
      <t xml:space="preserve">法說）</t>
    </r>
  </si>
  <si>
    <t xml:space="preserve">https://www.utilitydive.com/news/mitsubishi-gas-turbine-backlog-earnings/827761/</t>
  </si>
  <si>
    <t xml:space="preserve">D#10</t>
  </si>
  <si>
    <t xml:space="preserve">全球</t>
  </si>
  <si>
    <r>
      <rPr>
        <sz val="11"/>
        <color theme="1"/>
        <rFont val="Noto Sans CJK SC"/>
        <family val="2"/>
      </rPr>
      <t xml:space="preserve">燃氣渦輪（全產業）｜全球｜最強機型平均等待（</t>
    </r>
    <r>
      <rPr>
        <sz val="11"/>
        <color theme="1"/>
        <rFont val="Calibri"/>
        <family val="2"/>
        <charset val="1"/>
      </rPr>
      <t xml:space="preserve">EPRI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</si>
  <si>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月</t>
    </r>
  </si>
  <si>
    <t xml:space="preserve">2025-09-10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</si>
  <si>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EPRI </t>
    </r>
    <r>
      <rPr>
        <sz val="11"/>
        <color theme="1"/>
        <rFont val="Noto Sans CJK SC"/>
        <family val="2"/>
      </rPr>
      <t xml:space="preserve">數據，</t>
    </r>
    <r>
      <rPr>
        <sz val="11"/>
        <color theme="1"/>
        <rFont val="Calibri"/>
        <family val="2"/>
        <charset val="1"/>
      </rPr>
      <t xml:space="preserve">oEnergetice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</si>
  <si>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low </t>
    </r>
    <r>
      <rPr>
        <sz val="11"/>
        <color theme="1"/>
        <rFont val="Noto Sans CJK SC"/>
        <family val="2"/>
      </rPr>
      <t xml:space="preserve">非現行值；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：範圍為最強機型</t>
    </r>
  </si>
  <si>
    <t xml:space="preserve">https://oenergetice.cz/en/electricity/gas-turbine-manufacturers-expand-capacity-but-lead-times-continue-to-lengthen</t>
  </si>
  <si>
    <t xml:space="preserve">D#11</t>
  </si>
  <si>
    <t xml:space="preserve">美國</t>
  </si>
  <si>
    <r>
      <rPr>
        <sz val="11"/>
        <color theme="1"/>
        <rFont val="Noto Sans CJK SC"/>
        <family val="2"/>
      </rPr>
      <t xml:space="preserve">變壓器（升壓 </t>
    </r>
    <r>
      <rPr>
        <sz val="11"/>
        <color theme="1"/>
        <rFont val="Calibri"/>
        <family val="2"/>
        <charset val="1"/>
      </rPr>
      <t xml:space="preserve">GSU</t>
    </r>
    <r>
      <rPr>
        <sz val="11"/>
        <color theme="1"/>
        <rFont val="Noto Sans CJK SC"/>
        <family val="2"/>
      </rPr>
      <t xml:space="preserve">）｜美國｜交期</t>
    </r>
  </si>
  <si>
    <r>
      <rPr>
        <sz val="11"/>
        <color theme="1"/>
        <rFont val="Calibri"/>
        <family val="2"/>
        <charset val="1"/>
      </rPr>
      <t xml:space="preserve">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月</t>
    </r>
  </si>
  <si>
    <t xml:space="preserve">2026-07-09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</si>
  <si>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Wood Mackenzie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轉述）</t>
    </r>
  </si>
  <si>
    <t xml:space="preserve">https://www.kitco.com/news/off-the-wire/2026-07-09/us-power-companies-scramble-secure-equipment-surging-data-center</t>
  </si>
  <si>
    <t xml:space="preserve">D#12</t>
  </si>
  <si>
    <t xml:space="preserve">變壓器（電力）｜美國｜交期</t>
  </si>
  <si>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月</t>
    </r>
  </si>
  <si>
    <t xml:space="preserve">2026-01-02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</si>
  <si>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Wood Mackenzie Q2 2025 </t>
    </r>
    <r>
      <rPr>
        <sz val="11"/>
        <color theme="1"/>
        <rFont val="Noto Sans CJK SC"/>
        <family val="2"/>
      </rPr>
      <t xml:space="preserve">調查，</t>
    </r>
    <r>
      <rPr>
        <sz val="11"/>
        <color theme="1"/>
        <rFont val="Calibri"/>
        <family val="2"/>
        <charset val="1"/>
      </rPr>
      <t xml:space="preserve">POWER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</si>
  <si>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Noto Sans CJK SC"/>
        <family val="2"/>
      </rPr>
      <t xml:space="preserve">低值依據不成立；中值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月屬實；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high_months</t>
    </r>
    <r>
      <rPr>
        <sz val="11"/>
        <color theme="1"/>
        <rFont val="Noto Sans CJK SC"/>
        <family val="2"/>
      </rPr>
      <t xml:space="preserve">：原文最高為 </t>
    </r>
    <r>
      <rPr>
        <sz val="11"/>
        <color theme="1"/>
        <rFont val="Calibri"/>
        <family val="2"/>
        <charset val="1"/>
      </rPr>
      <t xml:space="preserve">GSU 144 </t>
    </r>
    <r>
      <rPr>
        <sz val="11"/>
        <color theme="1"/>
        <rFont val="Noto Sans CJK SC"/>
        <family val="2"/>
      </rPr>
      <t xml:space="preserve">週（約 </t>
    </r>
    <r>
      <rPr>
        <sz val="11"/>
        <color theme="1"/>
        <rFont val="Calibri"/>
        <family val="2"/>
        <charset val="1"/>
      </rPr>
      <t xml:space="preserve">33 </t>
    </r>
    <r>
      <rPr>
        <sz val="11"/>
        <color theme="1"/>
        <rFont val="Noto Sans CJK SC"/>
        <family val="2"/>
      </rPr>
      <t xml:space="preserve">月）；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無出處，改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Noto Sans CJK SC"/>
        <family val="2"/>
      </rPr>
      <t xml:space="preserve">：『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年前 </t>
    </r>
    <r>
      <rPr>
        <sz val="11"/>
        <color theme="1"/>
        <rFont val="Calibri"/>
        <family val="2"/>
        <charset val="1"/>
      </rPr>
      <t xml:space="preserve">24–30 </t>
    </r>
    <r>
      <rPr>
        <sz val="11"/>
        <color theme="1"/>
        <rFont val="Noto Sans CJK SC"/>
        <family val="2"/>
      </rPr>
      <t xml:space="preserve">個月』不在原文</t>
    </r>
  </si>
  <si>
    <t xml:space="preserve">https://powermag.com/transformers-in-2026-shortage-scramble-or-self-inflicted-crisis/</t>
  </si>
  <si>
    <t xml:space="preserve">D#13</t>
  </si>
  <si>
    <t xml:space="preserve">高壓斷路器｜美國｜交期</t>
  </si>
  <si>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Noto Sans CJK SC"/>
        <family val="2"/>
      </rPr>
      <t xml:space="preserve">月</t>
    </r>
  </si>
  <si>
    <t xml:space="preserve">D#14</t>
  </si>
  <si>
    <t xml:space="preserve">美國／全球</t>
  </si>
  <si>
    <t xml:space="preserve">施工｜美國／全球｜建物（殼）工期</t>
  </si>
  <si>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</si>
  <si>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Construction Owners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</si>
  <si>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dly_d2_bind</t>
    </r>
  </si>
  <si>
    <t xml:space="preserve">D#15</t>
  </si>
  <si>
    <r>
      <rPr>
        <sz val="11"/>
        <color theme="1"/>
        <rFont val="Noto Sans CJK SC"/>
        <family val="2"/>
      </rPr>
      <t xml:space="preserve">專案整體延遲（觀察）｜全球｜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排定容量延遲比例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</si>
  <si>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）</t>
    </r>
  </si>
  <si>
    <t xml:space="preserve">D#16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</si>
  <si>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Oracle×OpenAI </t>
    </r>
    <r>
      <rPr>
        <sz val="11"/>
        <color theme="1"/>
        <rFont val="Noto Sans CJK SC"/>
        <family val="2"/>
      </rPr>
      <t xml:space="preserve">部分站點</t>
    </r>
  </si>
  <si>
    <r>
      <rPr>
        <sz val="11"/>
        <color theme="1"/>
        <rFont val="Noto Sans CJK SC"/>
        <family val="2"/>
      </rPr>
      <t xml:space="preserve">專案整體延遲（案例）｜美國 </t>
    </r>
    <r>
      <rPr>
        <sz val="11"/>
        <color theme="1"/>
        <rFont val="Calibri"/>
        <family val="2"/>
        <charset val="1"/>
      </rPr>
      <t xml:space="preserve">Oracle×OpenAI </t>
    </r>
    <r>
      <rPr>
        <sz val="11"/>
        <color theme="1"/>
        <rFont val="Noto Sans CJK SC"/>
        <family val="2"/>
      </rPr>
      <t xml:space="preserve">部分站點｜延後</t>
    </r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</si>
  <si>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</si>
  <si>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否認）</t>
    </r>
  </si>
  <si>
    <t xml:space="preserve">https://www.datacenterdynamics.com/en/news/oracle-delays-some-of-its-openai-data-centers-from-2027-to-2028-report/</t>
  </si>
  <si>
    <t xml:space="preserve">D#17</t>
  </si>
  <si>
    <r>
      <rPr>
        <sz val="11"/>
        <color theme="1"/>
        <rFont val="Noto Sans CJK SC"/>
        <family val="2"/>
      </rPr>
      <t xml:space="preserve">美國 新墨西哥 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Oracle/OpenAI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</si>
  <si>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專案整體延遲（案例）｜美國 新墨西哥 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Oracle/OpenAI</t>
    </r>
    <r>
      <rPr>
        <sz val="11"/>
        <color theme="1"/>
        <rFont val="Noto Sans CJK SC"/>
        <family val="2"/>
      </rPr>
      <t xml:space="preserve">）｜首次供電延後</t>
    </r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</si>
  <si>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</t>
    </r>
  </si>
  <si>
    <t xml:space="preserve">2026-09-25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</si>
  <si>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只佐證）＋報導（</t>
    </r>
    <r>
      <rPr>
        <sz val="11"/>
        <color theme="1"/>
        <rFont val="Calibri"/>
        <family val="2"/>
        <charset val="1"/>
      </rPr>
      <t xml:space="preserve">Insurance Journal</t>
    </r>
    <r>
      <rPr>
        <sz val="11"/>
        <color theme="1"/>
        <rFont val="Noto Sans CJK SC"/>
        <family val="2"/>
      </rPr>
      <t xml:space="preserve">）</t>
    </r>
  </si>
  <si>
    <t xml:space="preserve">https://newsletter.semianalysis.com/p/stop-saying-half-of-2026-us-datacenter?open=false</t>
  </si>
  <si>
    <t xml:space="preserve">D#18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</si>
  <si>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CoreWeave Denton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</si>
  <si>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專案整體延遲（案例）｜美國 </t>
    </r>
    <r>
      <rPr>
        <sz val="11"/>
        <color theme="1"/>
        <rFont val="Calibri"/>
        <family val="2"/>
        <charset val="1"/>
      </rPr>
      <t xml:space="preserve">CoreWeave Denton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）｜首期延後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</si>
  <si>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</si>
  <si>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t xml:space="preserve">（頁面無日期）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</si>
  <si>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法說）＋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</si>
  <si>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as_of</t>
    </r>
    <r>
      <rPr>
        <sz val="11"/>
        <color theme="1"/>
        <rFont val="Noto Sans CJK SC"/>
        <family val="2"/>
      </rPr>
      <t xml:space="preserve">：原文無此日期；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Noto Sans CJK SC"/>
        <family val="2"/>
      </rPr>
      <t xml:space="preserve">：原文找不到</t>
    </r>
  </si>
  <si>
    <t xml:space="preserve">https://www.datacenterdynamics.com/en/news/coreweave-deploys-16000-gpus-at-delayed-data-center-in-denton-texas/</t>
  </si>
  <si>
    <t xml:space="preserve">D#19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</si>
  <si>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DataOne </t>
    </r>
    <r>
      <rPr>
        <sz val="11"/>
        <color theme="1"/>
        <rFont val="Noto Sans CJK SC"/>
        <family val="2"/>
      </rPr>
      <t xml:space="preserve">新澤西</t>
    </r>
  </si>
  <si>
    <r>
      <rPr>
        <sz val="11"/>
        <color theme="1"/>
        <rFont val="Noto Sans CJK SC"/>
        <family val="2"/>
      </rPr>
      <t xml:space="preserve">專案整體延遲（案例）｜美國 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DataOne </t>
    </r>
    <r>
      <rPr>
        <sz val="11"/>
        <color theme="1"/>
        <rFont val="Noto Sans CJK SC"/>
        <family val="2"/>
      </rPr>
      <t xml:space="preserve">新澤西｜首期 </t>
    </r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延遲（實際 </t>
    </r>
    <r>
      <rPr>
        <sz val="11"/>
        <color theme="1"/>
        <rFont val="Calibri"/>
        <family val="2"/>
        <charset val="1"/>
      </rPr>
      <t xml:space="preserve">10–11 </t>
    </r>
    <r>
      <rPr>
        <sz val="11"/>
        <color theme="1"/>
        <rFont val="Noto Sans CJK SC"/>
        <family val="2"/>
      </rPr>
      <t xml:space="preserve">月 − 目標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</si>
  <si>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</t>
    </r>
  </si>
  <si>
    <t xml:space="preserve">2026-06-18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</si>
  <si>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，只佐證，單一來源）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</si>
  <si>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為延遲量非工期</t>
    </r>
  </si>
  <si>
    <t xml:space="preserve">D#20</t>
  </si>
  <si>
    <r>
      <rPr>
        <sz val="11"/>
        <color theme="1"/>
        <rFont val="Noto Sans CJK SC"/>
        <family val="2"/>
      </rPr>
      <t xml:space="preserve">美國 多站（</t>
    </r>
    <r>
      <rPr>
        <sz val="11"/>
        <color theme="1"/>
        <rFont val="Calibri"/>
        <family val="2"/>
        <charset val="1"/>
      </rPr>
      <t xml:space="preserve">SynMax </t>
    </r>
    <r>
      <rPr>
        <sz val="11"/>
        <color theme="1"/>
        <rFont val="Noto Sans CJK SC"/>
        <family val="2"/>
      </rPr>
      <t xml:space="preserve">衛星）</t>
    </r>
  </si>
  <si>
    <r>
      <rPr>
        <sz val="11"/>
        <color theme="1"/>
        <rFont val="Noto Sans CJK SC"/>
        <family val="2"/>
      </rPr>
      <t xml:space="preserve">專案整體延遲（案例）｜美國 多站（</t>
    </r>
    <r>
      <rPr>
        <sz val="11"/>
        <color theme="1"/>
        <rFont val="Calibri"/>
        <family val="2"/>
        <charset val="1"/>
      </rPr>
      <t xml:space="preserve">SynMax </t>
    </r>
    <r>
      <rPr>
        <sz val="11"/>
        <color theme="1"/>
        <rFont val="Noto Sans CJK SC"/>
        <family val="2"/>
      </rPr>
      <t xml:space="preserve">衛星）｜延至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年底的容量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</si>
  <si>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SynMax </t>
    </r>
    <r>
      <rPr>
        <sz val="11"/>
        <color theme="1"/>
        <rFont val="Noto Sans CJK SC"/>
        <family val="2"/>
      </rPr>
      <t xml:space="preserve">衛星追蹤）</t>
    </r>
  </si>
  <si>
    <t xml:space="preserve">https://www.synmax.com/resource-hub/blog/datacenter-delays-are-a-3-billion-earnings-problem-and-most-of-it-hasnt-hit-yet-1</t>
  </si>
  <si>
    <t xml:space="preserve">D#21</t>
  </si>
  <si>
    <r>
      <rPr>
        <sz val="11"/>
        <color theme="1"/>
        <rFont val="Calibri"/>
        <family val="2"/>
        <charset val="1"/>
      </rPr>
      <t xml:space="preserve">UAE Stargate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200MW</t>
    </r>
  </si>
  <si>
    <r>
      <rPr>
        <sz val="11"/>
        <color theme="1"/>
        <rFont val="Noto Sans CJK SC"/>
        <family val="2"/>
      </rPr>
      <t xml:space="preserve">專案整體延遲（案例）｜</t>
    </r>
    <r>
      <rPr>
        <sz val="11"/>
        <color theme="1"/>
        <rFont val="Calibri"/>
        <family val="2"/>
        <charset val="1"/>
      </rPr>
      <t xml:space="preserve">UAE Stargate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目標；至 </t>
    </r>
    <r>
      <rPr>
        <sz val="11"/>
        <color theme="1"/>
        <rFont val="Calibri"/>
        <family val="2"/>
        <charset val="1"/>
      </rPr>
      <t xml:space="preserve">9-12 </t>
    </r>
    <r>
      <rPr>
        <sz val="11"/>
        <color theme="1"/>
        <rFont val="Noto Sans CJK SC"/>
        <family val="2"/>
      </rPr>
      <t xml:space="preserve">無試運轉公告（官方未改期、不視為延遲）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</si>
  <si>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</si>
  <si>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Mubadala </t>
    </r>
    <r>
      <rPr>
        <sz val="11"/>
        <color theme="1"/>
        <rFont val="Noto Sans CJK SC"/>
        <family val="2"/>
      </rPr>
      <t xml:space="preserve">目標）＋報導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</si>
  <si>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：原文明言不視為延遲；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Noto Sans CJK SC"/>
        <family val="2"/>
      </rPr>
      <t xml:space="preserve">：範圍誤植</t>
    </r>
  </si>
  <si>
    <t xml:space="preserve">D#22</t>
  </si>
  <si>
    <r>
      <rPr>
        <sz val="11"/>
        <color theme="1"/>
        <rFont val="Noto Sans CJK SC"/>
        <family val="2"/>
      </rPr>
      <t xml:space="preserve">晶片等電（管理層發言）｜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｜晶片在庫存無電可插</t>
    </r>
  </si>
  <si>
    <t xml:space="preserve">2025-11-05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</si>
  <si>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Nadella </t>
    </r>
    <r>
      <rPr>
        <sz val="11"/>
        <color theme="1"/>
        <rFont val="Noto Sans CJK SC"/>
        <family val="2"/>
      </rPr>
      <t xml:space="preserve">本人說，</t>
    </r>
    <r>
      <rPr>
        <sz val="11"/>
        <color theme="1"/>
        <rFont val="Calibri"/>
        <family val="2"/>
        <charset val="1"/>
      </rPr>
      <t xml:space="preserve">BG2 podcast</t>
    </r>
    <r>
      <rPr>
        <sz val="11"/>
        <color theme="1"/>
        <rFont val="Noto Sans CJK SC"/>
        <family val="2"/>
      </rPr>
      <t xml:space="preserve">）</t>
    </r>
  </si>
  <si>
    <t xml:space="preserve">https://www.techradar.com/pro/you-may-actually-have-a-bunch-of-chips-sitting-in-inventory-that-i-cant-plug-in-satya-nadella-admits-an-embarrassing-shortcoming-so-lets-hope-it-doesnt-set-the-company-back-in-the-ai-arms-race</t>
  </si>
  <si>
    <t xml:space="preserve">D#23</t>
  </si>
  <si>
    <t xml:space="preserve">AWS</t>
  </si>
  <si>
    <r>
      <rPr>
        <sz val="11"/>
        <color theme="1"/>
        <rFont val="Noto Sans CJK SC"/>
        <family val="2"/>
      </rPr>
      <t xml:space="preserve">晶片等電（管理層發言）｜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｜容量短缺解決所需時間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</si>
  <si>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</t>
    </r>
  </si>
  <si>
    <t xml:space="preserve">2025-08-05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</si>
  <si>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Jassy </t>
    </r>
    <r>
      <rPr>
        <sz val="11"/>
        <color theme="1"/>
        <rFont val="Noto Sans CJK SC"/>
        <family val="2"/>
      </rPr>
      <t xml:space="preserve">本人說 </t>
    </r>
    <r>
      <rPr>
        <sz val="11"/>
        <color theme="1"/>
        <rFont val="Calibri"/>
        <family val="2"/>
        <charset val="1"/>
      </rPr>
      <t xml:space="preserve">several quarters</t>
    </r>
    <r>
      <rPr>
        <sz val="11"/>
        <color theme="1"/>
        <rFont val="Noto Sans CJK SC"/>
        <family val="2"/>
      </rPr>
      <t xml:space="preserve">）；月數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2–4 </t>
    </r>
    <r>
      <rPr>
        <sz val="11"/>
        <color theme="1"/>
        <rFont val="Noto Sans CJK SC"/>
        <family val="2"/>
      </rPr>
      <t xml:space="preserve">季）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</si>
  <si>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：月數非原話</t>
    </r>
  </si>
  <si>
    <t xml:space="preserve">https://www.latitudemedia.com/news/power-is-aws-single-biggest-constraint/</t>
  </si>
  <si>
    <t xml:space="preserve">D#24</t>
  </si>
  <si>
    <t xml:space="preserve">Microsoft Fairwater Wisconsin</t>
  </si>
  <si>
    <r>
      <rPr>
        <sz val="11"/>
        <color theme="1"/>
        <rFont val="Noto Sans CJK SC"/>
        <family val="2"/>
      </rPr>
      <t xml:space="preserve">晶片等電（管理層發言）｜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｜宣布上線與實際上線落差</t>
    </r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</si>
  <si>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</si>
  <si>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Guardian</t>
    </r>
    <r>
      <rPr>
        <sz val="11"/>
        <color theme="1"/>
        <rFont val="Noto Sans CJK SC"/>
        <family val="2"/>
      </rPr>
      <t xml:space="preserve">）</t>
    </r>
  </si>
  <si>
    <t xml:space="preserve">https://aiweekly.co/alerts/microsofts-ai-buildout-stalls-on-power-not-chip-supply</t>
  </si>
  <si>
    <t xml:space="preserve">D#25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</si>
  <si>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xAI Colossus 2</t>
    </r>
  </si>
  <si>
    <r>
      <rPr>
        <sz val="11"/>
        <color theme="1"/>
        <rFont val="Noto Sans CJK SC"/>
        <family val="2"/>
      </rPr>
      <t xml:space="preserve">自建發電（表後）｜美國 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｜以臨時燃氣機組繞過併網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</si>
  <si>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Cleanview </t>
    </r>
    <r>
      <rPr>
        <sz val="11"/>
        <color theme="1"/>
        <rFont val="Noto Sans CJK SC"/>
        <family val="2"/>
      </rPr>
      <t xml:space="preserve">衛星與許可文件）</t>
    </r>
  </si>
  <si>
    <t xml:space="preserve">https://cleanview.co/reports/behind-the-meter-data-centers/full-report/colossus</t>
  </si>
  <si>
    <t xml:space="preserve">S#2</t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</si>
  <si>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（由 </t>
    </r>
    <r>
      <rPr>
        <sz val="11"/>
        <color theme="1"/>
        <rFont val="Calibri"/>
        <family val="2"/>
        <charset val="1"/>
      </rPr>
      <t xml:space="preserve">Khazna Data Centers </t>
    </r>
    <r>
      <rPr>
        <sz val="11"/>
        <color theme="1"/>
        <rFont val="Noto Sans CJK SC"/>
        <family val="2"/>
      </rPr>
      <t xml:space="preserve">建置）</t>
    </r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</si>
  <si>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（由 </t>
    </r>
    <r>
      <rPr>
        <sz val="11"/>
        <color theme="1"/>
        <rFont val="Calibri"/>
        <family val="2"/>
        <charset val="1"/>
      </rPr>
      <t xml:space="preserve">Khazna Data Centers </t>
    </r>
    <r>
      <rPr>
        <sz val="11"/>
        <color theme="1"/>
        <rFont val="Noto Sans CJK SC"/>
        <family val="2"/>
      </rPr>
      <t xml:space="preserve">建置）｜</t>
    </r>
    <r>
      <rPr>
        <sz val="11"/>
        <color theme="1"/>
        <rFont val="Calibri"/>
        <family val="2"/>
        <charset val="1"/>
      </rPr>
      <t xml:space="preserve">Stargate UAE / UAE-US AI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5GW </t>
    </r>
    <r>
      <rPr>
        <sz val="11"/>
        <color theme="1"/>
        <rFont val="Noto Sans CJK SC"/>
        <family val="2"/>
      </rPr>
      <t xml:space="preserve">願景）｜規劃</t>
    </r>
  </si>
  <si>
    <t xml:space="preserve">5000 MW</t>
  </si>
  <si>
    <t xml:space="preserve">2026-09-11</t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</si>
  <si>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：小誤</t>
    </r>
  </si>
  <si>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Noto Sans CJK SC"/>
        <family val="2"/>
      </rPr>
      <t xml:space="preserve">平方公里、分散網路與日期皆屬實。</t>
    </r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「照計畫進行、部分仍在檢討」被付費牆截斷，無法核對。來源是 </t>
    </r>
    <r>
      <rPr>
        <sz val="11"/>
        <color theme="1"/>
        <rFont val="Calibri"/>
        <family val="2"/>
        <charset val="1"/>
      </rPr>
      <t xml:space="preserve">Bloomberg Law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，標題寫法偏離。</t>
    </r>
  </si>
  <si>
    <t xml:space="preserve">https://news.bloomberglaw.com/artificial-intelligence/uae-revising-ai-data-center-plan-after-iranian-attacks-reuters</t>
  </si>
  <si>
    <t xml:space="preserve">S#3</t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</si>
  <si>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為叢集營運方</t>
    </r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</si>
  <si>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為叢集營運方｜</t>
    </r>
    <r>
      <rPr>
        <sz val="11"/>
        <color theme="1"/>
        <rFont val="Calibri"/>
        <family val="2"/>
        <charset val="1"/>
      </rPr>
      <t xml:space="preserve">Stargate UAE / UAE-US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UAE 1GW </t>
    </r>
    <r>
      <rPr>
        <sz val="11"/>
        <color theme="1"/>
        <rFont val="Noto Sans CJK SC"/>
        <family val="2"/>
      </rPr>
      <t xml:space="preserve">叢集｜在建</t>
    </r>
  </si>
  <si>
    <t xml:space="preserve">1000 MW</t>
  </si>
  <si>
    <t xml:space="preserve">2025-12-05</t>
  </si>
  <si>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與「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說」屬實。但 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起算點與 </t>
    </r>
    <r>
      <rPr>
        <sz val="11"/>
        <color theme="1"/>
        <rFont val="Calibri"/>
        <family val="2"/>
        <charset val="1"/>
      </rPr>
      <t xml:space="preserve">Reuters 300 </t>
    </r>
    <r>
      <rPr>
        <sz val="11"/>
        <color theme="1"/>
        <rFont val="Noto Sans CJK SC"/>
        <family val="2"/>
      </rPr>
      <t xml:space="preserve">億美元在原文找不到；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欄也不是文章標題。</t>
    </r>
  </si>
  <si>
    <t xml:space="preserve">https://www.uaepreferred.com/perspectives/stargate-uae-on-track-for-2026-launch?51d95f76_page=51&amp;ee969b52_page=4</t>
  </si>
  <si>
    <t xml:space="preserve">S#4</t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</si>
  <si>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為營運方</t>
    </r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</si>
  <si>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為營運方｜</t>
    </r>
    <r>
      <rPr>
        <sz val="11"/>
        <color theme="1"/>
        <rFont val="Calibri"/>
        <family val="2"/>
        <charset val="1"/>
      </rPr>
      <t xml:space="preserve">Stargate UAE / UAE-US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UAE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</si>
  <si>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Q4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Khazna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說法皆屬實。但原文稱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為第一期，</t>
    </r>
    <r>
      <rPr>
        <sz val="11"/>
        <color theme="1"/>
        <rFont val="Calibri"/>
        <family val="2"/>
        <charset val="1"/>
      </rPr>
      <t xml:space="preserve">200MW </t>
    </r>
    <r>
      <rPr>
        <sz val="11"/>
        <color theme="1"/>
        <rFont val="Noto Sans CJK SC"/>
        <family val="2"/>
      </rPr>
      <t xml:space="preserve">只是首批。頁面直接標 </t>
    </r>
    <r>
      <rPr>
        <sz val="11"/>
        <color theme="1"/>
        <rFont val="Calibri"/>
        <family val="2"/>
        <charset val="1"/>
      </rPr>
      <t xml:space="preserve">26 Oct 2026</t>
    </r>
    <r>
      <rPr>
        <sz val="11"/>
        <color theme="1"/>
        <rFont val="Noto Sans CJK SC"/>
        <family val="2"/>
      </rPr>
      <t xml:space="preserve">，不需推估。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原目標與 </t>
    </r>
    <r>
      <rPr>
        <sz val="11"/>
        <color theme="1"/>
        <rFont val="Calibri"/>
        <family val="2"/>
        <charset val="1"/>
      </rPr>
      <t xml:space="preserve">ArusGrid </t>
    </r>
    <r>
      <rPr>
        <sz val="11"/>
        <color theme="1"/>
        <rFont val="Noto Sans CJK SC"/>
        <family val="2"/>
      </rPr>
      <t xml:space="preserve">不在本文。</t>
    </r>
  </si>
  <si>
    <t xml:space="preserve">https://enterpriseam.com/ksa/issues/no-blinking-in-the-buildout/</t>
  </si>
  <si>
    <t xml:space="preserve">S#5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</si>
  <si>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Atlanta (Fayetteville)</t>
    </r>
    <r>
      <rPr>
        <sz val="11"/>
        <color theme="1"/>
        <rFont val="Noto Sans CJK SC"/>
        <family val="2"/>
      </rPr>
      <t xml:space="preserve">｜全園區｜上線</t>
    </r>
  </si>
  <si>
    <t xml:space="preserve">2026-07-17</t>
  </si>
  <si>
    <r>
      <rPr>
        <sz val="11"/>
        <color theme="1"/>
        <rFont val="Calibri"/>
        <family val="2"/>
        <charset val="1"/>
      </rPr>
      <t xml:space="preserve">636 MW IT </t>
    </r>
    <r>
      <rPr>
        <sz val="11"/>
        <color theme="1"/>
        <rFont val="Noto Sans CJK SC"/>
        <family val="2"/>
      </rPr>
      <t xml:space="preserve">與頁面更新日 </t>
    </r>
    <r>
      <rPr>
        <sz val="11"/>
        <color theme="1"/>
        <rFont val="Calibri"/>
        <family val="2"/>
        <charset val="1"/>
      </rPr>
      <t xml:space="preserve">2026-07-17 </t>
    </r>
    <r>
      <rPr>
        <sz val="11"/>
        <color theme="1"/>
        <rFont val="Noto Sans CJK SC"/>
        <family val="2"/>
      </rPr>
      <t xml:space="preserve">屬實。但全園區 </t>
    </r>
    <r>
      <rPr>
        <sz val="11"/>
        <color theme="1"/>
        <rFont val="Calibri"/>
        <family val="2"/>
        <charset val="1"/>
      </rPr>
      <t xml:space="preserve">636 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才達成，非 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。此為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估算卻標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。「</t>
    </r>
    <r>
      <rPr>
        <sz val="11"/>
        <color theme="1"/>
        <rFont val="Calibri"/>
        <family val="2"/>
        <charset val="1"/>
      </rPr>
      <t xml:space="preserve">103</t>
    </r>
    <r>
      <rPr>
        <sz val="11"/>
        <color theme="1"/>
        <rFont val="Noto Sans CJK SC"/>
        <family val="2"/>
      </rPr>
      <t xml:space="preserve">天前」及他站 </t>
    </r>
    <r>
      <rPr>
        <sz val="11"/>
        <color theme="1"/>
        <rFont val="Calibri"/>
        <family val="2"/>
        <charset val="1"/>
      </rPr>
      <t xml:space="preserve">433/250+ MW </t>
    </r>
    <r>
      <rPr>
        <sz val="11"/>
        <color theme="1"/>
        <rFont val="Noto Sans CJK SC"/>
        <family val="2"/>
      </rPr>
      <t xml:space="preserve">原文找不到。</t>
    </r>
  </si>
  <si>
    <r>
      <rPr>
        <sz val="11"/>
        <color theme="1"/>
        <rFont val="Calibri"/>
        <family val="2"/>
        <charset val="1"/>
      </rPr>
      <t xml:space="preserve">cp_msft_atl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cp_msft_atl2</t>
    </r>
  </si>
  <si>
    <t xml:space="preserve">S#6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</si>
  <si>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Atlanta (Fayetteville)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1–2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雙棟）｜上線</t>
    </r>
  </si>
  <si>
    <t xml:space="preserve">321 MW</t>
  </si>
  <si>
    <r>
      <rPr>
        <sz val="11"/>
        <color theme="1"/>
        <rFont val="Calibri"/>
        <family val="2"/>
        <charset val="1"/>
      </rPr>
      <t xml:space="preserve">321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388k H100e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2025-10-14 </t>
    </r>
    <r>
      <rPr>
        <sz val="11"/>
        <color theme="1"/>
        <rFont val="Noto Sans CJK SC"/>
        <family val="2"/>
      </rPr>
      <t xml:space="preserve">上線皆屬實。但 </t>
    </r>
    <r>
      <rPr>
        <sz val="11"/>
        <color theme="1"/>
        <rFont val="Calibri"/>
        <family val="2"/>
        <charset val="1"/>
      </rPr>
      <t xml:space="preserve">2026-06-14 </t>
    </r>
    <r>
      <rPr>
        <sz val="11"/>
        <color theme="1"/>
        <rFont val="Noto Sans CJK SC"/>
        <family val="2"/>
      </rPr>
      <t xml:space="preserve">的時間軸已升至 </t>
    </r>
    <r>
      <rPr>
        <sz val="11"/>
        <color theme="1"/>
        <rFont val="Calibri"/>
        <family val="2"/>
        <charset val="1"/>
      </rPr>
      <t xml:space="preserve">769k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636 MW</t>
    </r>
    <r>
      <rPr>
        <sz val="11"/>
        <color theme="1"/>
        <rFont val="Noto Sans CJK SC"/>
        <family val="2"/>
      </rPr>
      <t xml:space="preserve">，「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06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321 MW</t>
    </r>
    <r>
      <rPr>
        <sz val="11"/>
        <color theme="1"/>
        <rFont val="Noto Sans CJK SC"/>
        <family val="2"/>
      </rPr>
      <t xml:space="preserve">」有誤，應只到 </t>
    </r>
    <r>
      <rPr>
        <sz val="11"/>
        <color theme="1"/>
        <rFont val="Calibri"/>
        <family val="2"/>
        <charset val="1"/>
      </rPr>
      <t xml:space="preserve">05</t>
    </r>
    <r>
      <rPr>
        <sz val="11"/>
        <color theme="1"/>
        <rFont val="Noto Sans CJK SC"/>
        <family val="2"/>
      </rPr>
      <t xml:space="preserve">。</t>
    </r>
  </si>
  <si>
    <t xml:space="preserve">S#7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</si>
  <si>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Atlanta (Fayetteville)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4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</si>
  <si>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：不符</t>
    </r>
  </si>
  <si>
    <r>
      <rPr>
        <sz val="11"/>
        <color theme="1"/>
        <rFont val="Calibri"/>
        <family val="2"/>
        <charset val="1"/>
      </rPr>
      <t xml:space="preserve">Epoch 2026-05 </t>
    </r>
    <r>
      <rPr>
        <sz val="11"/>
        <color theme="1"/>
        <rFont val="Noto Sans CJK SC"/>
        <family val="2"/>
      </rPr>
      <t xml:space="preserve">判斷試運轉屬實，但 </t>
    </r>
    <r>
      <rPr>
        <sz val="11"/>
        <color theme="1"/>
        <rFont val="Calibri"/>
        <family val="2"/>
        <charset val="1"/>
      </rPr>
      <t xml:space="preserve">2026-06-14 </t>
    </r>
    <r>
      <rPr>
        <sz val="11"/>
        <color theme="1"/>
        <rFont val="Noto Sans CJK SC"/>
        <family val="2"/>
      </rPr>
      <t xml:space="preserve">已判定 </t>
    </r>
    <r>
      <rPr>
        <sz val="11"/>
        <color theme="1"/>
        <rFont val="Calibri"/>
        <family val="2"/>
        <charset val="1"/>
      </rPr>
      <t xml:space="preserve">Building 4 </t>
    </r>
    <r>
      <rPr>
        <sz val="11"/>
        <color theme="1"/>
        <rFont val="Noto Sans CJK SC"/>
        <family val="2"/>
      </rPr>
      <t xml:space="preserve">運轉中，故 </t>
    </r>
    <r>
      <rPr>
        <sz val="11"/>
        <color theme="1"/>
        <rFont val="Calibri"/>
        <family val="2"/>
        <charset val="1"/>
      </rPr>
      <t xml:space="preserve">2026-07-17 </t>
    </r>
    <r>
      <rPr>
        <sz val="11"/>
        <color theme="1"/>
        <rFont val="Noto Sans CJK SC"/>
        <family val="2"/>
      </rPr>
      <t xml:space="preserve">標「在建」不符。兩棟新殼體施工屬實，</t>
    </r>
    <r>
      <rPr>
        <sz val="11"/>
        <color theme="1"/>
        <rFont val="Calibri"/>
        <family val="2"/>
        <charset val="1"/>
      </rPr>
      <t xml:space="preserve">Cleanview 268 MW </t>
    </r>
    <r>
      <rPr>
        <sz val="11"/>
        <color theme="1"/>
        <rFont val="Noto Sans CJK SC"/>
        <family val="2"/>
      </rPr>
      <t xml:space="preserve">原文找不到。</t>
    </r>
  </si>
  <si>
    <t xml:space="preserve">S#8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</si>
  <si>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</si>
  <si>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QTS Fayetteville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承租）｜</t>
    </r>
    <r>
      <rPr>
        <sz val="11"/>
        <color theme="1"/>
        <rFont val="Calibri"/>
        <family val="2"/>
        <charset val="1"/>
      </rPr>
      <t xml:space="preserve">QTS Fayetteville I DC1-2</t>
    </r>
    <r>
      <rPr>
        <sz val="11"/>
        <color theme="1"/>
        <rFont val="Noto Sans CJK SC"/>
        <family val="2"/>
      </rPr>
      <t xml:space="preserve">（債券 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持有的兩棟）｜上線</t>
    </r>
  </si>
  <si>
    <t xml:space="preserve">2026-08-07</t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</si>
  <si>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：口徑不同</t>
    </r>
  </si>
  <si>
    <r>
      <rPr>
        <sz val="11"/>
        <color theme="1"/>
        <rFont val="Noto Sans CJK SC"/>
        <family val="2"/>
      </rPr>
      <t xml:space="preserve">原文「逾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」是兩棟新建樓的容量，非上線量，且為記者轉述。商業運轉始於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年底屬實，債務最高</t>
    </r>
    <r>
      <rPr>
        <sz val="11"/>
        <color theme="1"/>
        <rFont val="Calibri"/>
        <family val="2"/>
        <charset val="1"/>
      </rPr>
      <t xml:space="preserve">54</t>
    </r>
    <r>
      <rPr>
        <sz val="11"/>
        <color theme="1"/>
        <rFont val="Noto Sans CJK SC"/>
        <family val="2"/>
      </rPr>
      <t xml:space="preserve">億美元屬實。標為公司本人說並不準確，應為記者轉述。</t>
    </r>
  </si>
  <si>
    <t xml:space="preserve">https://nordsip.com/2026/08/07/afii-assesses-green-credentials-of-qts/</t>
  </si>
  <si>
    <t xml:space="preserve">S#9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</si>
  <si>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QTS Fayetteville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承租）｜</t>
    </r>
    <r>
      <rPr>
        <sz val="11"/>
        <color theme="1"/>
        <rFont val="Calibri"/>
        <family val="2"/>
        <charset val="1"/>
      </rPr>
      <t xml:space="preserve">ATL2 East </t>
    </r>
    <r>
      <rPr>
        <sz val="11"/>
        <color theme="1"/>
        <rFont val="Noto Sans CJK SC"/>
        <family val="2"/>
      </rPr>
      <t xml:space="preserve">擴建｜規劃</t>
    </r>
  </si>
  <si>
    <t xml:space="preserve">2026-01-15</t>
  </si>
  <si>
    <r>
      <rPr>
        <sz val="11"/>
        <color theme="1"/>
        <rFont val="Noto Sans CJK SC"/>
        <family val="2"/>
      </rPr>
      <t xml:space="preserve">面積、英畝、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屬實，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未揭露也對。但原文未提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承租，</t>
    </r>
    <r>
      <rPr>
        <sz val="11"/>
        <color theme="1"/>
        <rFont val="Calibri"/>
        <family val="2"/>
        <charset val="1"/>
      </rPr>
      <t xml:space="preserve">site_or_scope </t>
    </r>
    <r>
      <rPr>
        <sz val="11"/>
        <color theme="1"/>
        <rFont val="Noto Sans CJK SC"/>
        <family val="2"/>
      </rPr>
      <t xml:space="preserve">寫「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承租」無依據。「可能完工」被寫成「最快」。原文也未說明 </t>
    </r>
    <r>
      <rPr>
        <sz val="11"/>
        <color theme="1"/>
        <rFont val="Calibri"/>
        <family val="2"/>
        <charset val="1"/>
      </rPr>
      <t xml:space="preserve">DRI </t>
    </r>
    <r>
      <rPr>
        <sz val="11"/>
        <color theme="1"/>
        <rFont val="Noto Sans CJK SC"/>
        <family val="2"/>
      </rPr>
      <t xml:space="preserve">申請文件內容，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偏強。</t>
    </r>
  </si>
  <si>
    <t xml:space="preserve">https://www.datacenterdynamics.com/en/news/qts-files-to-expand-fayetteville-data-center-campus-in-georgia/</t>
  </si>
  <si>
    <t xml:space="preserve">S#10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</si>
  <si>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QTS Fayetteville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承租）｜全園區滿載規劃｜規劃</t>
    </r>
  </si>
  <si>
    <t xml:space="preserve">1500 MW</t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</si>
  <si>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：無法取得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</si>
  <si>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403</t>
    </r>
    <r>
      <rPr>
        <sz val="11"/>
        <color theme="1"/>
        <rFont val="Noto Sans CJK SC"/>
        <family val="2"/>
      </rPr>
      <t xml:space="preserve">）</t>
    </r>
  </si>
  <si>
    <t xml:space="preserve">https://measuredai.substack.com/p/microsoft-fairwater-atlanta-data-center</t>
  </si>
  <si>
    <t xml:space="preserve">S#11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</si>
  <si>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Atlanta (Fayetteville)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官方公告）｜上線</t>
    </r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</si>
  <si>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：屬實</t>
    </r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</si>
  <si>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2025-11-12 </t>
    </r>
    <r>
      <rPr>
        <sz val="11"/>
        <color theme="1"/>
        <rFont val="Noto Sans CJK SC"/>
        <family val="2"/>
      </rPr>
      <t xml:space="preserve">發布，稱 </t>
    </r>
    <r>
      <rPr>
        <sz val="11"/>
        <color theme="1"/>
        <rFont val="Calibri"/>
        <family val="2"/>
        <charset val="1"/>
      </rPr>
      <t xml:space="preserve">Atlanta 10 </t>
    </r>
    <r>
      <rPr>
        <sz val="11"/>
        <color theme="1"/>
        <rFont val="Noto Sans CJK SC"/>
        <family val="2"/>
      </rPr>
      <t xml:space="preserve">月開始運作；使用者列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 </t>
    </r>
    <r>
      <rPr>
        <sz val="11"/>
        <color theme="1"/>
        <rFont val="Noto Sans CJK SC"/>
        <family val="2"/>
      </rPr>
      <t xml:space="preserve">超級智慧團隊、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，未列 </t>
    </r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；未公布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。公司自述標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合理。</t>
    </r>
  </si>
  <si>
    <t xml:space="preserve">https://news.microsoft.com/source/features/ai/from-wisconsin-to-atlanta-microsoft-connects-datacenters-to-build-its-first-ai-superfactory/</t>
  </si>
  <si>
    <t xml:space="preserve">S#12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</si>
  <si>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1</t>
    </r>
    <r>
      <rPr>
        <sz val="11"/>
        <color theme="1"/>
        <rFont val="Noto Sans CJK SC"/>
        <family val="2"/>
      </rPr>
      <t xml:space="preserve">（第一期，已啟用）｜上線</t>
    </r>
  </si>
  <si>
    <t xml:space="preserve">2026-10-06</t>
  </si>
  <si>
    <r>
      <rPr>
        <sz val="11"/>
        <color theme="1"/>
        <rFont val="Calibri"/>
        <family val="2"/>
        <charset val="1"/>
      </rPr>
      <t xml:space="preserve">369 MW IT </t>
    </r>
    <r>
      <rPr>
        <sz val="11"/>
        <color theme="1"/>
        <rFont val="Noto Sans CJK SC"/>
        <family val="2"/>
      </rPr>
      <t xml:space="preserve">屬實。但原文找不到「</t>
    </r>
    <r>
      <rPr>
        <sz val="11"/>
        <color theme="1"/>
        <rFont val="Calibri"/>
        <family val="2"/>
        <charset val="1"/>
      </rPr>
      <t xml:space="preserve">450 MW</t>
    </r>
    <r>
      <rPr>
        <sz val="11"/>
        <color theme="1"/>
        <rFont val="Noto Sans CJK SC"/>
        <family val="2"/>
      </rPr>
      <t xml:space="preserve">」報導；第一期 </t>
    </r>
    <r>
      <rPr>
        <sz val="11"/>
        <color theme="1"/>
        <rFont val="Calibri"/>
        <family val="2"/>
        <charset val="1"/>
      </rPr>
      <t xml:space="preserve">4/16 </t>
    </r>
    <r>
      <rPr>
        <sz val="11"/>
        <color theme="1"/>
        <rFont val="Noto Sans CJK SC"/>
        <family val="2"/>
      </rPr>
      <t xml:space="preserve">已上線，與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不符。頁面更新日為 </t>
    </r>
    <r>
      <rPr>
        <sz val="11"/>
        <color theme="1"/>
        <rFont val="Calibri"/>
        <family val="2"/>
        <charset val="1"/>
      </rPr>
      <t xml:space="preserve">7/25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10/06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估算標為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</t>
    </r>
  </si>
  <si>
    <r>
      <rPr>
        <sz val="11"/>
        <color theme="1"/>
        <rFont val="Calibri"/>
        <family val="2"/>
        <charset val="1"/>
      </rPr>
      <t xml:space="preserve">cp_msft_wi1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cp_msft_wi2a</t>
    </r>
  </si>
  <si>
    <t xml:space="preserve">S#13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</si>
  <si>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1</t>
    </r>
    <r>
      <rPr>
        <sz val="11"/>
        <color theme="1"/>
        <rFont val="Noto Sans CJK SC"/>
        <family val="2"/>
      </rPr>
      <t xml:space="preserve">（第一期，</t>
    </r>
    <r>
      <rPr>
        <sz val="11"/>
        <color theme="1"/>
        <rFont val="Calibri"/>
        <family val="2"/>
        <charset val="1"/>
      </rPr>
      <t xml:space="preserve">PSC </t>
    </r>
    <r>
      <rPr>
        <sz val="11"/>
        <color theme="1"/>
        <rFont val="Noto Sans CJK SC"/>
        <family val="2"/>
      </rPr>
      <t xml:space="preserve">程序所列需求）｜上線</t>
    </r>
  </si>
  <si>
    <t xml:space="preserve">450 MW</t>
  </si>
  <si>
    <t xml:space="preserve">2026-02-10</t>
  </si>
  <si>
    <r>
      <rPr>
        <sz val="11"/>
        <color theme="1"/>
        <rFont val="Calibri"/>
        <family val="2"/>
        <charset val="1"/>
      </rPr>
      <t xml:space="preserve">450 MW </t>
    </r>
    <r>
      <rPr>
        <sz val="11"/>
        <color theme="1"/>
        <rFont val="Noto Sans CJK SC"/>
        <family val="2"/>
      </rPr>
      <t xml:space="preserve">屬實，但原文是記者未標出處的「預估需求」，不是上線容量。原文無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上線時間，也未說明這是 </t>
    </r>
    <r>
      <rPr>
        <sz val="11"/>
        <color theme="1"/>
        <rFont val="Calibri"/>
        <family val="2"/>
        <charset val="1"/>
      </rPr>
      <t xml:space="preserve">PSC </t>
    </r>
    <r>
      <rPr>
        <sz val="11"/>
        <color theme="1"/>
        <rFont val="Noto Sans CJK SC"/>
        <family val="2"/>
      </rPr>
      <t xml:space="preserve">程序所列需求。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標示也不當。</t>
    </r>
  </si>
  <si>
    <t xml:space="preserve">https://wisconsinexaminer.com/2026/02/10/wisconsin-public-service-commission-data-center-hearing-draws-public-outcry/</t>
  </si>
  <si>
    <t xml:space="preserve">S#14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</si>
  <si>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｜第二座資料中心（相鄰，在建）｜在建</t>
    </r>
  </si>
  <si>
    <t xml:space="preserve">2026-06-23</t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</si>
  <si>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：原文找不到</t>
    </r>
  </si>
  <si>
    <r>
      <rPr>
        <sz val="11"/>
        <color theme="1"/>
        <rFont val="Noto Sans CJK SC"/>
        <family val="2"/>
      </rPr>
      <t xml:space="preserve">第二座在建、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完工屬實。但「另投資約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億美元」原文沒有，原文只有 </t>
    </r>
    <r>
      <rPr>
        <sz val="11"/>
        <color theme="1"/>
        <rFont val="Calibri"/>
        <family val="2"/>
        <charset val="1"/>
      </rPr>
      <t xml:space="preserve">2024–2028 </t>
    </r>
    <r>
      <rPr>
        <sz val="11"/>
        <color theme="1"/>
        <rFont val="Noto Sans CJK SC"/>
        <family val="2"/>
      </rPr>
      <t xml:space="preserve">威州共約 </t>
    </r>
    <r>
      <rPr>
        <sz val="11"/>
        <color theme="1"/>
        <rFont val="Calibri"/>
        <family val="2"/>
        <charset val="1"/>
      </rPr>
      <t xml:space="preserve">47 </t>
    </r>
    <r>
      <rPr>
        <sz val="11"/>
        <color theme="1"/>
        <rFont val="Noto Sans CJK SC"/>
        <family val="2"/>
      </rPr>
      <t xml:space="preserve">億美元。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寫「公司本人」也不是原文標題。</t>
    </r>
  </si>
  <si>
    <t xml:space="preserve">https://wtmj.com/news/2026/06/23/microsoft-completes-first-mount-pleasant-data-center-announces-facility-is-operational/</t>
  </si>
  <si>
    <t xml:space="preserve">S#15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</si>
  <si>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｜後續擴建（新增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棟）｜規劃</t>
    </r>
  </si>
  <si>
    <r>
      <rPr>
        <sz val="11"/>
        <color theme="1"/>
        <rFont val="Noto Sans CJK SC"/>
        <family val="2"/>
      </rPr>
      <t xml:space="preserve">原文確有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月核准再增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棟，且未載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與完工時點，主旨屬實。但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填「記者推論」並非文章標題；原文是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的報導陳述，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稍偏。</t>
    </r>
  </si>
  <si>
    <t xml:space="preserve">https://www.datacenterdynamics.com/en/news/microsoft-ceo-says-fairwater-data-center-site-is-going-live-ahead-of-schedule/</t>
  </si>
  <si>
    <t xml:space="preserve">S#16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</si>
  <si>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2028 Q2</t>
    </r>
    <r>
      <rPr>
        <sz val="11"/>
        <color theme="1"/>
        <rFont val="Noto Sans CJK SC"/>
        <family val="2"/>
      </rPr>
      <t xml:space="preserve">）｜規劃</t>
    </r>
  </si>
  <si>
    <t xml:space="preserve">2263 MW</t>
  </si>
  <si>
    <r>
      <rPr>
        <sz val="11"/>
        <color theme="1"/>
        <rFont val="Calibri"/>
        <family val="2"/>
        <charset val="1"/>
      </rPr>
      <t xml:space="preserve">2,263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月整地與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年建期皆與原文相符。但頁面更新日為 </t>
    </r>
    <r>
      <rPr>
        <sz val="11"/>
        <color theme="1"/>
        <rFont val="Calibri"/>
        <family val="2"/>
        <charset val="1"/>
      </rPr>
      <t xml:space="preserve">7/25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10/06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預測標為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</t>
    </r>
  </si>
  <si>
    <t xml:space="preserve">S#17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</si>
  <si>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Nadella </t>
    </r>
    <r>
      <rPr>
        <sz val="11"/>
        <color theme="1"/>
        <rFont val="Noto Sans CJK SC"/>
        <family val="2"/>
      </rPr>
      <t xml:space="preserve">稱規模）｜規劃</t>
    </r>
  </si>
  <si>
    <r>
      <rPr>
        <sz val="11"/>
        <color theme="1"/>
        <rFont val="Noto Sans CJK SC"/>
        <family val="2"/>
      </rPr>
      <t xml:space="preserve">數值</t>
    </r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、日期</t>
    </r>
    <r>
      <rPr>
        <sz val="11"/>
        <color theme="1"/>
        <rFont val="Calibri"/>
        <family val="2"/>
        <charset val="1"/>
      </rPr>
      <t xml:space="preserve">2025-10-29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上線皆符合，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基礎未說明亦合。但 </t>
    </r>
    <r>
      <rPr>
        <sz val="11"/>
        <color theme="1"/>
        <rFont val="Calibri"/>
        <family val="2"/>
        <charset val="1"/>
      </rPr>
      <t xml:space="preserve">Nadella </t>
    </r>
    <r>
      <rPr>
        <sz val="11"/>
        <color theme="1"/>
        <rFont val="Noto Sans CJK SC"/>
        <family val="2"/>
      </rPr>
      <t xml:space="preserve">為本人說法，</t>
    </r>
    <r>
      <rPr>
        <sz val="11"/>
        <color theme="1"/>
        <rFont val="Calibri"/>
        <family val="2"/>
        <charset val="1"/>
      </rPr>
      <t xml:space="preserve">tag Interested-party </t>
    </r>
    <r>
      <rPr>
        <sz val="11"/>
        <color theme="1"/>
        <rFont val="Noto Sans CJK SC"/>
        <family val="2"/>
      </rPr>
      <t xml:space="preserve">尚可；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標「公司本人」不精確，實為轉載頁面。原文稱「</t>
    </r>
    <r>
      <rPr>
        <sz val="11"/>
        <color theme="1"/>
        <rFont val="Calibri"/>
        <family val="2"/>
        <charset val="1"/>
      </rPr>
      <t xml:space="preserve">scale to</t>
    </r>
    <r>
      <rPr>
        <sz val="11"/>
        <color theme="1"/>
        <rFont val="Noto Sans CJK SC"/>
        <family val="2"/>
      </rPr>
      <t xml:space="preserve">」，未明說規劃時程。</t>
    </r>
  </si>
  <si>
    <t xml:space="preserve">https://www.aipredictionindex.com/p/nadella-2025-fairwater-wisconsin-2gw/</t>
  </si>
  <si>
    <t xml:space="preserve">S#18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</si>
  <si>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WEC </t>
    </r>
    <r>
      <rPr>
        <sz val="11"/>
        <color theme="1"/>
        <rFont val="Noto Sans CJK SC"/>
        <family val="2"/>
      </rPr>
      <t xml:space="preserve">預期新增需求）｜規劃</t>
    </r>
  </si>
  <si>
    <t xml:space="preserve">2600 MW</t>
  </si>
  <si>
    <t xml:space="preserve">2026-06-24</t>
  </si>
  <si>
    <r>
      <rPr>
        <sz val="11"/>
        <color theme="1"/>
        <rFont val="Calibri"/>
        <family val="2"/>
        <charset val="1"/>
      </rPr>
      <t xml:space="preserve">2.6 GW</t>
    </r>
    <r>
      <rPr>
        <sz val="11"/>
        <color theme="1"/>
        <rFont val="Noto Sans CJK SC"/>
        <family val="2"/>
      </rPr>
      <t xml:space="preserve">、日期與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基礎未說明皆屬實。但這是 </t>
    </r>
    <r>
      <rPr>
        <sz val="11"/>
        <color theme="1"/>
        <rFont val="Calibri"/>
        <family val="2"/>
        <charset val="1"/>
      </rPr>
      <t xml:space="preserve">WEC </t>
    </r>
    <r>
      <rPr>
        <sz val="11"/>
        <color theme="1"/>
        <rFont val="Noto Sans CJK SC"/>
        <family val="2"/>
      </rPr>
      <t xml:space="preserve">投資人簡報的利害關係人說法，經記者轉述，標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偏高。來源標題寫「第三方機構」不準確，實為 </t>
    </r>
    <r>
      <rPr>
        <sz val="11"/>
        <color theme="1"/>
        <rFont val="Calibri"/>
        <family val="2"/>
        <charset val="1"/>
      </rPr>
      <t xml:space="preserve">Racine County Eye </t>
    </r>
    <r>
      <rPr>
        <sz val="11"/>
        <color theme="1"/>
        <rFont val="Noto Sans CJK SC"/>
        <family val="2"/>
      </rPr>
      <t xml:space="preserve">報導。</t>
    </r>
  </si>
  <si>
    <t xml:space="preserve">https://civicmedia.us/news/2026/06/24/microsoft-opens-the-fairwater-data-center-in-mount-pleasant</t>
  </si>
  <si>
    <t xml:space="preserve">S#19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</si>
  <si>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</si>
  <si>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Stargate Abilene Campus 1</t>
    </r>
    <r>
      <rPr>
        <sz val="11"/>
        <color theme="1"/>
        <rFont val="Noto Sans CJK SC"/>
        <family val="2"/>
      </rPr>
      <t xml:space="preserve">｜全園區｜在建</t>
    </r>
  </si>
  <si>
    <t xml:space="preserve">2026-10-14</t>
  </si>
  <si>
    <r>
      <rPr>
        <sz val="11"/>
        <color theme="1"/>
        <rFont val="Calibri"/>
        <family val="2"/>
        <charset val="1"/>
      </rPr>
      <t xml:space="preserve">1.2GW </t>
    </r>
    <r>
      <rPr>
        <sz val="11"/>
        <color theme="1"/>
        <rFont val="Noto Sans CJK SC"/>
        <family val="2"/>
      </rPr>
      <t xml:space="preserve">有出現，但為設計規格；原文狀態為營運中、</t>
    </r>
    <r>
      <rPr>
        <sz val="11"/>
        <color theme="1"/>
        <rFont val="Calibri"/>
        <family val="2"/>
        <charset val="1"/>
      </rPr>
      <t xml:space="preserve">6/8 </t>
    </r>
    <r>
      <rPr>
        <sz val="11"/>
        <color theme="1"/>
        <rFont val="Noto Sans CJK SC"/>
        <family val="2"/>
      </rPr>
      <t xml:space="preserve">棟已交付，非「在建」。原文無施工延至 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、延遲 </t>
    </r>
    <r>
      <rPr>
        <sz val="11"/>
        <color theme="1"/>
        <rFont val="Calibri"/>
        <family val="2"/>
        <charset val="1"/>
      </rPr>
      <t xml:space="preserve">6–9 </t>
    </r>
    <r>
      <rPr>
        <sz val="11"/>
        <color theme="1"/>
        <rFont val="Noto Sans CJK SC"/>
        <family val="2"/>
      </rPr>
      <t xml:space="preserve">個月、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上線之說。「</t>
    </r>
    <r>
      <rPr>
        <sz val="11"/>
        <color theme="1"/>
        <rFont val="Calibri"/>
        <family val="2"/>
        <charset val="1"/>
      </rPr>
      <t xml:space="preserve">600MW </t>
    </r>
    <r>
      <rPr>
        <sz val="11"/>
        <color theme="1"/>
        <rFont val="Noto Sans CJK SC"/>
        <family val="2"/>
      </rPr>
      <t xml:space="preserve">擴建已取消」亦不符，原文只說未確認。</t>
    </r>
  </si>
  <si>
    <t xml:space="preserve">https://americanbuildout.com/stargate-abilene/</t>
  </si>
  <si>
    <t xml:space="preserve">S#20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</si>
  <si>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Stargate Abilene Campus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B1–B2</t>
    </r>
    <r>
      <rPr>
        <sz val="11"/>
        <color theme="1"/>
        <rFont val="Noto Sans CJK SC"/>
        <family val="2"/>
      </rPr>
      <t xml:space="preserve">）｜上線</t>
    </r>
  </si>
  <si>
    <t xml:space="preserve">2025-11-17</t>
  </si>
  <si>
    <r>
      <rPr>
        <sz val="11"/>
        <color theme="1"/>
        <rFont val="Calibri"/>
        <family val="2"/>
        <charset val="1"/>
      </rPr>
      <t xml:space="preserve">200MW+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980,000 </t>
    </r>
    <r>
      <rPr>
        <sz val="11"/>
        <color theme="1"/>
        <rFont val="Noto Sans CJK SC"/>
        <family val="2"/>
      </rPr>
      <t xml:space="preserve">平方呎、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供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皆屬實。但 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是文章日期，上線說法在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月。原文無 </t>
    </r>
    <r>
      <rPr>
        <sz val="11"/>
        <color theme="1"/>
        <rFont val="Calibri"/>
        <family val="2"/>
        <charset val="1"/>
      </rPr>
      <t xml:space="preserve">9/30 </t>
    </r>
    <r>
      <rPr>
        <sz val="11"/>
        <color theme="1"/>
        <rFont val="Noto Sans CJK SC"/>
        <family val="2"/>
      </rPr>
      <t xml:space="preserve">日期與延遲約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個月說法。</t>
    </r>
  </si>
  <si>
    <t xml:space="preserve">https://www.datacenterdynamics.com/en/news/crusoe-tops-out-final-building-at-openai-stargate-data-center-campus-in-abilene-texas/</t>
  </si>
  <si>
    <t xml:space="preserve">S#21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</si>
  <si>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Stargate Abilene Campus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B3–B8</t>
    </r>
    <r>
      <rPr>
        <sz val="11"/>
        <color theme="1"/>
        <rFont val="Noto Sans CJK SC"/>
        <family val="2"/>
      </rPr>
      <t xml:space="preserve">，新增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棟）｜在建</t>
    </r>
  </si>
  <si>
    <r>
      <rPr>
        <sz val="11"/>
        <color theme="1"/>
        <rFont val="Noto Sans CJK SC"/>
        <family val="2"/>
      </rPr>
      <t xml:space="preserve">原文無 </t>
    </r>
    <r>
      <rPr>
        <sz val="11"/>
        <color theme="1"/>
        <rFont val="Calibri"/>
        <family val="2"/>
        <charset val="1"/>
      </rPr>
      <t xml:space="preserve">Phase 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B3–B8 </t>
    </r>
    <r>
      <rPr>
        <sz val="11"/>
        <color theme="1"/>
        <rFont val="Noto Sans CJK SC"/>
        <family val="2"/>
      </rPr>
      <t xml:space="preserve">分棟資料、</t>
    </r>
    <r>
      <rPr>
        <sz val="11"/>
        <color theme="1"/>
        <rFont val="Calibri"/>
        <family val="2"/>
        <charset val="1"/>
      </rPr>
      <t xml:space="preserve">B3/B4 </t>
    </r>
    <r>
      <rPr>
        <sz val="11"/>
        <color theme="1"/>
        <rFont val="Noto Sans CJK SC"/>
        <family val="2"/>
      </rPr>
      <t xml:space="preserve">許可日期，也無 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上線或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新聞稿未上線之說。原文是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棟中的 </t>
    </r>
    <r>
      <rPr>
        <sz val="11"/>
        <color theme="1"/>
        <rFont val="Calibri"/>
        <family val="2"/>
        <charset val="1"/>
      </rPr>
      <t xml:space="preserve">6/8 </t>
    </r>
    <r>
      <rPr>
        <sz val="11"/>
        <color theme="1"/>
        <rFont val="Noto Sans CJK SC"/>
        <family val="2"/>
      </rPr>
      <t xml:space="preserve">已交付，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null </t>
    </r>
    <r>
      <rPr>
        <sz val="11"/>
        <color theme="1"/>
        <rFont val="Noto Sans CJK SC"/>
        <family val="2"/>
      </rPr>
      <t xml:space="preserve">屬合理。</t>
    </r>
  </si>
  <si>
    <t xml:space="preserve">S#22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</si>
  <si>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Stargate Abilene Campus 1</t>
    </r>
    <r>
      <rPr>
        <sz val="11"/>
        <color theme="1"/>
        <rFont val="Noto Sans CJK SC"/>
        <family val="2"/>
      </rPr>
      <t xml:space="preserve">｜已交付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財報口徑）｜上線</t>
    </r>
  </si>
  <si>
    <t xml:space="preserve">https://www.alphaspread.com/security/nyse/orcl/investor-relations/earnings-call/q1-2027</t>
  </si>
  <si>
    <t xml:space="preserve">S#23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</si>
  <si>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Stargate Abilene Campus 1</t>
    </r>
    <r>
      <rPr>
        <sz val="11"/>
        <color theme="1"/>
        <rFont val="Noto Sans CJK SC"/>
        <family val="2"/>
      </rPr>
      <t xml:space="preserve">｜已運轉 </t>
    </r>
    <r>
      <rPr>
        <sz val="11"/>
        <color theme="1"/>
        <rFont val="Calibri"/>
        <family val="2"/>
        <charset val="1"/>
      </rPr>
      <t xml:space="preserve">B1–B4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估計）｜上線</t>
    </r>
  </si>
  <si>
    <t xml:space="preserve">421 MW</t>
  </si>
  <si>
    <r>
      <rPr>
        <sz val="11"/>
        <color theme="1"/>
        <rFont val="Calibri"/>
        <family val="2"/>
        <charset val="1"/>
      </rPr>
      <t xml:space="preserve">421MW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843MW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預測皆與原文相符。但頁面更新日為 </t>
    </r>
    <r>
      <rPr>
        <sz val="11"/>
        <color theme="1"/>
        <rFont val="Calibri"/>
        <family val="2"/>
        <charset val="1"/>
      </rPr>
      <t xml:space="preserve">2026-07-17</t>
    </r>
    <r>
      <rPr>
        <sz val="11"/>
        <color theme="1"/>
        <rFont val="Noto Sans CJK SC"/>
        <family val="2"/>
      </rPr>
      <t xml:space="preserve">，衛星影像最新為 </t>
    </r>
    <r>
      <rPr>
        <sz val="11"/>
        <color theme="1"/>
        <rFont val="Calibri"/>
        <family val="2"/>
        <charset val="1"/>
      </rPr>
      <t xml:space="preserve">7/28</t>
    </r>
    <r>
      <rPr>
        <sz val="11"/>
        <color theme="1"/>
        <rFont val="Noto Sans CJK SC"/>
        <family val="2"/>
      </rPr>
      <t xml:space="preserve">，找不到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也偏高，這是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的估計。</t>
    </r>
  </si>
  <si>
    <t xml:space="preserve">https://epoch.ai/data/ai-data-centers/directory/openai-stargate-abilene</t>
  </si>
  <si>
    <t xml:space="preserve">S#24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</si>
  <si>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Abilene Campus 2 (Microsoft)</t>
    </r>
    <r>
      <rPr>
        <sz val="11"/>
        <color theme="1"/>
        <rFont val="Noto Sans CJK SC"/>
        <family val="2"/>
      </rPr>
      <t xml:space="preserve">｜全園區｜在建</t>
    </r>
  </si>
  <si>
    <t xml:space="preserve">900 MW</t>
  </si>
  <si>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、兩棟樓、整地、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年中通電、合計</t>
    </r>
    <r>
      <rPr>
        <sz val="11"/>
        <color theme="1"/>
        <rFont val="Calibri"/>
        <family val="2"/>
        <charset val="1"/>
      </rPr>
      <t xml:space="preserve">2.1GW </t>
    </r>
    <r>
      <rPr>
        <sz val="11"/>
        <color theme="1"/>
        <rFont val="Noto Sans CJK SC"/>
        <family val="2"/>
      </rPr>
      <t xml:space="preserve">皆屬實。但原文另載每棟</t>
    </r>
    <r>
      <rPr>
        <sz val="11"/>
        <color theme="1"/>
        <rFont val="Calibri"/>
        <family val="2"/>
        <charset val="1"/>
      </rPr>
      <t xml:space="preserve">336MW</t>
    </r>
    <r>
      <rPr>
        <sz val="11"/>
        <color theme="1"/>
        <rFont val="Noto Sans CJK SC"/>
        <family val="2"/>
      </rPr>
      <t xml:space="preserve">關鍵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負載（約</t>
    </r>
    <r>
      <rPr>
        <sz val="11"/>
        <color theme="1"/>
        <rFont val="Calibri"/>
        <family val="2"/>
        <charset val="1"/>
      </rPr>
      <t xml:space="preserve">672MW IT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是園區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電廠口徑，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應標明。</t>
    </r>
    <r>
      <rPr>
        <sz val="11"/>
        <color theme="1"/>
        <rFont val="Calibri"/>
        <family val="2"/>
        <charset val="1"/>
      </rPr>
      <t xml:space="preserve">Stargate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說法原文未提。</t>
    </r>
  </si>
  <si>
    <r>
      <rPr>
        <sz val="11"/>
        <color theme="1"/>
        <rFont val="Calibri"/>
        <family val="2"/>
        <charset val="1"/>
      </rPr>
      <t xml:space="preserve">cp_msft_abl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cp_msft_abl2</t>
    </r>
  </si>
  <si>
    <t xml:space="preserve">https://www.crusoe.ai/resources/newsroom/crusoe-announces-new-900-mw-ai-factory-campus-in-abilene-texas-to-support-microsoft-ai-infrastructure</t>
  </si>
  <si>
    <t xml:space="preserve">S#25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</si>
  <si>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Abilene Campus 2 (Microsoft)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｜在建</t>
    </r>
  </si>
  <si>
    <t xml:space="preserve">336 MW</t>
  </si>
  <si>
    <r>
      <rPr>
        <sz val="11"/>
        <color theme="1"/>
        <rFont val="Calibri"/>
        <family val="2"/>
        <charset val="1"/>
      </rPr>
      <t xml:space="preserve">336MW IT</t>
    </r>
    <r>
      <rPr>
        <sz val="11"/>
        <color theme="1"/>
        <rFont val="Noto Sans CJK SC"/>
        <family val="2"/>
      </rPr>
      <t xml:space="preserve">、首棟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年中通電、</t>
    </r>
    <r>
      <rPr>
        <sz val="11"/>
        <color theme="1"/>
        <rFont val="Calibri"/>
        <family val="2"/>
        <charset val="1"/>
      </rPr>
      <t xml:space="preserve">MV BESS</t>
    </r>
    <r>
      <rPr>
        <sz val="11"/>
        <color theme="1"/>
        <rFont val="Noto Sans CJK SC"/>
        <family val="2"/>
      </rPr>
      <t xml:space="preserve">皆屬實。但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填「記者推論」不符，原文是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確認的事實；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尚可。「未見延遲報導」原文未提及。</t>
    </r>
  </si>
  <si>
    <t xml:space="preserve">https://www.datacenterdynamics.com/en/news/crusoe-confirms-microsoft-as-customer-at-campus-in-abilene-texas/</t>
  </si>
  <si>
    <t xml:space="preserve">S#26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</si>
  <si>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Abilene Campus 2 (Microsoft)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2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</si>
  <si>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Noto Sans CJK SC"/>
        <family val="2"/>
      </rPr>
      <t xml:space="preserve">原文只給首棟通電時點，第二棟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為假設，列中已自承。</t>
    </r>
    <r>
      <rPr>
        <sz val="11"/>
        <color theme="1"/>
        <rFont val="Calibri"/>
        <family val="2"/>
        <charset val="1"/>
      </rPr>
      <t xml:space="preserve">336×2=672MW </t>
    </r>
    <r>
      <rPr>
        <sz val="11"/>
        <color theme="1"/>
        <rFont val="Noto Sans CJK SC"/>
        <family val="2"/>
      </rPr>
      <t xml:space="preserve">屬實（原文總租約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含電廠）。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填「記者推論」不當，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延至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原文無。</t>
    </r>
  </si>
  <si>
    <t xml:space="preserve">S#27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</si>
  <si>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Mesa AI Campus (Project Redhawk)</t>
    </r>
    <r>
      <rPr>
        <sz val="11"/>
        <color theme="1"/>
        <rFont val="Noto Sans CJK SC"/>
        <family val="2"/>
      </rPr>
      <t xml:space="preserve">｜全園區｜規劃</t>
    </r>
  </si>
  <si>
    <t xml:space="preserve">400 MW</t>
  </si>
  <si>
    <r>
      <rPr>
        <sz val="11"/>
        <color theme="1"/>
        <rFont val="Calibri"/>
        <family val="2"/>
        <charset val="1"/>
      </rPr>
      <t xml:space="preserve">400MW </t>
    </r>
    <r>
      <rPr>
        <sz val="11"/>
        <color theme="1"/>
        <rFont val="Noto Sans CJK SC"/>
        <family val="2"/>
      </rPr>
      <t xml:space="preserve">規劃、</t>
    </r>
    <r>
      <rPr>
        <sz val="11"/>
        <color theme="1"/>
        <rFont val="Calibri"/>
        <family val="2"/>
        <charset val="1"/>
      </rPr>
      <t xml:space="preserve">SRP </t>
    </r>
    <r>
      <rPr>
        <sz val="11"/>
        <color theme="1"/>
        <rFont val="Noto Sans CJK SC"/>
        <family val="2"/>
      </rPr>
      <t xml:space="preserve">風光供電、日期皆符。但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是公布年；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已於 </t>
    </r>
    <r>
      <rPr>
        <sz val="11"/>
        <color theme="1"/>
        <rFont val="Calibri"/>
        <family val="2"/>
        <charset val="1"/>
      </rPr>
      <t xml:space="preserve">2025-07 </t>
    </r>
    <r>
      <rPr>
        <sz val="11"/>
        <color theme="1"/>
        <rFont val="Noto Sans CJK SC"/>
        <family val="2"/>
      </rPr>
      <t xml:space="preserve">上線，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填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有誤。</t>
    </r>
  </si>
  <si>
    <t xml:space="preserve">https://www.compute-atlas.com/facilities/google-redhawk-mesa-az</t>
  </si>
  <si>
    <t xml:space="preserve">S#28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</si>
  <si>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Mesa AI Campus (Project Redhawk)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Redhawk 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）｜上線</t>
    </r>
  </si>
  <si>
    <t xml:space="preserve">183 MW</t>
  </si>
  <si>
    <r>
      <rPr>
        <sz val="11"/>
        <color theme="1"/>
        <rFont val="Calibri"/>
        <family val="2"/>
        <charset val="1"/>
      </rPr>
      <t xml:space="preserve">183MW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Building 1+2 </t>
    </r>
    <r>
      <rPr>
        <sz val="11"/>
        <color theme="1"/>
        <rFont val="Noto Sans CJK SC"/>
        <family val="2"/>
      </rPr>
      <t xml:space="preserve">的累計值（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上線），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90MW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110k H100e</t>
    </r>
    <r>
      <rPr>
        <sz val="11"/>
        <color theme="1"/>
        <rFont val="Noto Sans CJK SC"/>
        <family val="2"/>
      </rPr>
      <t xml:space="preserve">。原文無「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Noto Sans CJK SC"/>
        <family val="2"/>
      </rPr>
      <t xml:space="preserve">天前」，頁面更新日為 </t>
    </r>
    <r>
      <rPr>
        <sz val="11"/>
        <color theme="1"/>
        <rFont val="Calibri"/>
        <family val="2"/>
        <charset val="1"/>
      </rPr>
      <t xml:space="preserve">2026-09-03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無依據。「是否僅含第一期不明」其實原文已明示含兩棟。</t>
    </r>
  </si>
  <si>
    <t xml:space="preserve">S#29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</si>
  <si>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Mesa AI Campus (Project Redhawk)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Redhawk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Building 2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</si>
  <si>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Phase 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萬平方呎、在建、目標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，與原文相符。但原文把 </t>
    </r>
    <r>
      <rPr>
        <sz val="11"/>
        <color theme="1"/>
        <rFont val="Calibri"/>
        <family val="2"/>
        <charset val="1"/>
      </rPr>
      <t xml:space="preserve">400MW </t>
    </r>
    <r>
      <rPr>
        <sz val="11"/>
        <color theme="1"/>
        <rFont val="Noto Sans CJK SC"/>
        <family val="2"/>
      </rPr>
      <t xml:space="preserve">掛在 </t>
    </r>
    <r>
      <rPr>
        <sz val="11"/>
        <color theme="1"/>
        <rFont val="Calibri"/>
        <family val="2"/>
        <charset val="1"/>
      </rPr>
      <t xml:space="preserve">Phase 2 </t>
    </r>
    <r>
      <rPr>
        <sz val="11"/>
        <color theme="1"/>
        <rFont val="Noto Sans CJK SC"/>
        <family val="2"/>
      </rPr>
      <t xml:space="preserve">建置，與「那是整園區供電」不合。</t>
    </r>
    <r>
      <rPr>
        <sz val="11"/>
        <color theme="1"/>
        <rFont val="Calibri"/>
        <family val="2"/>
        <charset val="1"/>
      </rPr>
      <t xml:space="preserve">Cleanview 2026 </t>
    </r>
    <r>
      <rPr>
        <sz val="11"/>
        <color theme="1"/>
        <rFont val="Noto Sans CJK SC"/>
        <family val="2"/>
      </rPr>
      <t xml:space="preserve">在原文找不到。</t>
    </r>
  </si>
  <si>
    <t xml:space="preserve">S#30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</si>
  <si>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Mesa AI Campus (Project Redhawk)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Building 3</t>
    </r>
    <r>
      <rPr>
        <sz val="11"/>
        <color theme="1"/>
        <rFont val="Noto Sans CJK SC"/>
        <family val="2"/>
      </rPr>
      <t xml:space="preserve">）｜規劃</t>
    </r>
  </si>
  <si>
    <t xml:space="preserve">2026-03-10</t>
  </si>
  <si>
    <r>
      <rPr>
        <sz val="11"/>
        <color theme="1"/>
        <rFont val="Calibri"/>
        <family val="2"/>
        <charset val="1"/>
      </rPr>
      <t xml:space="preserve">2026-03-10 </t>
    </r>
    <r>
      <rPr>
        <sz val="11"/>
        <color theme="1"/>
        <rFont val="Noto Sans CJK SC"/>
        <family val="2"/>
      </rPr>
      <t xml:space="preserve">提交修訂文件、合併為兩棟屬實。但「三期原為約</t>
    </r>
    <r>
      <rPr>
        <sz val="11"/>
        <color theme="1"/>
        <rFont val="Calibri"/>
        <family val="2"/>
        <charset val="1"/>
      </rPr>
      <t xml:space="preserve">283.5KSF</t>
    </r>
    <r>
      <rPr>
        <sz val="11"/>
        <color theme="1"/>
        <rFont val="Noto Sans CJK SC"/>
        <family val="2"/>
      </rPr>
      <t xml:space="preserve">」原文找不到，原文只有 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288,530 sq ft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Phase 3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數字尚可接受。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對第三方來源亦偏。</t>
    </r>
  </si>
  <si>
    <t xml:space="preserve">https://dcpulse.com/project/google-red-hawk-mesa-arizona-ai-data-center</t>
  </si>
  <si>
    <t xml:space="preserve">S#31</t>
  </si>
  <si>
    <t xml:space="preserve">Amazon Web Services</t>
  </si>
  <si>
    <r>
      <rPr>
        <sz val="11"/>
        <color theme="1"/>
        <rFont val="Calibri"/>
        <family val="2"/>
        <charset val="1"/>
      </rPr>
      <t xml:space="preserve">Amazon Web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Rainier (New Carlisle)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</si>
  <si>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棟、逾</t>
    </r>
    <r>
      <rPr>
        <sz val="11"/>
        <color theme="1"/>
        <rFont val="Calibri"/>
        <family val="2"/>
        <charset val="1"/>
      </rPr>
      <t xml:space="preserve">2.2GW</t>
    </r>
    <r>
      <rPr>
        <sz val="11"/>
        <color theme="1"/>
        <rFont val="Noto Sans CJK SC"/>
        <family val="2"/>
      </rPr>
      <t xml:space="preserve">屬實，但文中未明確歸屬 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Measured AI 32</t>
    </r>
    <r>
      <rPr>
        <sz val="11"/>
        <color theme="1"/>
        <rFont val="Noto Sans CJK SC"/>
        <family val="2"/>
      </rPr>
      <t xml:space="preserve">棟</t>
    </r>
    <r>
      <rPr>
        <sz val="11"/>
        <color theme="1"/>
        <rFont val="Calibri"/>
        <family val="2"/>
        <charset val="1"/>
      </rPr>
      <t xml:space="preserve">/2.25GW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Epoch 1,925MW </t>
    </r>
    <r>
      <rPr>
        <sz val="11"/>
        <color theme="1"/>
        <rFont val="Noto Sans CJK SC"/>
        <family val="2"/>
      </rPr>
      <t xml:space="preserve">原文皆無。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月僅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棟上線，全園區非當月上線。</t>
    </r>
  </si>
  <si>
    <t xml:space="preserve">https://www.cnbc.com/2025/10/29/amazon-opens-11-billion-ai-data-center-project-rainier-in-indiana.html</t>
  </si>
  <si>
    <t xml:space="preserve">S#32</t>
  </si>
  <si>
    <r>
      <rPr>
        <sz val="11"/>
        <color theme="1"/>
        <rFont val="Calibri"/>
        <family val="2"/>
        <charset val="1"/>
      </rPr>
      <t xml:space="preserve">Amazon Web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Rainier (New Carlisle)</t>
    </r>
    <r>
      <rPr>
        <sz val="11"/>
        <color theme="1"/>
        <rFont val="Noto Sans CJK SC"/>
        <family val="2"/>
      </rPr>
      <t xml:space="preserve">｜已上線部分（約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棟）｜上線</t>
    </r>
  </si>
  <si>
    <r>
      <rPr>
        <sz val="11"/>
        <color theme="1"/>
        <rFont val="Calibri"/>
        <family val="2"/>
        <charset val="1"/>
      </rPr>
      <t xml:space="preserve">1,037MW IT</t>
    </r>
    <r>
      <rPr>
        <sz val="11"/>
        <color theme="1"/>
        <rFont val="Noto Sans CJK SC"/>
        <family val="2"/>
      </rPr>
      <t xml:space="preserve">功率屬實，但原文為整個站點當前估計，非「已上線約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棟」；頁面標示更新日為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為第三方估計，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稍偏。</t>
    </r>
  </si>
  <si>
    <t xml:space="preserve">https://epoch.ai/data/ai-data-centers</t>
  </si>
  <si>
    <t xml:space="preserve">S#33</t>
  </si>
  <si>
    <r>
      <rPr>
        <sz val="11"/>
        <color theme="1"/>
        <rFont val="Calibri"/>
        <family val="2"/>
        <charset val="1"/>
      </rPr>
      <t xml:space="preserve">Amazon Web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Rainier (New Carlisle)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South Campus Expansion SBN210</t>
    </r>
    <r>
      <rPr>
        <sz val="11"/>
        <color theme="1"/>
        <rFont val="Noto Sans CJK SC"/>
        <family val="2"/>
      </rPr>
      <t xml:space="preserve">（約</t>
    </r>
    <r>
      <rPr>
        <sz val="11"/>
        <color theme="1"/>
        <rFont val="Calibri"/>
        <family val="2"/>
        <charset val="1"/>
      </rPr>
      <t xml:space="preserve">Buildings 19–32</t>
    </r>
    <r>
      <rPr>
        <sz val="11"/>
        <color theme="1"/>
        <rFont val="Noto Sans CJK SC"/>
        <family val="2"/>
      </rPr>
      <t xml:space="preserve">）｜在建</t>
    </r>
  </si>
  <si>
    <t xml:space="preserve">775 MW</t>
  </si>
  <si>
    <t xml:space="preserve">https://measuredai.substack.com/p/aws-new-carlisle-data-center-campus</t>
  </si>
  <si>
    <t xml:space="preserve">S#34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</si>
  <si>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Ridgeland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Buildings 1-4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估計已運轉）｜上線</t>
    </r>
  </si>
  <si>
    <t xml:space="preserve">228 MW</t>
  </si>
  <si>
    <r>
      <rPr>
        <sz val="11"/>
        <color theme="1"/>
        <rFont val="Calibri"/>
        <family val="2"/>
        <charset val="1"/>
      </rPr>
      <t xml:space="preserve">228 MW IT </t>
    </r>
    <r>
      <rPr>
        <sz val="11"/>
        <color theme="1"/>
        <rFont val="Noto Sans CJK SC"/>
        <family val="2"/>
      </rPr>
      <t xml:space="preserve">屬實。但來源頁有日期（更新 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，衛星 </t>
    </r>
    <r>
      <rPr>
        <sz val="11"/>
        <color theme="1"/>
        <rFont val="Calibri"/>
        <family val="2"/>
        <charset val="1"/>
      </rPr>
      <t xml:space="preserve">2026-05-15</t>
    </r>
    <r>
      <rPr>
        <sz val="11"/>
        <color theme="1"/>
        <rFont val="Noto Sans CJK SC"/>
        <family val="2"/>
      </rPr>
      <t xml:space="preserve">），並非無日期。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稱早期施工之說原文找不到。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估計不宜標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</si>
  <si>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S#35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</si>
  <si>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Ridgeland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5</t>
    </r>
    <r>
      <rPr>
        <sz val="11"/>
        <color theme="1"/>
        <rFont val="Noto Sans CJK SC"/>
        <family val="2"/>
      </rPr>
      <t xml:space="preserve">（累計）｜在建</t>
    </r>
  </si>
  <si>
    <t xml:space="preserve">284 MW</t>
  </si>
  <si>
    <r>
      <rPr>
        <sz val="11"/>
        <color theme="1"/>
        <rFont val="Calibri"/>
        <family val="2"/>
        <charset val="1"/>
      </rPr>
      <t xml:space="preserve">284 MW IT </t>
    </r>
    <r>
      <rPr>
        <sz val="11"/>
        <color theme="1"/>
        <rFont val="Noto Sans CJK SC"/>
        <family val="2"/>
      </rPr>
      <t xml:space="preserve">為累計預測值，數字屬實。但 </t>
    </r>
    <r>
      <rPr>
        <sz val="11"/>
        <color theme="1"/>
        <rFont val="Calibri"/>
        <family val="2"/>
        <charset val="1"/>
      </rPr>
      <t xml:space="preserve">B5 </t>
    </r>
    <r>
      <rPr>
        <sz val="11"/>
        <color theme="1"/>
        <rFont val="Noto Sans CJK SC"/>
        <family val="2"/>
      </rPr>
      <t xml:space="preserve">預計運轉為 </t>
    </r>
    <r>
      <rPr>
        <sz val="11"/>
        <color theme="1"/>
        <rFont val="Calibri"/>
        <family val="2"/>
        <charset val="1"/>
      </rPr>
      <t xml:space="preserve">2027-02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也不對。另一聚合站之說原文找不到。</t>
    </r>
  </si>
  <si>
    <t xml:space="preserve">S#36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</si>
  <si>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Ridgeland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Buildings 6-14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預測，累計）｜規劃</t>
    </r>
  </si>
  <si>
    <t xml:space="preserve">840 MW</t>
  </si>
  <si>
    <r>
      <rPr>
        <sz val="11"/>
        <color theme="1"/>
        <rFont val="Calibri"/>
        <family val="2"/>
        <charset val="1"/>
      </rPr>
      <t xml:space="preserve">840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2.25 </t>
    </r>
    <r>
      <rPr>
        <sz val="11"/>
        <color theme="1"/>
        <rFont val="Noto Sans CJK SC"/>
        <family val="2"/>
      </rPr>
      <t xml:space="preserve">年均屬實。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不符原文日期。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預測應標 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，不宜標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</si>
  <si>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S#37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</si>
  <si>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Ridgeland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Madison County </t>
    </r>
    <r>
      <rPr>
        <sz val="11"/>
        <color theme="1"/>
        <rFont val="Noto Sans CJK SC"/>
        <family val="2"/>
      </rPr>
      <t xml:space="preserve">擴建（</t>
    </r>
    <r>
      <rPr>
        <sz val="11"/>
        <color theme="1"/>
        <rFont val="Calibri"/>
        <family val="2"/>
        <charset val="1"/>
      </rPr>
      <t xml:space="preserve">$11B</t>
    </r>
    <r>
      <rPr>
        <sz val="11"/>
        <color theme="1"/>
        <rFont val="Noto Sans CJK SC"/>
        <family val="2"/>
      </rPr>
      <t xml:space="preserve">，含 </t>
    </r>
    <r>
      <rPr>
        <sz val="11"/>
        <color theme="1"/>
        <rFont val="Calibri"/>
        <family val="2"/>
        <charset val="1"/>
      </rPr>
      <t xml:space="preserve">Ridgeland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</si>
  <si>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Madison County $11bn </t>
    </r>
    <r>
      <rPr>
        <sz val="11"/>
        <color theme="1"/>
        <rFont val="Noto Sans CJK SC"/>
        <family val="2"/>
      </rPr>
      <t xml:space="preserve">且未公布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。但原文未提 </t>
    </r>
    <r>
      <rPr>
        <sz val="11"/>
        <color theme="1"/>
        <rFont val="Calibri"/>
        <family val="2"/>
        <charset val="1"/>
      </rPr>
      <t xml:space="preserve">Ridgeland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完工或 </t>
    </r>
    <r>
      <rPr>
        <sz val="11"/>
        <color theme="1"/>
        <rFont val="Calibri"/>
        <family val="2"/>
        <charset val="1"/>
      </rPr>
      <t xml:space="preserve">2.2 GW</t>
    </r>
    <r>
      <rPr>
        <sz val="11"/>
        <color theme="1"/>
        <rFont val="Noto Sans CJK SC"/>
        <family val="2"/>
      </rPr>
      <t xml:space="preserve">，這些屬第三方說法。「加碼 </t>
    </r>
    <r>
      <rPr>
        <sz val="11"/>
        <color theme="1"/>
        <rFont val="Calibri"/>
        <family val="2"/>
        <charset val="1"/>
      </rPr>
      <t xml:space="preserve">$11B</t>
    </r>
    <r>
      <rPr>
        <sz val="11"/>
        <color theme="1"/>
        <rFont val="Noto Sans CJK SC"/>
        <family val="2"/>
      </rPr>
      <t xml:space="preserve">」不精確，</t>
    </r>
    <r>
      <rPr>
        <sz val="11"/>
        <color theme="1"/>
        <rFont val="Calibri"/>
        <family val="2"/>
        <charset val="1"/>
      </rPr>
      <t xml:space="preserve">$11B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Madison </t>
    </r>
    <r>
      <rPr>
        <sz val="11"/>
        <color theme="1"/>
        <rFont val="Noto Sans CJK SC"/>
        <family val="2"/>
      </rPr>
      <t xml:space="preserve">總額。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寫「公司本人」，實為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報導。</t>
    </r>
  </si>
  <si>
    <t xml:space="preserve">https://www.datacenterdynamics.com/en/news/aws-scales-up-investment-commitment-for-mississippi-data-centers-to-25bn/</t>
  </si>
  <si>
    <t xml:space="preserve">S#38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</si>
  <si>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</si>
  <si>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Madison Mega Site, Canton</t>
    </r>
    <r>
      <rPr>
        <sz val="11"/>
        <color theme="1"/>
        <rFont val="Noto Sans CJK SC"/>
        <family val="2"/>
      </rPr>
      <t xml:space="preserve">｜已上線（五棟營運中）｜上線</t>
    </r>
  </si>
  <si>
    <r>
      <rPr>
        <sz val="11"/>
        <color theme="1"/>
        <rFont val="Calibri"/>
        <family val="2"/>
        <charset val="1"/>
      </rPr>
      <t xml:space="preserve">284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214k H100e </t>
    </r>
    <r>
      <rPr>
        <sz val="11"/>
        <color theme="1"/>
        <rFont val="Noto Sans CJK SC"/>
        <family val="2"/>
      </rPr>
      <t xml:space="preserve">皆屬實。但這是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估計，應標 </t>
    </r>
    <r>
      <rPr>
        <sz val="11"/>
        <color theme="1"/>
        <rFont val="Calibri"/>
        <family val="2"/>
        <charset val="1"/>
      </rPr>
      <t xml:space="preserve">[Third-party estimate] </t>
    </r>
    <r>
      <rPr>
        <sz val="11"/>
        <color theme="1"/>
        <rFont val="Noto Sans CJK SC"/>
        <family val="2"/>
      </rPr>
      <t xml:space="preserve">而非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。另「頁面無日期」有誤，頁面標示 </t>
    </r>
    <r>
      <rPr>
        <sz val="11"/>
        <color theme="1"/>
        <rFont val="Calibri"/>
        <family val="2"/>
        <charset val="1"/>
      </rPr>
      <t xml:space="preserve">Updated Jul. 15, 2026</t>
    </r>
    <r>
      <rPr>
        <sz val="11"/>
        <color theme="1"/>
        <rFont val="Noto Sans CJK SC"/>
        <family val="2"/>
      </rPr>
      <t xml:space="preserve">。</t>
    </r>
  </si>
  <si>
    <t xml:space="preserve">S#39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</si>
  <si>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Madison Mega Site, Canton</t>
    </r>
    <r>
      <rPr>
        <sz val="11"/>
        <color theme="1"/>
        <rFont val="Noto Sans CJK SC"/>
        <family val="2"/>
      </rPr>
      <t xml:space="preserve">｜擴建（現有五棟之外至少再增同等規模）｜在建</t>
    </r>
  </si>
  <si>
    <t xml:space="preserve">https://mississippitoday.org/2026/06/09/amazon-data-centers-mississippi/</t>
  </si>
  <si>
    <t xml:space="preserve">S#40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</si>
  <si>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Madison Mega Site, Canton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預測滿載（至 </t>
    </r>
    <r>
      <rPr>
        <sz val="11"/>
        <color theme="1"/>
        <rFont val="Calibri"/>
        <family val="2"/>
        <charset val="1"/>
      </rPr>
      <t xml:space="preserve">2028 Q1</t>
    </r>
    <r>
      <rPr>
        <sz val="11"/>
        <color theme="1"/>
        <rFont val="Noto Sans CJK SC"/>
        <family val="2"/>
      </rPr>
      <t xml:space="preserve">）｜規劃</t>
    </r>
  </si>
  <si>
    <t xml:space="preserve">683 MW</t>
  </si>
  <si>
    <r>
      <rPr>
        <sz val="11"/>
        <color theme="1"/>
        <rFont val="Calibri"/>
        <family val="2"/>
        <charset val="1"/>
      </rPr>
      <t xml:space="preserve">683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514k H100e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Q1 </t>
    </r>
    <r>
      <rPr>
        <sz val="11"/>
        <color theme="1"/>
        <rFont val="Noto Sans CJK SC"/>
        <family val="2"/>
      </rPr>
      <t xml:space="preserve">皆屬實（時間線為 </t>
    </r>
    <r>
      <rPr>
        <sz val="11"/>
        <color theme="1"/>
        <rFont val="Calibri"/>
        <family val="2"/>
        <charset val="1"/>
      </rPr>
      <t xml:space="preserve">2028-03-15</t>
    </r>
    <r>
      <rPr>
        <sz val="11"/>
        <color theme="1"/>
        <rFont val="Noto Sans CJK SC"/>
        <family val="2"/>
      </rPr>
      <t xml:space="preserve">）。但屬模型預測，不應標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。「頁面無日期」亦有誤，頁面標示更新日期 </t>
    </r>
    <r>
      <rPr>
        <sz val="11"/>
        <color theme="1"/>
        <rFont val="Calibri"/>
        <family val="2"/>
        <charset val="1"/>
      </rPr>
      <t xml:space="preserve">Jul. 15, 2026</t>
    </r>
    <r>
      <rPr>
        <sz val="11"/>
        <color theme="1"/>
        <rFont val="Noto Sans CJK SC"/>
        <family val="2"/>
      </rPr>
      <t xml:space="preserve">。</t>
    </r>
  </si>
  <si>
    <t xml:space="preserve">S#41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</si>
  <si>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Madison Mega Site, Canton</t>
    </r>
    <r>
      <rPr>
        <sz val="11"/>
        <color theme="1"/>
        <rFont val="Noto Sans CJK SC"/>
        <family val="2"/>
      </rPr>
      <t xml:space="preserve">｜全園區｜規劃</t>
    </r>
  </si>
  <si>
    <t xml:space="preserve">2026-09-02</t>
  </si>
  <si>
    <r>
      <rPr>
        <sz val="11"/>
        <color theme="1"/>
        <rFont val="Noto Sans CJK SC"/>
        <family val="2"/>
      </rPr>
      <t xml:space="preserve">原文刊於</t>
    </r>
    <r>
      <rPr>
        <sz val="11"/>
        <color theme="1"/>
        <rFont val="Calibri"/>
        <family val="2"/>
        <charset val="1"/>
      </rPr>
      <t xml:space="preserve">2025-07-30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，也無「</t>
    </r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Noto Sans CJK SC"/>
        <family val="2"/>
      </rPr>
      <t xml:space="preserve">天前」。原文僅說州備妥約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園區條件，未提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，也未說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完工；</t>
    </r>
    <r>
      <rPr>
        <sz val="11"/>
        <color theme="1"/>
        <rFont val="Calibri"/>
        <family val="2"/>
        <charset val="1"/>
      </rPr>
      <t xml:space="preserve">Person</t>
    </r>
    <r>
      <rPr>
        <sz val="11"/>
        <color theme="1"/>
        <rFont val="Noto Sans CJK SC"/>
        <family val="2"/>
      </rPr>
      <t xml:space="preserve">稱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年底前部分啟用。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為記者敘述，非州政府說法。</t>
    </r>
  </si>
  <si>
    <t xml:space="preserve">https://siteselection.com/cover-story-data-center-boom-comes-to-mississippi/</t>
  </si>
  <si>
    <t xml:space="preserve">S#42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</si>
  <si>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</si>
  <si>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Black Pearl</t>
    </r>
    <r>
      <rPr>
        <sz val="11"/>
        <color theme="1"/>
        <rFont val="Noto Sans CJK SC"/>
        <family val="2"/>
      </rPr>
      <t xml:space="preserve">｜全園區｜在建</t>
    </r>
  </si>
  <si>
    <t xml:space="preserve">https://www.sec.gov/Archives/edgar/data/0001819989/000181998926000028/cifr-20260331.htm</t>
  </si>
  <si>
    <t xml:space="preserve">S#43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</si>
  <si>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Black Pearl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｜上線</t>
    </r>
  </si>
  <si>
    <t xml:space="preserve">https://www.sec.gov/Archives/edgar/data/0001819989/000181998926000038/q226_earningsxprxdraftxvf.htm</t>
  </si>
  <si>
    <t xml:space="preserve">S#44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</si>
  <si>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Black Pearl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II</t>
    </r>
    <r>
      <rPr>
        <sz val="11"/>
        <color theme="1"/>
        <rFont val="Noto Sans CJK SC"/>
        <family val="2"/>
      </rPr>
      <t xml:space="preserve">｜在建</t>
    </r>
  </si>
  <si>
    <t xml:space="preserve">S#45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</si>
  <si>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Prometheus (New Albany)</t>
    </r>
    <r>
      <rPr>
        <sz val="11"/>
        <color theme="1"/>
        <rFont val="Noto Sans CJK SC"/>
        <family val="2"/>
      </rPr>
      <t xml:space="preserve">｜全園區｜在建</t>
    </r>
  </si>
  <si>
    <t xml:space="preserve">2026-01-09</t>
  </si>
  <si>
    <r>
      <rPr>
        <sz val="11"/>
        <color theme="1"/>
        <rFont val="Noto Sans CJK SC"/>
        <family val="2"/>
      </rPr>
      <t xml:space="preserve">原文為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叢集、跨多棟建築，預計今年（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）上線，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公告，日期 </t>
    </r>
    <r>
      <rPr>
        <sz val="11"/>
        <color theme="1"/>
        <rFont val="Calibri"/>
        <family val="2"/>
        <charset val="1"/>
      </rPr>
      <t xml:space="preserve">2026-01-09 </t>
    </r>
    <r>
      <rPr>
        <sz val="11"/>
        <color theme="1"/>
        <rFont val="Noto Sans CJK SC"/>
        <family val="2"/>
      </rPr>
      <t xml:space="preserve">相符。</t>
    </r>
    <r>
      <rPr>
        <sz val="11"/>
        <color theme="1"/>
        <rFont val="Calibri"/>
        <family val="2"/>
        <charset val="1"/>
      </rPr>
      <t xml:space="preserve">1 GW=1000 MW </t>
    </r>
    <r>
      <rPr>
        <sz val="11"/>
        <color theme="1"/>
        <rFont val="Noto Sans CJK SC"/>
        <family val="2"/>
      </rPr>
      <t xml:space="preserve">換算正確，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為利害關係人合理。「在建」原文為 </t>
    </r>
    <r>
      <rPr>
        <sz val="11"/>
        <color theme="1"/>
        <rFont val="Calibri"/>
        <family val="2"/>
        <charset val="1"/>
      </rPr>
      <t xml:space="preserve">being built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EdgeConneX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EQT </t>
    </r>
    <r>
      <rPr>
        <sz val="11"/>
        <color theme="1"/>
        <rFont val="Noto Sans CJK SC"/>
        <family val="2"/>
      </rPr>
      <t xml:space="preserve">部分不在本來源，屬其他來源補充。</t>
    </r>
  </si>
  <si>
    <t xml:space="preserve">https://www.cbsnews.com/news/meta-nuclear-power-deals-ai-data-centers/</t>
  </si>
  <si>
    <t xml:space="preserve">S#46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</si>
  <si>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Prometheus (New Albany)</t>
    </r>
    <r>
      <rPr>
        <sz val="11"/>
        <color theme="1"/>
        <rFont val="Noto Sans CJK SC"/>
        <family val="2"/>
      </rPr>
      <t xml:space="preserve">｜目前已運轉（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估計，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棟）｜上線</t>
    </r>
  </si>
  <si>
    <t xml:space="preserve">562 MW</t>
  </si>
  <si>
    <r>
      <rPr>
        <sz val="11"/>
        <color theme="1"/>
        <rFont val="Calibri"/>
        <family val="2"/>
        <charset val="1"/>
      </rPr>
      <t xml:space="preserve">562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口徑與 </t>
    </r>
    <r>
      <rPr>
        <sz val="11"/>
        <color theme="1"/>
        <rFont val="Calibri"/>
        <family val="2"/>
        <charset val="1"/>
      </rPr>
      <t xml:space="preserve">2026-09-02 </t>
    </r>
    <r>
      <rPr>
        <sz val="11"/>
        <color theme="1"/>
        <rFont val="Noto Sans CJK SC"/>
        <family val="2"/>
      </rPr>
      <t xml:space="preserve">時點屬實。但此頁未載首棟 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運轉與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棟，應是別處來源；未涉及 </t>
    </r>
    <r>
      <rPr>
        <sz val="11"/>
        <color theme="1"/>
        <rFont val="Calibri"/>
        <family val="2"/>
        <charset val="1"/>
      </rPr>
      <t xml:space="preserve">471 MW</t>
    </r>
    <r>
      <rPr>
        <sz val="11"/>
        <color theme="1"/>
        <rFont val="Noto Sans CJK SC"/>
        <family val="2"/>
      </rPr>
      <t xml:space="preserve">。</t>
    </r>
  </si>
  <si>
    <t xml:space="preserve">https://brightlio.com/largest-ai-data-centers-in-the-world/</t>
  </si>
  <si>
    <t xml:space="preserve">S#47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</si>
  <si>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Prometheus (New Albany)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累計｜在建</t>
    </r>
  </si>
  <si>
    <t xml:space="preserve">854 MW</t>
  </si>
  <si>
    <t xml:space="preserve">2026-09-23</t>
  </si>
  <si>
    <r>
      <rPr>
        <sz val="11"/>
        <color theme="1"/>
        <rFont val="Calibri"/>
        <family val="2"/>
        <charset val="1"/>
      </rPr>
      <t xml:space="preserve">854 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的預測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容量，不是「在建」量；目前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562 MW</t>
    </r>
    <r>
      <rPr>
        <sz val="11"/>
        <color theme="1"/>
        <rFont val="Noto Sans CJK SC"/>
        <family val="2"/>
      </rPr>
      <t xml:space="preserve">。預測值標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偏高。「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時點未公開」也忽略了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所稱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年上線。</t>
    </r>
  </si>
  <si>
    <t xml:space="preserve">https://datacentercensus.com/dc/meta-prometheus-new-albany-oh</t>
  </si>
  <si>
    <t xml:space="preserve">S#48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</si>
  <si>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（建設與物業管理）／</t>
    </r>
    <r>
      <rPr>
        <sz val="11"/>
        <color theme="1"/>
        <rFont val="Calibri"/>
        <family val="2"/>
        <charset val="1"/>
      </rPr>
      <t xml:space="preserve">Meta–Blue Owl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</si>
  <si>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（建設與物業管理）／</t>
    </r>
    <r>
      <rPr>
        <sz val="11"/>
        <color theme="1"/>
        <rFont val="Calibri"/>
        <family val="2"/>
        <charset val="1"/>
      </rPr>
      <t xml:space="preserve">Meta–Blue Owl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Meta Hyperion, Richland Parish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</si>
  <si>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、逾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億美元、發言人稱約</t>
    </r>
    <r>
      <rPr>
        <sz val="11"/>
        <color theme="1"/>
        <rFont val="Calibri"/>
        <family val="2"/>
        <charset val="1"/>
      </rPr>
      <t xml:space="preserve">2032</t>
    </r>
    <r>
      <rPr>
        <sz val="11"/>
        <color theme="1"/>
        <rFont val="Noto Sans CJK SC"/>
        <family val="2"/>
      </rPr>
      <t xml:space="preserve">年完成，皆與原文一致。</t>
    </r>
    <r>
      <rPr>
        <sz val="11"/>
        <color theme="1"/>
        <rFont val="Calibri"/>
        <family val="2"/>
        <charset val="1"/>
      </rPr>
      <t xml:space="preserve">Blue Owl 80/20 </t>
    </r>
    <r>
      <rPr>
        <sz val="11"/>
        <color theme="1"/>
        <rFont val="Noto Sans CJK SC"/>
        <family val="2"/>
      </rPr>
      <t xml:space="preserve">持股比例不在此文，但不影響數值。</t>
    </r>
  </si>
  <si>
    <t xml:space="preserve">https://www.cnbc.com/2026/07/13/meta-louisiana-data-center-investment-reaches-50-billion-amid-ai-push.html</t>
  </si>
  <si>
    <t xml:space="preserve">S#49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</si>
  <si>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（建設與物業管理）／</t>
    </r>
    <r>
      <rPr>
        <sz val="11"/>
        <color theme="1"/>
        <rFont val="Calibri"/>
        <family val="2"/>
        <charset val="1"/>
      </rPr>
      <t xml:space="preserve">Meta–Blue Owl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Meta Hyperion, Richland Parish</t>
    </r>
    <r>
      <rPr>
        <sz val="11"/>
        <color theme="1"/>
        <rFont val="Noto Sans CJK SC"/>
        <family val="2"/>
      </rPr>
      <t xml:space="preserve">｜第一階段（原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規劃）｜在建</t>
    </r>
  </si>
  <si>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年屬實。但「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官網寫逾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」不在本文，文中只說原規劃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。不影響數值。</t>
    </r>
  </si>
  <si>
    <t xml:space="preserve">S#50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</si>
  <si>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（建設與物業管理）／</t>
    </r>
    <r>
      <rPr>
        <sz val="11"/>
        <color theme="1"/>
        <rFont val="Calibri"/>
        <family val="2"/>
        <charset val="1"/>
      </rPr>
      <t xml:space="preserve">Meta–Blue Owl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Meta Hyperion, Richland Parish</t>
    </r>
    <r>
      <rPr>
        <sz val="11"/>
        <color theme="1"/>
        <rFont val="Noto Sans CJK SC"/>
        <family val="2"/>
      </rPr>
      <t xml:space="preserve">｜擴建（</t>
    </r>
    <r>
      <rPr>
        <sz val="11"/>
        <color theme="1"/>
        <rFont val="Calibri"/>
        <family val="2"/>
        <charset val="1"/>
      </rPr>
      <t xml:space="preserve">2GW </t>
    </r>
    <r>
      <rPr>
        <sz val="11"/>
        <color theme="1"/>
        <rFont val="Noto Sans CJK SC"/>
        <family val="2"/>
      </rPr>
      <t xml:space="preserve">之後增量）｜規劃</t>
    </r>
  </si>
  <si>
    <t xml:space="preserve">3000 MW</t>
  </si>
  <si>
    <r>
      <rPr>
        <sz val="11"/>
        <color theme="1"/>
        <rFont val="Noto Sans CJK SC"/>
        <family val="2"/>
      </rPr>
      <t xml:space="preserve">推算用的 </t>
    </r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皆在原文，</t>
    </r>
    <r>
      <rPr>
        <sz val="11"/>
        <color theme="1"/>
        <rFont val="Calibri"/>
        <family val="2"/>
        <charset val="1"/>
      </rPr>
      <t xml:space="preserve">5000−2000=3000 </t>
    </r>
    <r>
      <rPr>
        <sz val="11"/>
        <color theme="1"/>
        <rFont val="Noto Sans CJK SC"/>
        <family val="2"/>
      </rPr>
      <t xml:space="preserve">成立。</t>
    </r>
    <r>
      <rPr>
        <sz val="11"/>
        <color theme="1"/>
        <rFont val="Calibri"/>
        <family val="2"/>
        <charset val="1"/>
      </rPr>
      <t xml:space="preserve">1,400 </t>
    </r>
    <r>
      <rPr>
        <sz val="11"/>
        <color theme="1"/>
        <rFont val="Noto Sans CJK SC"/>
        <family val="2"/>
      </rPr>
      <t xml:space="preserve">英畝與 </t>
    </r>
    <r>
      <rPr>
        <sz val="11"/>
        <color theme="1"/>
        <rFont val="Calibri"/>
        <family val="2"/>
        <charset val="1"/>
      </rPr>
      <t xml:space="preserve">Entergy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LPSC </t>
    </r>
    <r>
      <rPr>
        <sz val="11"/>
        <color theme="1"/>
        <rFont val="Noto Sans CJK SC"/>
        <family val="2"/>
      </rPr>
      <t xml:space="preserve">不在本文，但非推算所需。</t>
    </r>
  </si>
  <si>
    <t xml:space="preserve">S#51</t>
  </si>
  <si>
    <r>
      <rPr>
        <sz val="11"/>
        <color theme="1"/>
        <rFont val="Calibri"/>
        <family val="2"/>
        <charset val="1"/>
      </rPr>
      <t xml:space="preserve">Meta–BlackRock </t>
    </r>
    <r>
      <rPr>
        <sz val="11"/>
        <color theme="1"/>
        <rFont val="Noto Sans CJK SC"/>
        <family val="2"/>
      </rPr>
      <t xml:space="preserve">合資（</t>
    </r>
    <r>
      <rPr>
        <sz val="11"/>
        <color theme="1"/>
        <rFont val="Calibri"/>
        <family val="2"/>
        <charset val="1"/>
      </rPr>
      <t xml:space="preserve">BlackRock </t>
    </r>
    <r>
      <rPr>
        <sz val="11"/>
        <color theme="1"/>
        <rFont val="Noto Sans CJK SC"/>
        <family val="2"/>
      </rPr>
      <t xml:space="preserve">基金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負責工程與物業管理）</t>
    </r>
  </si>
  <si>
    <r>
      <rPr>
        <sz val="11"/>
        <color theme="1"/>
        <rFont val="Calibri"/>
        <family val="2"/>
        <charset val="1"/>
      </rPr>
      <t xml:space="preserve">Meta–BlackRock </t>
    </r>
    <r>
      <rPr>
        <sz val="11"/>
        <color theme="1"/>
        <rFont val="Noto Sans CJK SC"/>
        <family val="2"/>
      </rPr>
      <t xml:space="preserve">合資（</t>
    </r>
    <r>
      <rPr>
        <sz val="11"/>
        <color theme="1"/>
        <rFont val="Calibri"/>
        <family val="2"/>
        <charset val="1"/>
      </rPr>
      <t xml:space="preserve">BlackRock </t>
    </r>
    <r>
      <rPr>
        <sz val="11"/>
        <color theme="1"/>
        <rFont val="Noto Sans CJK SC"/>
        <family val="2"/>
      </rPr>
      <t xml:space="preserve">基金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負責工程與物業管理）｜</t>
    </r>
    <r>
      <rPr>
        <sz val="11"/>
        <color theme="1"/>
        <rFont val="Calibri"/>
        <family val="2"/>
        <charset val="1"/>
      </rPr>
      <t xml:space="preserve">Meta El Paso Data Center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</si>
  <si>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、在建、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80/20</t>
    </r>
    <r>
      <rPr>
        <sz val="11"/>
        <color theme="1"/>
        <rFont val="Noto Sans CJK SC"/>
        <family val="2"/>
      </rPr>
      <t xml:space="preserve">、日期皆屬實，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合理。但「租金</t>
    </r>
    <r>
      <rPr>
        <sz val="11"/>
        <color theme="1"/>
        <rFont val="Calibri"/>
        <family val="2"/>
        <charset val="1"/>
      </rPr>
      <t xml:space="preserve">2028-12</t>
    </r>
    <r>
      <rPr>
        <sz val="11"/>
        <color theme="1"/>
        <rFont val="Noto Sans CJK SC"/>
        <family val="2"/>
      </rPr>
      <t xml:space="preserve">起算」與</t>
    </r>
    <r>
      <rPr>
        <sz val="11"/>
        <color theme="1"/>
        <rFont val="Calibri"/>
        <family val="2"/>
        <charset val="1"/>
      </rPr>
      <t xml:space="preserve">Substack 960MW</t>
    </r>
    <r>
      <rPr>
        <sz val="11"/>
        <color theme="1"/>
        <rFont val="Noto Sans CJK SC"/>
        <family val="2"/>
      </rPr>
      <t xml:space="preserve">不在本文，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「公司本人」非標題。</t>
    </r>
  </si>
  <si>
    <t xml:space="preserve">https://investor.atmeta.com/investor-news/press-release-details/2026/Meta-Announces-New-Strategic-Venture-with-BlackRock-to-Develop-Data-Center-in-El-Paso/default.aspx</t>
  </si>
  <si>
    <t xml:space="preserve">S#52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</si>
  <si>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Crusoe–Lancium Childress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</si>
  <si>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1.0GW </t>
    </r>
    <r>
      <rPr>
        <sz val="11"/>
        <color theme="1"/>
        <rFont val="Noto Sans CJK SC"/>
        <family val="2"/>
      </rPr>
      <t xml:space="preserve">併網容量、</t>
    </r>
    <r>
      <rPr>
        <sz val="11"/>
        <color theme="1"/>
        <rFont val="Calibri"/>
        <family val="2"/>
        <charset val="1"/>
      </rPr>
      <t xml:space="preserve">2026-07-15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動工皆與原文一致，客戶僅稱「領先超大規模業者」故「未揭露」成立，公司自述標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</t>
    </r>
    <r>
      <rPr>
        <sz val="11"/>
        <color theme="1"/>
        <rFont val="Calibri"/>
        <family val="2"/>
        <charset val="1"/>
      </rPr>
      <t xml:space="preserve">DCD 1.4GW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的說法不在本來源，無法由此核對。</t>
    </r>
  </si>
  <si>
    <t xml:space="preserve">https://www.crusoe.ai/resources/newsroom/crusoe-and-lancium-announce-1-gigawatt-ai-data-center-campus-in-childress-texas</t>
  </si>
  <si>
    <t xml:space="preserve">S#53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</si>
  <si>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Crusoe–Lancium Childress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Hyper </t>
    </r>
    <r>
      <rPr>
        <sz val="11"/>
        <color theme="1"/>
        <rFont val="Noto Sans CJK SC"/>
        <family val="2"/>
      </rPr>
      <t xml:space="preserve">建物</t>
    </r>
    <r>
      <rPr>
        <sz val="11"/>
        <color theme="1"/>
        <rFont val="Calibri"/>
        <family val="2"/>
        <charset val="1"/>
      </rPr>
      <t xml:space="preserve">1–2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Childress DC1/DC2</t>
    </r>
    <r>
      <rPr>
        <sz val="11"/>
        <color theme="1"/>
        <rFont val="Noto Sans CJK SC"/>
        <family val="2"/>
      </rPr>
      <t xml:space="preserve">）｜在建</t>
    </r>
  </si>
  <si>
    <t xml:space="preserve">2026-10-02</t>
  </si>
  <si>
    <r>
      <rPr>
        <sz val="11"/>
        <color theme="1"/>
        <rFont val="Noto Sans CJK SC"/>
        <family val="2"/>
      </rPr>
      <t xml:space="preserve">每棟</t>
    </r>
    <r>
      <rPr>
        <sz val="11"/>
        <color theme="1"/>
        <rFont val="Calibri"/>
        <family val="2"/>
        <charset val="1"/>
      </rPr>
      <t xml:space="preserve">806,360</t>
    </r>
    <r>
      <rPr>
        <sz val="11"/>
        <color theme="1"/>
        <rFont val="Noto Sans CJK SC"/>
        <family val="2"/>
      </rPr>
      <t xml:space="preserve">平方呎、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上半年完工、兩棟已動工、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僅為先前報導，皆與原文一致；原文未列申報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Project Hyper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Lancium</t>
    </r>
    <r>
      <rPr>
        <sz val="11"/>
        <color theme="1"/>
        <rFont val="Noto Sans CJK SC"/>
        <family val="2"/>
      </rPr>
      <t xml:space="preserve">園區的對應為推論。</t>
    </r>
  </si>
  <si>
    <t xml:space="preserve">https://www.datacenterdynamics.com/en/news/crusoe-files-for-48bn-data-center-campus-in-jayton-texas/</t>
  </si>
  <si>
    <t xml:space="preserve">S#54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</si>
  <si>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Crusoe–Lancium Childress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Hyper </t>
    </r>
    <r>
      <rPr>
        <sz val="11"/>
        <color theme="1"/>
        <rFont val="Noto Sans CJK SC"/>
        <family val="2"/>
      </rPr>
      <t xml:space="preserve">建物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Childress DC3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</si>
  <si>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原文只有</t>
    </r>
    <r>
      <rPr>
        <sz val="11"/>
        <color theme="1"/>
        <rFont val="Calibri"/>
        <family val="2"/>
        <charset val="1"/>
      </rPr>
      <t xml:space="preserve">806,359</t>
    </r>
    <r>
      <rPr>
        <sz val="11"/>
        <color theme="1"/>
        <rFont val="Noto Sans CJK SC"/>
        <family val="2"/>
      </rPr>
      <t xml:space="preserve">平方呎、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億美元，沒有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數字，也沒提</t>
    </r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Lancium</t>
    </r>
    <r>
      <rPr>
        <sz val="11"/>
        <color theme="1"/>
        <rFont val="Noto Sans CJK SC"/>
        <family val="2"/>
      </rPr>
      <t xml:space="preserve">或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報導。僅完工日</t>
    </r>
    <r>
      <rPr>
        <sz val="11"/>
        <color theme="1"/>
        <rFont val="Calibri"/>
        <family val="2"/>
        <charset val="1"/>
      </rPr>
      <t xml:space="preserve">2028-05-31</t>
    </r>
    <r>
      <rPr>
        <sz val="11"/>
        <color theme="1"/>
        <rFont val="Noto Sans CJK SC"/>
        <family val="2"/>
      </rPr>
      <t xml:space="preserve">與原文相符，另該頁同時寫在建與預建階段。</t>
    </r>
  </si>
  <si>
    <t xml:space="preserve">https://www.zabalist.com/projects/TABS2027000835</t>
  </si>
  <si>
    <t xml:space="preserve">S#55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</si>
  <si>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Crusoe–Lancium Childress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容量合約（</t>
    </r>
    <r>
      <rPr>
        <sz val="11"/>
        <color theme="1"/>
        <rFont val="Calibri"/>
        <family val="2"/>
        <charset val="1"/>
      </rPr>
      <t xml:space="preserve">Childress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Warrenton </t>
    </r>
    <r>
      <rPr>
        <sz val="11"/>
        <color theme="1"/>
        <rFont val="Noto Sans CJK SC"/>
        <family val="2"/>
      </rPr>
      <t xml:space="preserve">合計）｜簽約</t>
    </r>
  </si>
  <si>
    <r>
      <rPr>
        <sz val="11"/>
        <color theme="1"/>
        <rFont val="Calibri"/>
        <family val="2"/>
        <charset val="1"/>
      </rPr>
      <t xml:space="preserve">1.6GW</t>
    </r>
    <r>
      <rPr>
        <sz val="11"/>
        <color theme="1"/>
        <rFont val="Noto Sans CJK SC"/>
        <family val="2"/>
      </rPr>
      <t xml:space="preserve">、兩園區合計、金額未揭露皆屬實。但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刊登日為 </t>
    </r>
    <r>
      <rPr>
        <sz val="11"/>
        <color theme="1"/>
        <rFont val="Calibri"/>
        <family val="2"/>
        <charset val="1"/>
      </rPr>
      <t xml:space="preserve">6/19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6/18</t>
    </r>
    <r>
      <rPr>
        <sz val="11"/>
        <color theme="1"/>
        <rFont val="Noto Sans CJK SC"/>
        <family val="2"/>
      </rPr>
      <t xml:space="preserve">。原文只寫「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報導」，未提匿名知情人士。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也偏差。</t>
    </r>
  </si>
  <si>
    <t xml:space="preserve">https://www.datacenterdynamics.com/en/news/meta-signs-16gw-capacity-agreement-with-crusoe-report/</t>
  </si>
  <si>
    <t xml:space="preserve">S#56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</si>
  <si>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（開發商／營運）</t>
    </r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</si>
  <si>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（開發商／營運）｜</t>
    </r>
    <r>
      <rPr>
        <sz val="11"/>
        <color theme="1"/>
        <rFont val="Calibri"/>
        <family val="2"/>
        <charset val="1"/>
      </rPr>
      <t xml:space="preserve">Stargate Frontier (Vantage Frontier Campus)</t>
    </r>
    <r>
      <rPr>
        <sz val="11"/>
        <color theme="1"/>
        <rFont val="Noto Sans CJK SC"/>
        <family val="2"/>
      </rPr>
      <t xml:space="preserve">｜全園區｜在建</t>
    </r>
  </si>
  <si>
    <t xml:space="preserve">2025-08-19</t>
  </si>
  <si>
    <r>
      <rPr>
        <sz val="11"/>
        <color theme="1"/>
        <rFont val="Calibri"/>
        <family val="2"/>
        <charset val="1"/>
      </rPr>
      <t xml:space="preserve">1.4GW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370</t>
    </r>
    <r>
      <rPr>
        <sz val="11"/>
        <color theme="1"/>
        <rFont val="Noto Sans CJK SC"/>
        <family val="2"/>
      </rPr>
      <t xml:space="preserve">萬平方呎、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下半年首棟、</t>
    </r>
    <r>
      <rPr>
        <sz val="11"/>
        <color theme="1"/>
        <rFont val="Calibri"/>
        <family val="2"/>
        <charset val="1"/>
      </rPr>
      <t xml:space="preserve">8/19 </t>
    </r>
    <r>
      <rPr>
        <sz val="11"/>
        <color theme="1"/>
        <rFont val="Noto Sans CJK SC"/>
        <family val="2"/>
      </rPr>
      <t xml:space="preserve">均屬實。但原文稱「</t>
    </r>
    <r>
      <rPr>
        <sz val="11"/>
        <color theme="1"/>
        <rFont val="Calibri"/>
        <family val="2"/>
        <charset val="1"/>
      </rPr>
      <t xml:space="preserve">GPU compute capacity</t>
    </r>
    <r>
      <rPr>
        <sz val="11"/>
        <color theme="1"/>
        <rFont val="Noto Sans CJK SC"/>
        <family val="2"/>
      </rPr>
      <t xml:space="preserve">」，並非全無口徑暗示；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及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原文未提；</t>
    </r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是規劃總量。</t>
    </r>
  </si>
  <si>
    <t xml:space="preserve">https://vantage-dc.com/news/vantage-data-centers-unveils-plans-for-frontier-a-25b-mega-campus-in-texas-to-meet-unprecedented-ai-demand/</t>
  </si>
  <si>
    <t xml:space="preserve">S#57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</si>
  <si>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（承租）</t>
    </r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</si>
  <si>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（承租）｜</t>
    </r>
    <r>
      <rPr>
        <sz val="11"/>
        <color theme="1"/>
        <rFont val="Calibri"/>
        <family val="2"/>
        <charset val="1"/>
      </rPr>
      <t xml:space="preserve">Stargate Frontier (Vantage Frontier Campus)</t>
    </r>
    <r>
      <rPr>
        <sz val="11"/>
        <color theme="1"/>
        <rFont val="Noto Sans CJK SC"/>
        <family val="2"/>
      </rPr>
      <t xml:space="preserve">｜首棟（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）｜在建</t>
    </r>
  </si>
  <si>
    <t xml:space="preserve">2026-10-18</t>
  </si>
  <si>
    <r>
      <rPr>
        <sz val="11"/>
        <color theme="1"/>
        <rFont val="Noto Sans CJK SC"/>
        <family val="2"/>
      </rPr>
      <t xml:space="preserve">無法取得（內容過短，可能需 </t>
    </r>
    <r>
      <rPr>
        <sz val="11"/>
        <color theme="1"/>
        <rFont val="Calibri"/>
        <family val="2"/>
        <charset val="1"/>
      </rPr>
      <t xml:space="preserve">JavaScript </t>
    </r>
    <r>
      <rPr>
        <sz val="11"/>
        <color theme="1"/>
        <rFont val="Noto Sans CJK SC"/>
        <family val="2"/>
      </rPr>
      <t xml:space="preserve">或登入）</t>
    </r>
  </si>
  <si>
    <t xml:space="preserve">https://stargate.how/</t>
  </si>
  <si>
    <t xml:space="preserve">S#58</t>
  </si>
  <si>
    <r>
      <rPr>
        <sz val="11"/>
        <color theme="1"/>
        <rFont val="Calibri"/>
        <family val="2"/>
        <charset val="1"/>
      </rPr>
      <t xml:space="preserve">VoltaGrid</t>
    </r>
    <r>
      <rPr>
        <sz val="11"/>
        <color theme="1"/>
        <rFont val="Noto Sans CJK SC"/>
        <family val="2"/>
      </rPr>
      <t xml:space="preserve">（發電）／</t>
    </r>
    <r>
      <rPr>
        <sz val="11"/>
        <color theme="1"/>
        <rFont val="Calibri"/>
        <family val="2"/>
        <charset val="1"/>
      </rPr>
      <t xml:space="preserve">Vantage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</t>
    </r>
  </si>
  <si>
    <r>
      <rPr>
        <sz val="11"/>
        <color theme="1"/>
        <rFont val="Calibri"/>
        <family val="2"/>
        <charset val="1"/>
      </rPr>
      <t xml:space="preserve">VoltaGrid</t>
    </r>
    <r>
      <rPr>
        <sz val="11"/>
        <color theme="1"/>
        <rFont val="Noto Sans CJK SC"/>
        <family val="2"/>
      </rPr>
      <t xml:space="preserve">（發電）／</t>
    </r>
    <r>
      <rPr>
        <sz val="11"/>
        <color theme="1"/>
        <rFont val="Calibri"/>
        <family val="2"/>
        <charset val="1"/>
      </rPr>
      <t xml:space="preserve">Vantage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Frontier (Vantage Frontier Campus)</t>
    </r>
    <r>
      <rPr>
        <sz val="11"/>
        <color theme="1"/>
        <rFont val="Noto Sans CJK SC"/>
        <family val="2"/>
      </rPr>
      <t xml:space="preserve">｜現場燃氣發電（供電，非資料中心容量）｜簽約</t>
    </r>
  </si>
  <si>
    <t xml:space="preserve">2026-06-06</t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</si>
  <si>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405</t>
    </r>
    <r>
      <rPr>
        <sz val="11"/>
        <color theme="1"/>
        <rFont val="Noto Sans CJK SC"/>
        <family val="2"/>
      </rPr>
      <t xml:space="preserve">）</t>
    </r>
  </si>
  <si>
    <t xml:space="preserve">https://naturalgasintel.com/news/no-turbine-data-centers-find-faster-path-with-natural-gas-reciprocating-engines/</t>
  </si>
  <si>
    <t xml:space="preserve">S#59</t>
  </si>
  <si>
    <r>
      <rPr>
        <sz val="11"/>
        <color theme="1"/>
        <rFont val="Calibri"/>
        <family val="2"/>
        <charset val="1"/>
      </rPr>
      <t xml:space="preserve">STACK Infrastructure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BorderPlex Digital Assets</t>
    </r>
    <r>
      <rPr>
        <sz val="11"/>
        <color theme="1"/>
        <rFont val="Noto Sans CJK SC"/>
        <family val="2"/>
      </rPr>
      <t xml:space="preserve">（開發商）；</t>
    </r>
    <r>
      <rPr>
        <sz val="11"/>
        <color theme="1"/>
        <rFont val="Calibri"/>
        <family val="2"/>
        <charset val="1"/>
      </rPr>
      <t xml:space="preserve">Yucca Growth Infrastructure</t>
    </r>
    <r>
      <rPr>
        <sz val="11"/>
        <color theme="1"/>
        <rFont val="Noto Sans CJK SC"/>
        <family val="2"/>
      </rPr>
      <t xml:space="preserve">（微電網，</t>
    </r>
    <r>
      <rPr>
        <sz val="11"/>
        <color theme="1"/>
        <rFont val="Calibri"/>
        <family val="2"/>
        <charset val="1"/>
      </rPr>
      <t xml:space="preserve">Bloom </t>
    </r>
    <r>
      <rPr>
        <sz val="11"/>
        <color theme="1"/>
        <rFont val="Noto Sans CJK SC"/>
        <family val="2"/>
      </rPr>
      <t xml:space="preserve">燃料電池）</t>
    </r>
  </si>
  <si>
    <r>
      <rPr>
        <sz val="11"/>
        <color theme="1"/>
        <rFont val="Calibri"/>
        <family val="2"/>
        <charset val="1"/>
      </rPr>
      <t xml:space="preserve">STACK Infrastructure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BorderPlex Digital Assets</t>
    </r>
    <r>
      <rPr>
        <sz val="11"/>
        <color theme="1"/>
        <rFont val="Noto Sans CJK SC"/>
        <family val="2"/>
      </rPr>
      <t xml:space="preserve">（開發商）；</t>
    </r>
    <r>
      <rPr>
        <sz val="11"/>
        <color theme="1"/>
        <rFont val="Calibri"/>
        <family val="2"/>
        <charset val="1"/>
      </rPr>
      <t xml:space="preserve">Yucca Growth Infrastructure</t>
    </r>
    <r>
      <rPr>
        <sz val="11"/>
        <color theme="1"/>
        <rFont val="Noto Sans CJK SC"/>
        <family val="2"/>
      </rPr>
      <t xml:space="preserve">（微電網，</t>
    </r>
    <r>
      <rPr>
        <sz val="11"/>
        <color theme="1"/>
        <rFont val="Calibri"/>
        <family val="2"/>
        <charset val="1"/>
      </rPr>
      <t xml:space="preserve">Bloom </t>
    </r>
    <r>
      <rPr>
        <sz val="11"/>
        <color theme="1"/>
        <rFont val="Noto Sans CJK SC"/>
        <family val="2"/>
      </rPr>
      <t xml:space="preserve">燃料電池）｜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｜全園區｜規劃</t>
    </r>
  </si>
  <si>
    <t xml:space="preserve">2462 MW</t>
  </si>
  <si>
    <t xml:space="preserve">2026-09-28</t>
  </si>
  <si>
    <r>
      <rPr>
        <sz val="11"/>
        <color theme="1"/>
        <rFont val="Calibri"/>
        <family val="2"/>
        <charset val="1"/>
      </rPr>
      <t xml:space="preserve">2,462 MW</t>
    </r>
    <r>
      <rPr>
        <sz val="11"/>
        <color theme="1"/>
        <rFont val="Noto Sans CJK SC"/>
        <family val="2"/>
      </rPr>
      <t xml:space="preserve">、日期、管線延至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月、許可未批皆屬實。但「租金延長最多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年」、「反覆否決」、「</t>
    </r>
    <r>
      <rPr>
        <sz val="11"/>
        <color theme="1"/>
        <rFont val="Calibri"/>
        <family val="2"/>
        <charset val="1"/>
      </rPr>
      <t xml:space="preserve">Oracle 4 </t>
    </r>
    <r>
      <rPr>
        <sz val="11"/>
        <color theme="1"/>
        <rFont val="Noto Sans CJK SC"/>
        <family val="2"/>
      </rPr>
      <t xml:space="preserve">月稱 </t>
    </r>
    <r>
      <rPr>
        <sz val="11"/>
        <color theme="1"/>
        <rFont val="Calibri"/>
        <family val="2"/>
        <charset val="1"/>
      </rPr>
      <t xml:space="preserve">2.45 GW</t>
    </r>
    <r>
      <rPr>
        <sz val="11"/>
        <color theme="1"/>
        <rFont val="Noto Sans CJK SC"/>
        <family val="2"/>
      </rPr>
      <t xml:space="preserve">」及「</t>
    </r>
    <r>
      <rPr>
        <sz val="11"/>
        <color theme="1"/>
        <rFont val="Calibri"/>
        <family val="2"/>
        <charset val="1"/>
      </rPr>
      <t xml:space="preserve">2027-02-01</t>
    </r>
    <r>
      <rPr>
        <sz val="11"/>
        <color theme="1"/>
        <rFont val="Noto Sans CJK SC"/>
        <family val="2"/>
      </rPr>
      <t xml:space="preserve">」在原文找不到。這些不影響數值。</t>
    </r>
  </si>
  <si>
    <t xml:space="preserve">https://www.enr.com/articles/63720-oracle-invokes-force-majeure-as-new-mexico-project-jupiter-power-work-faces-hurdles</t>
  </si>
  <si>
    <t xml:space="preserve">S#60</t>
  </si>
  <si>
    <r>
      <rPr>
        <sz val="11"/>
        <color theme="1"/>
        <rFont val="Calibri"/>
        <family val="2"/>
        <charset val="1"/>
      </rPr>
      <t xml:space="preserve">STACK Infrastructure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BorderPlex Digital Assets</t>
    </r>
    <r>
      <rPr>
        <sz val="11"/>
        <color theme="1"/>
        <rFont val="Noto Sans CJK SC"/>
        <family val="2"/>
      </rPr>
      <t xml:space="preserve">（開發商）</t>
    </r>
  </si>
  <si>
    <r>
      <rPr>
        <sz val="11"/>
        <color theme="1"/>
        <rFont val="Calibri"/>
        <family val="2"/>
        <charset val="1"/>
      </rPr>
      <t xml:space="preserve">STACK Infrastructure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BorderPlex Digital Assets</t>
    </r>
    <r>
      <rPr>
        <sz val="11"/>
        <color theme="1"/>
        <rFont val="Noto Sans CJK SC"/>
        <family val="2"/>
      </rPr>
      <t xml:space="preserve">（開發商）｜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）｜在建</t>
    </r>
  </si>
  <si>
    <t xml:space="preserve">2026-10-11</t>
  </si>
  <si>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2028 Q3</t>
    </r>
    <r>
      <rPr>
        <sz val="11"/>
        <color theme="1"/>
        <rFont val="Noto Sans CJK SC"/>
        <family val="2"/>
      </rPr>
      <t xml:space="preserve">、進度不變、許可待核准均屬實。但「四棟資料中心」與「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通知可延後付款」在原文找不到，原文稱無延遲。</t>
    </r>
  </si>
  <si>
    <t xml:space="preserve">https://americanbuildout.com/project-jupiter/</t>
  </si>
  <si>
    <t xml:space="preserve">S#61</t>
  </si>
  <si>
    <r>
      <rPr>
        <sz val="11"/>
        <color theme="1"/>
        <rFont val="Calibri"/>
        <family val="2"/>
        <charset val="1"/>
      </rPr>
      <t xml:space="preserve">Yucca Growth Infrastructure</t>
    </r>
    <r>
      <rPr>
        <sz val="11"/>
        <color theme="1"/>
        <rFont val="Noto Sans CJK SC"/>
        <family val="2"/>
      </rPr>
      <t xml:space="preserve">（微電網）</t>
    </r>
  </si>
  <si>
    <r>
      <rPr>
        <sz val="11"/>
        <color theme="1"/>
        <rFont val="Calibri"/>
        <family val="2"/>
        <charset val="1"/>
      </rPr>
      <t xml:space="preserve">Yucca Growth Infrastructure</t>
    </r>
    <r>
      <rPr>
        <sz val="11"/>
        <color theme="1"/>
        <rFont val="Noto Sans CJK SC"/>
        <family val="2"/>
      </rPr>
      <t xml:space="preserve">（微電網）｜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｜全園區（微電網運轉上限）｜規劃</t>
    </r>
  </si>
  <si>
    <t xml:space="preserve">1600 MW</t>
  </si>
  <si>
    <r>
      <rPr>
        <sz val="11"/>
        <color theme="1"/>
        <rFont val="Calibri"/>
        <family val="2"/>
        <charset val="1"/>
      </rPr>
      <t xml:space="preserve">1,600 MW </t>
    </r>
    <r>
      <rPr>
        <sz val="11"/>
        <color theme="1"/>
        <rFont val="Noto Sans CJK SC"/>
        <family val="2"/>
      </rPr>
      <t xml:space="preserve">與約 </t>
    </r>
    <r>
      <rPr>
        <sz val="11"/>
        <color theme="1"/>
        <rFont val="Calibri"/>
        <family val="2"/>
        <charset val="1"/>
      </rPr>
      <t xml:space="preserve">65% </t>
    </r>
    <r>
      <rPr>
        <sz val="11"/>
        <color theme="1"/>
        <rFont val="Noto Sans CJK SC"/>
        <family val="2"/>
      </rPr>
      <t xml:space="preserve">屬實。但原文發布日為 </t>
    </r>
    <r>
      <rPr>
        <sz val="11"/>
        <color theme="1"/>
        <rFont val="Calibri"/>
        <family val="2"/>
        <charset val="1"/>
      </rPr>
      <t xml:space="preserve">10/27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10/28</t>
    </r>
    <r>
      <rPr>
        <sz val="11"/>
        <color theme="1"/>
        <rFont val="Noto Sans CJK SC"/>
        <family val="2"/>
      </rPr>
      <t xml:space="preserve">。數字出自 </t>
    </r>
    <r>
      <rPr>
        <sz val="11"/>
        <color theme="1"/>
        <rFont val="Calibri"/>
        <family val="2"/>
        <charset val="1"/>
      </rPr>
      <t xml:space="preserve">YGI </t>
    </r>
    <r>
      <rPr>
        <sz val="11"/>
        <color theme="1"/>
        <rFont val="Noto Sans CJK SC"/>
        <family val="2"/>
      </rPr>
      <t xml:space="preserve">自己的申請，標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上線與 </t>
    </r>
    <r>
      <rPr>
        <sz val="11"/>
        <color theme="1"/>
        <rFont val="Calibri"/>
        <family val="2"/>
        <charset val="1"/>
      </rPr>
      <t xml:space="preserve">700–900 MW </t>
    </r>
    <r>
      <rPr>
        <sz val="11"/>
        <color theme="1"/>
        <rFont val="Noto Sans CJK SC"/>
        <family val="2"/>
      </rPr>
      <t xml:space="preserve">不在此文。</t>
    </r>
  </si>
  <si>
    <t xml:space="preserve">https://www.abqjournal.com/business/hearing-officer-rejects-bid-to-toss-revised-project-jupiter-air-permit/3150570</t>
  </si>
  <si>
    <t xml:space="preserve">S#62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</si>
  <si>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（開發商／營運者）</t>
    </r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</si>
  <si>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（開發商／營運者）｜</t>
    </r>
    <r>
      <rPr>
        <sz val="11"/>
        <color theme="1"/>
        <rFont val="Calibri"/>
        <family val="2"/>
        <charset val="1"/>
      </rPr>
      <t xml:space="preserve">Stargate Lighthouse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Vantage Port Washington</t>
    </r>
    <r>
      <rPr>
        <sz val="11"/>
        <color theme="1"/>
        <rFont val="Noto Sans CJK SC"/>
        <family val="2"/>
      </rPr>
      <t xml:space="preserve">）｜全園區｜在建</t>
    </r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</si>
  <si>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：未判定</t>
    </r>
  </si>
  <si>
    <t xml:space="preserve">https://vantage-dc.com/data-center-locations/north-america/port-washington-wisconsin</t>
  </si>
  <si>
    <t xml:space="preserve">S#63</t>
  </si>
  <si>
    <t xml:space="preserve">Vantage Data Centers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</si>
  <si>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Lighthouse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Vantage Port Washington</t>
    </r>
    <r>
      <rPr>
        <sz val="11"/>
        <color theme="1"/>
        <rFont val="Noto Sans CJK SC"/>
        <family val="2"/>
      </rPr>
      <t xml:space="preserve">）｜第一期（</t>
    </r>
    <r>
      <rPr>
        <sz val="11"/>
        <color theme="1"/>
        <rFont val="Calibri"/>
        <family val="2"/>
        <charset val="1"/>
      </rPr>
      <t xml:space="preserve">$8B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</si>
  <si>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原文確有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億首期、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完工、承包商名單無誤，且未給分期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。但「文章日期未標示」不實，原文標示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日。</t>
    </r>
    <r>
      <rPr>
        <sz val="11"/>
        <color theme="1"/>
        <rFont val="Calibri"/>
        <family val="2"/>
        <charset val="1"/>
      </rPr>
      <t xml:space="preserve">metric/unit </t>
    </r>
    <r>
      <rPr>
        <sz val="11"/>
        <color theme="1"/>
        <rFont val="Noto Sans CJK SC"/>
        <family val="2"/>
      </rPr>
      <t xml:space="preserve">的「在建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」無數值。標為記者推論，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卻是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，口徑混亂。</t>
    </r>
  </si>
  <si>
    <t xml:space="preserve">https://www.datacenterknowledge.com/data-center-construction/vantage-breaks-ground-on-15b-stargate-campus-in-wisconsin</t>
  </si>
  <si>
    <t xml:space="preserve">S#64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</si>
  <si>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Lighthouse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Vantage Port Washington</t>
    </r>
    <r>
      <rPr>
        <sz val="11"/>
        <color theme="1"/>
        <rFont val="Noto Sans CJK SC"/>
        <family val="2"/>
      </rPr>
      <t xml:space="preserve">）｜全園區（電網接入容量）｜規劃</t>
    </r>
  </si>
  <si>
    <r>
      <rPr>
        <sz val="11"/>
        <color theme="1"/>
        <rFont val="Calibri"/>
        <family val="2"/>
        <charset val="1"/>
      </rPr>
      <t xml:space="preserve">1.3GW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Adams </t>
    </r>
    <r>
      <rPr>
        <sz val="11"/>
        <color theme="1"/>
        <rFont val="Noto Sans CJK SC"/>
        <family val="2"/>
      </rPr>
      <t xml:space="preserve">所說，</t>
    </r>
    <r>
      <rPr>
        <sz val="11"/>
        <color theme="1"/>
        <rFont val="Calibri"/>
        <family val="2"/>
        <charset val="1"/>
      </rPr>
      <t xml:space="preserve">902MW </t>
    </r>
    <r>
      <rPr>
        <sz val="11"/>
        <color theme="1"/>
        <rFont val="Noto Sans CJK SC"/>
        <family val="2"/>
      </rPr>
      <t xml:space="preserve">亦屬實。但原文完工為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expected_online 2027 </t>
    </r>
    <r>
      <rPr>
        <sz val="11"/>
        <color theme="1"/>
        <rFont val="Noto Sans CJK SC"/>
        <family val="2"/>
      </rPr>
      <t xml:space="preserve">不符。</t>
    </r>
    <r>
      <rPr>
        <sz val="11"/>
        <color theme="1"/>
        <rFont val="Calibri"/>
        <family val="2"/>
        <charset val="1"/>
      </rPr>
      <t xml:space="preserve">Epoch AI </t>
    </r>
    <r>
      <rPr>
        <sz val="11"/>
        <color theme="1"/>
        <rFont val="Noto Sans CJK SC"/>
        <family val="2"/>
      </rPr>
      <t xml:space="preserve">在原文找不到。來源是第三方彙整站，非公司本人。頁面有「</t>
    </r>
    <r>
      <rPr>
        <sz val="11"/>
        <color theme="1"/>
        <rFont val="Calibri"/>
        <family val="2"/>
        <charset val="1"/>
      </rPr>
      <t xml:space="preserve">Record checked Sep 16, 2026</t>
    </r>
    <r>
      <rPr>
        <sz val="11"/>
        <color theme="1"/>
        <rFont val="Noto Sans CJK SC"/>
        <family val="2"/>
      </rPr>
      <t xml:space="preserve">」。</t>
    </r>
  </si>
  <si>
    <t xml:space="preserve">https://globaldatacenters.net/project/vantage-lighthouse-port-washington-wisconsin/</t>
  </si>
  <si>
    <t xml:space="preserve">S#65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</si>
  <si>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（承租後營運）／</t>
    </r>
    <r>
      <rPr>
        <sz val="11"/>
        <color theme="1"/>
        <rFont val="Calibri"/>
        <family val="2"/>
        <charset val="1"/>
      </rPr>
      <t xml:space="preserve">Related Digital</t>
    </r>
    <r>
      <rPr>
        <sz val="11"/>
        <color theme="1"/>
        <rFont val="Noto Sans CJK SC"/>
        <family val="2"/>
      </rPr>
      <t xml:space="preserve">（開發商）</t>
    </r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</si>
  <si>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（承租後營運）／</t>
    </r>
    <r>
      <rPr>
        <sz val="11"/>
        <color theme="1"/>
        <rFont val="Calibri"/>
        <family val="2"/>
        <charset val="1"/>
      </rPr>
      <t xml:space="preserve">Related Digital</t>
    </r>
    <r>
      <rPr>
        <sz val="11"/>
        <color theme="1"/>
        <rFont val="Noto Sans CJK SC"/>
        <family val="2"/>
      </rPr>
      <t xml:space="preserve">（開發商）｜</t>
    </r>
    <r>
      <rPr>
        <sz val="11"/>
        <color theme="1"/>
        <rFont val="Calibri"/>
        <family val="2"/>
        <charset val="1"/>
      </rPr>
      <t xml:space="preserve">Stargate Michigan 'The Barn'</t>
    </r>
    <r>
      <rPr>
        <sz val="11"/>
        <color theme="1"/>
        <rFont val="Noto Sans CJK SC"/>
        <family val="2"/>
      </rPr>
      <t xml:space="preserve">｜全園區｜在建</t>
    </r>
  </si>
  <si>
    <t xml:space="preserve">1383 MW</t>
  </si>
  <si>
    <t xml:space="preserve">https://www.michigan.gov/mpsc/commission/news-releases/2026/08/27/mpsc-approves-siting-settlement-on-ingham-county-solar-project</t>
  </si>
  <si>
    <t xml:space="preserve">S#66</t>
  </si>
  <si>
    <t xml:space="preserve">Galaxy Digital</t>
  </si>
  <si>
    <r>
      <rPr>
        <sz val="11"/>
        <color theme="1"/>
        <rFont val="Calibri"/>
        <family val="2"/>
        <charset val="1"/>
      </rPr>
      <t xml:space="preserve">Galaxy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Helios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｜上線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</si>
  <si>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TimeoutError</t>
    </r>
    <r>
      <rPr>
        <sz val="11"/>
        <color theme="1"/>
        <rFont val="Noto Sans CJK SC"/>
        <family val="2"/>
      </rPr>
      <t xml:space="preserve">）</t>
    </r>
  </si>
  <si>
    <t xml:space="preserve">https://www.nasdaq.com/press-release/galaxy-completes-phase-i-its-helios-data-center-campus-delivering-133-megawatts</t>
  </si>
  <si>
    <t xml:space="preserve">S#67</t>
  </si>
  <si>
    <r>
      <rPr>
        <sz val="11"/>
        <color theme="1"/>
        <rFont val="Calibri"/>
        <family val="2"/>
        <charset val="1"/>
      </rPr>
      <t xml:space="preserve">Galaxy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Helios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II</t>
    </r>
    <r>
      <rPr>
        <sz val="11"/>
        <color theme="1"/>
        <rFont val="Noto Sans CJK SC"/>
        <family val="2"/>
      </rPr>
      <t xml:space="preserve">｜在建</t>
    </r>
  </si>
  <si>
    <t xml:space="preserve">260 MW</t>
  </si>
  <si>
    <r>
      <rPr>
        <sz val="11"/>
        <color theme="1"/>
        <rFont val="Calibri"/>
        <family val="2"/>
        <charset val="1"/>
      </rPr>
      <t xml:space="preserve">260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機房、</t>
    </r>
    <r>
      <rPr>
        <sz val="11"/>
        <color theme="1"/>
        <rFont val="Calibri"/>
        <family val="2"/>
        <charset val="1"/>
      </rPr>
      <t xml:space="preserve">35.07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租金起算皆屬實。但「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簡報稱已全額融資」原文找不到，「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上半年交付」是改寫。來源為 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報導引述 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文件，標成「公司本人」稍偏。</t>
    </r>
  </si>
  <si>
    <t xml:space="preserve">https://finance.yahoo.com/technology/ai/articles/galaxy-digital-plans-3-507-143713956.html</t>
  </si>
  <si>
    <t xml:space="preserve">S#68</t>
  </si>
  <si>
    <r>
      <rPr>
        <sz val="11"/>
        <color theme="1"/>
        <rFont val="Calibri"/>
        <family val="2"/>
        <charset val="1"/>
      </rPr>
      <t xml:space="preserve">Galaxy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Helios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III</t>
    </r>
    <r>
      <rPr>
        <sz val="11"/>
        <color theme="1"/>
        <rFont val="Noto Sans CJK SC"/>
        <family val="2"/>
      </rPr>
      <t xml:space="preserve">｜簽約</t>
    </r>
  </si>
  <si>
    <t xml:space="preserve">2026-10-27</t>
  </si>
  <si>
    <t xml:space="preserve">https://www.investing.com/news/company-news/galaxy-digital-q3-2026-slides-dual-strategy-drives-323m-profit-93CH-4976040</t>
  </si>
  <si>
    <t xml:space="preserve">S#69</t>
  </si>
  <si>
    <r>
      <rPr>
        <sz val="11"/>
        <color theme="1"/>
        <rFont val="Calibri"/>
        <family val="2"/>
        <charset val="1"/>
      </rPr>
      <t xml:space="preserve">Galaxy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Helios</t>
    </r>
    <r>
      <rPr>
        <sz val="11"/>
        <color theme="1"/>
        <rFont val="Noto Sans CJK SC"/>
        <family val="2"/>
      </rPr>
      <t xml:space="preserve">｜全園區｜規劃</t>
    </r>
  </si>
  <si>
    <t xml:space="preserve">1630 MW</t>
  </si>
  <si>
    <t xml:space="preserve">S#70</t>
  </si>
  <si>
    <t xml:space="preserve">Applied Digital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</si>
  <si>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1</t>
    </r>
    <r>
      <rPr>
        <sz val="11"/>
        <color theme="1"/>
        <rFont val="Noto Sans CJK SC"/>
        <family val="2"/>
      </rPr>
      <t xml:space="preserve">｜全園區｜簽約</t>
    </r>
  </si>
  <si>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上線屬實。但原文未提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</t>
    </r>
    <r>
      <rPr>
        <sz val="11"/>
        <color theme="1"/>
        <rFont val="Noto Sans CJK SC"/>
        <family val="2"/>
      </rPr>
      <t xml:space="preserve">在建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年及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年說法，這些找不到。</t>
    </r>
  </si>
  <si>
    <t xml:space="preserve">https://ir.applieddigital.com/news-events/press-releases/detail/161/applied-digital-brings-an-additional-75-mw-of-ai</t>
  </si>
  <si>
    <t xml:space="preserve">S#71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</si>
  <si>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Phase I+II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ELN-02</t>
    </r>
    <r>
      <rPr>
        <sz val="11"/>
        <color theme="1"/>
        <rFont val="Noto Sans CJK SC"/>
        <family val="2"/>
      </rPr>
      <t xml:space="preserve">）｜上線</t>
    </r>
  </si>
  <si>
    <t xml:space="preserve">100 MW</t>
  </si>
  <si>
    <t xml:space="preserve">2025-11-24</t>
  </si>
  <si>
    <r>
      <rPr>
        <sz val="11"/>
        <color theme="1"/>
        <rFont val="Noto Sans CJK SC"/>
        <family val="2"/>
      </rPr>
      <t xml:space="preserve">原文：</t>
    </r>
    <r>
      <rPr>
        <sz val="11"/>
        <color theme="1"/>
        <rFont val="Calibri"/>
        <family val="2"/>
        <charset val="1"/>
      </rPr>
      <t xml:space="preserve">2025-11-24 </t>
    </r>
    <r>
      <rPr>
        <sz val="11"/>
        <color theme="1"/>
        <rFont val="Noto Sans CJK SC"/>
        <family val="2"/>
      </rPr>
      <t xml:space="preserve">第二期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按時</t>
    </r>
    <r>
      <rPr>
        <sz val="11"/>
        <color theme="1"/>
        <rFont val="Calibri"/>
        <family val="2"/>
        <charset val="1"/>
      </rPr>
      <t xml:space="preserve">RFS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B1</t>
    </r>
    <r>
      <rPr>
        <sz val="11"/>
        <color theme="1"/>
        <rFont val="Noto Sans CJK SC"/>
        <family val="2"/>
      </rPr>
      <t xml:space="preserve">達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關鍵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負載；首期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月交付；客戶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；公司新聞稿，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利害關係人正確。「首期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」為合理推斷。「預期</t>
    </r>
    <r>
      <rPr>
        <sz val="11"/>
        <color theme="1"/>
        <rFont val="Calibri"/>
        <family val="2"/>
        <charset val="1"/>
      </rPr>
      <t xml:space="preserve">2025 Q4</t>
    </r>
    <r>
      <rPr>
        <sz val="11"/>
        <color theme="1"/>
        <rFont val="Noto Sans CJK SC"/>
        <family val="2"/>
      </rPr>
      <t xml:space="preserve">」原文未明示但不影響。</t>
    </r>
  </si>
  <si>
    <t xml:space="preserve">https://finance.yahoo.com/news/applied-digital-completes-phase-ii-130000534.html</t>
  </si>
  <si>
    <t xml:space="preserve">S#72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</si>
  <si>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2 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ELN-03</t>
    </r>
    <r>
      <rPr>
        <sz val="11"/>
        <color theme="1"/>
        <rFont val="Noto Sans CJK SC"/>
        <family val="2"/>
      </rPr>
      <t xml:space="preserve">）｜上線</t>
    </r>
  </si>
  <si>
    <t xml:space="preserve">75 MW</t>
  </si>
  <si>
    <r>
      <rPr>
        <sz val="11"/>
        <color theme="1"/>
        <rFont val="Calibri"/>
        <family val="2"/>
        <charset val="1"/>
      </rPr>
      <t xml:space="preserve">7/1 </t>
    </r>
    <r>
      <rPr>
        <sz val="11"/>
        <color theme="1"/>
        <rFont val="Noto Sans CJK SC"/>
        <family val="2"/>
      </rPr>
      <t xml:space="preserve">宣布 </t>
    </r>
    <r>
      <rPr>
        <sz val="11"/>
        <color theme="1"/>
        <rFont val="Calibri"/>
        <family val="2"/>
        <charset val="1"/>
      </rPr>
      <t xml:space="preserve">B2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75MW RFS</t>
    </r>
    <r>
      <rPr>
        <sz val="11"/>
        <color theme="1"/>
        <rFont val="Noto Sans CJK SC"/>
        <family val="2"/>
      </rPr>
      <t xml:space="preserve">、合計 </t>
    </r>
    <r>
      <rPr>
        <sz val="11"/>
        <color theme="1"/>
        <rFont val="Calibri"/>
        <family val="2"/>
        <charset val="1"/>
      </rPr>
      <t xml:space="preserve">175MW </t>
    </r>
    <r>
      <rPr>
        <sz val="11"/>
        <color theme="1"/>
        <rFont val="Noto Sans CJK SC"/>
        <family val="2"/>
      </rPr>
      <t xml:space="preserve">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正確。但原文只稱 </t>
    </r>
    <r>
      <rPr>
        <sz val="11"/>
        <color theme="1"/>
        <rFont val="Calibri"/>
        <family val="2"/>
        <charset val="1"/>
      </rPr>
      <t xml:space="preserve">customer</t>
    </r>
    <r>
      <rPr>
        <sz val="11"/>
        <color theme="1"/>
        <rFont val="Noto Sans CJK SC"/>
        <family val="2"/>
      </rPr>
      <t xml:space="preserve">，未點名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75MW </t>
    </r>
    <r>
      <rPr>
        <sz val="11"/>
        <color theme="1"/>
        <rFont val="Noto Sans CJK SC"/>
        <family val="2"/>
      </rPr>
      <t xml:space="preserve">也未明說是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口徑；</t>
    </r>
    <r>
      <rPr>
        <sz val="11"/>
        <color theme="1"/>
        <rFont val="Calibri"/>
        <family val="2"/>
        <charset val="1"/>
      </rPr>
      <t xml:space="preserve">ELN-03 </t>
    </r>
    <r>
      <rPr>
        <sz val="11"/>
        <color theme="1"/>
        <rFont val="Noto Sans CJK SC"/>
        <family val="2"/>
      </rPr>
      <t xml:space="preserve">與第三方 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說法原文找不到。</t>
    </r>
  </si>
  <si>
    <t xml:space="preserve">https://finance.yahoo.com/technology/ai/articles/applied-digital-delivers-second-building-170000050.html</t>
  </si>
  <si>
    <t xml:space="preserve">S#73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</si>
  <si>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2 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ELN-03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</si>
  <si>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Calibri"/>
        <family val="2"/>
        <charset val="1"/>
      </rPr>
      <t xml:space="preserve">75MW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、三個</t>
    </r>
    <r>
      <rPr>
        <sz val="11"/>
        <color theme="1"/>
        <rFont val="Calibri"/>
        <family val="2"/>
        <charset val="1"/>
      </rPr>
      <t xml:space="preserve">25MW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B2</t>
    </r>
    <r>
      <rPr>
        <sz val="11"/>
        <color theme="1"/>
        <rFont val="Noto Sans CJK SC"/>
        <family val="2"/>
      </rPr>
      <t xml:space="preserve">滿載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、園區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屬實。但原文未提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，也未載</t>
    </r>
    <r>
      <rPr>
        <sz val="11"/>
        <color theme="1"/>
        <rFont val="Calibri"/>
        <family val="2"/>
        <charset val="1"/>
      </rPr>
      <t xml:space="preserve">RFS</t>
    </r>
    <r>
      <rPr>
        <sz val="11"/>
        <color theme="1"/>
        <rFont val="Noto Sans CJK SC"/>
        <family val="2"/>
      </rPr>
      <t xml:space="preserve">日為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（財報說法）。</t>
    </r>
  </si>
  <si>
    <t xml:space="preserve">S#74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</si>
  <si>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ELN-04</t>
    </r>
    <r>
      <rPr>
        <sz val="11"/>
        <color theme="1"/>
        <rFont val="Noto Sans CJK SC"/>
        <family val="2"/>
      </rPr>
      <t xml:space="preserve">）｜在建</t>
    </r>
  </si>
  <si>
    <t xml:space="preserve">150 MW</t>
  </si>
  <si>
    <t xml:space="preserve">https://www.sec.gov/Archives/edgar/data/0001144879/000149315226027979/ex99-1.htm</t>
  </si>
  <si>
    <t xml:space="preserve">S#75</t>
  </si>
  <si>
    <t xml:space="preserve">Core Scientific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</si>
  <si>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Denton Campus</t>
    </r>
    <r>
      <rPr>
        <sz val="11"/>
        <color theme="1"/>
        <rFont val="Noto Sans CJK SC"/>
        <family val="2"/>
      </rPr>
      <t xml:space="preserve">｜全園區｜上線</t>
    </r>
  </si>
  <si>
    <t xml:space="preserve">https://www.sec.gov/Archives/edgar/data/1839341/000162828026027645/q2fy26earningsdeck728am.htm</t>
  </si>
  <si>
    <t xml:space="preserve">S#76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</si>
  <si>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Denton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棟｜上線</t>
    </r>
  </si>
  <si>
    <t xml:space="preserve">132 MW</t>
  </si>
  <si>
    <t xml:space="preserve">2026-04-21</t>
  </si>
  <si>
    <r>
      <rPr>
        <sz val="11"/>
        <color theme="1"/>
        <rFont val="Calibri"/>
        <family val="2"/>
        <charset val="1"/>
      </rPr>
      <t xml:space="preserve">132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D-G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H2 2026 </t>
    </r>
    <r>
      <rPr>
        <sz val="11"/>
        <color theme="1"/>
        <rFont val="Noto Sans CJK SC"/>
        <family val="2"/>
      </rPr>
      <t xml:space="preserve">完工、</t>
    </r>
    <r>
      <rPr>
        <sz val="11"/>
        <color theme="1"/>
        <rFont val="Calibri"/>
        <family val="2"/>
        <charset val="1"/>
      </rPr>
      <t xml:space="preserve">H2 2025 </t>
    </r>
    <r>
      <rPr>
        <sz val="11"/>
        <color theme="1"/>
        <rFont val="Noto Sans CJK SC"/>
        <family val="2"/>
      </rPr>
      <t xml:space="preserve">起計費、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均屬實。</t>
    </r>
    <r>
      <rPr>
        <sz val="11"/>
        <color theme="1"/>
        <rFont val="Calibri"/>
        <family val="2"/>
        <charset val="1"/>
      </rPr>
      <t xml:space="preserve">expected_online=2025 </t>
    </r>
    <r>
      <rPr>
        <sz val="11"/>
        <color theme="1"/>
        <rFont val="Noto Sans CJK SC"/>
        <family val="2"/>
      </rPr>
      <t xml:space="preserve">與原文不符（完工為 </t>
    </r>
    <r>
      <rPr>
        <sz val="11"/>
        <color theme="1"/>
        <rFont val="Calibri"/>
        <family val="2"/>
        <charset val="1"/>
      </rPr>
      <t xml:space="preserve">H2 2026</t>
    </r>
    <r>
      <rPr>
        <sz val="11"/>
        <color theme="1"/>
        <rFont val="Noto Sans CJK SC"/>
        <family val="2"/>
      </rPr>
      <t xml:space="preserve">）。公司自述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稍偏，宜視為利害關係人說法。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未說明可接受。</t>
    </r>
  </si>
  <si>
    <t xml:space="preserve">https://investors.corescientific.com/sec-filings/all-sec-filings/content/0001193125-26-165121/d149019dex992.htm</t>
  </si>
  <si>
    <t xml:space="preserve">S#77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</si>
  <si>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Kenilworth Campus (NEST)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NEST 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2000 Galloping Hill Rd </t>
    </r>
    <r>
      <rPr>
        <sz val="11"/>
        <color theme="1"/>
        <rFont val="Noto Sans CJK SC"/>
        <family val="2"/>
      </rPr>
      <t xml:space="preserve">首期）｜在建</t>
    </r>
  </si>
  <si>
    <t xml:space="preserve">40 MW</t>
  </si>
  <si>
    <t xml:space="preserve">2026-10-15</t>
  </si>
  <si>
    <r>
      <rPr>
        <sz val="11"/>
        <color theme="1"/>
        <rFont val="Calibri"/>
        <family val="2"/>
        <charset val="1"/>
      </rPr>
      <t xml:space="preserve">40 MW </t>
    </r>
    <r>
      <rPr>
        <sz val="11"/>
        <color theme="1"/>
        <rFont val="Noto Sans CJK SC"/>
        <family val="2"/>
      </rPr>
      <t xml:space="preserve">規劃負載、未說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或設施，皆與原文相符。但頁面無日期與「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天前」字樣，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推算無法核實；「在建」屬實。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初期地方會議、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營運、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財報稿等說法亦不在此頁。</t>
    </r>
  </si>
  <si>
    <t xml:space="preserve">https://www.coreweave.com/ai-data-center-development/kenilworth-new-jersey</t>
  </si>
  <si>
    <t xml:space="preserve">S#78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</si>
  <si>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Kenilworth Campus (NEST)</t>
    </r>
    <r>
      <rPr>
        <sz val="11"/>
        <color theme="1"/>
        <rFont val="Noto Sans CJK SC"/>
        <family val="2"/>
      </rPr>
      <t xml:space="preserve">｜全園區｜規劃</t>
    </r>
  </si>
  <si>
    <t xml:space="preserve">2025-08-12</t>
  </si>
  <si>
    <t xml:space="preserve">https://www.businesswire.com/news/home/20250812279284/en/CoreWeave-Reports-Strong-Second-Quarter-2025-Results</t>
  </si>
  <si>
    <t xml:space="preserve">S#79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</si>
  <si>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Lancaster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216 Greenfield Road </t>
    </r>
    <r>
      <rPr>
        <sz val="11"/>
        <color theme="1"/>
        <rFont val="Noto Sans CJK SC"/>
        <family val="2"/>
      </rPr>
      <t xml:space="preserve">第一棟）｜在建</t>
    </r>
  </si>
  <si>
    <t xml:space="preserve">2025-07-15</t>
  </si>
  <si>
    <r>
      <rPr>
        <sz val="11"/>
        <color theme="1"/>
        <rFont val="Noto Sans CJK SC"/>
        <family val="2"/>
      </rPr>
      <t xml:space="preserve">初期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屬實。此頁日期為 </t>
    </r>
    <r>
      <rPr>
        <sz val="11"/>
        <color theme="1"/>
        <rFont val="Calibri"/>
        <family val="2"/>
        <charset val="1"/>
      </rPr>
      <t xml:space="preserve">2025-07-21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07-15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07-15 </t>
    </r>
    <r>
      <rPr>
        <sz val="11"/>
        <color theme="1"/>
        <rFont val="Noto Sans CJK SC"/>
        <family val="2"/>
      </rPr>
      <t xml:space="preserve">是活動日）。「在建」、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LNP </t>
    </r>
    <r>
      <rPr>
        <sz val="11"/>
        <color theme="1"/>
        <rFont val="Noto Sans CJK SC"/>
        <family val="2"/>
      </rPr>
      <t xml:space="preserve">等說法不在此原文。</t>
    </r>
  </si>
  <si>
    <t xml:space="preserve">https://www.hochtief.com/news-media/press-releases/press-release/coreweave-announces-multi-billion-dollar-commitment-to-ai-infrastructure-in-pennsylvania</t>
  </si>
  <si>
    <t xml:space="preserve">S#80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</si>
  <si>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Lancaster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</si>
  <si>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擴充潛力屬實，原文未給時程。此頁日期為 </t>
    </r>
    <r>
      <rPr>
        <sz val="11"/>
        <color theme="1"/>
        <rFont val="Calibri"/>
        <family val="2"/>
        <charset val="1"/>
      </rPr>
      <t xml:space="preserve">2025-07-21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07-15</t>
    </r>
    <r>
      <rPr>
        <sz val="11"/>
        <color theme="1"/>
        <rFont val="Noto Sans CJK SC"/>
        <family val="2"/>
      </rPr>
      <t xml:space="preserve">。上訴與 </t>
    </r>
    <r>
      <rPr>
        <sz val="11"/>
        <color theme="1"/>
        <rFont val="Calibri"/>
        <family val="2"/>
        <charset val="1"/>
      </rPr>
      <t xml:space="preserve">Blue Owl </t>
    </r>
    <r>
      <rPr>
        <sz val="11"/>
        <color theme="1"/>
        <rFont val="Noto Sans CJK SC"/>
        <family val="2"/>
      </rPr>
      <t xml:space="preserve">等說法不在此原文。</t>
    </r>
  </si>
  <si>
    <t xml:space="preserve">S#81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</si>
  <si>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Lappeenranta AI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</si>
  <si>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310MW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首批、日期、公司本人皆與原文相符。但「開發商</t>
    </r>
    <r>
      <rPr>
        <sz val="11"/>
        <color theme="1"/>
        <rFont val="Calibri"/>
        <family val="2"/>
        <charset val="1"/>
      </rPr>
      <t xml:space="preserve">Polarnode</t>
    </r>
    <r>
      <rPr>
        <sz val="11"/>
        <color theme="1"/>
        <rFont val="Noto Sans CJK SC"/>
        <family val="2"/>
      </rPr>
      <t xml:space="preserve">」、「不專供單一客戶」、「未見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」原文均無，屬研究者補充，不是本人說法。</t>
    </r>
  </si>
  <si>
    <t xml:space="preserve">https://nebius.com/newsroom/nebius-to-construct-310-mw-ai-factory-in-finland</t>
  </si>
  <si>
    <t xml:space="preserve">S#82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</si>
  <si>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Independence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</si>
  <si>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800MW</t>
    </r>
    <r>
      <rPr>
        <sz val="11"/>
        <color theme="1"/>
        <rFont val="Noto Sans CJK SC"/>
        <family val="2"/>
      </rPr>
      <t xml:space="preserve">電網、</t>
    </r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場內發電屬實，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利害關係人正確。但頁面有時間表（</t>
    </r>
    <r>
      <rPr>
        <sz val="11"/>
        <color theme="1"/>
        <rFont val="Calibri"/>
        <family val="2"/>
        <charset val="1"/>
      </rPr>
      <t xml:space="preserve">Q2 2026–2029+</t>
    </r>
    <r>
      <rPr>
        <sz val="11"/>
        <color theme="1"/>
        <rFont val="Noto Sans CJK SC"/>
        <family val="2"/>
      </rPr>
      <t xml:space="preserve">、電力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下半年</t>
    </r>
    <r>
      <rPr>
        <sz val="11"/>
        <color theme="1"/>
        <rFont val="Calibri"/>
        <family val="2"/>
        <charset val="1"/>
      </rPr>
      <t xml:space="preserve">/2029</t>
    </r>
    <r>
      <rPr>
        <sz val="11"/>
        <color theme="1"/>
        <rFont val="Noto Sans CJK SC"/>
        <family val="2"/>
      </rPr>
      <t xml:space="preserve">初），</t>
    </r>
    <r>
      <rPr>
        <sz val="11"/>
        <color theme="1"/>
        <rFont val="Calibri"/>
        <family val="2"/>
        <charset val="1"/>
      </rPr>
      <t xml:space="preserve">expected_online 2027-10 </t>
    </r>
    <r>
      <rPr>
        <sz val="11"/>
        <color theme="1"/>
        <rFont val="Noto Sans CJK SC"/>
        <family val="2"/>
      </rPr>
      <t xml:space="preserve">非官方且頁面「無日期」說法不精確。早期</t>
    </r>
    <r>
      <rPr>
        <sz val="11"/>
        <color theme="1"/>
        <rFont val="Calibri"/>
        <family val="2"/>
        <charset val="1"/>
      </rPr>
      <t xml:space="preserve">800MW</t>
    </r>
    <r>
      <rPr>
        <sz val="11"/>
        <color theme="1"/>
        <rFont val="Noto Sans CJK SC"/>
        <family val="2"/>
      </rPr>
      <t xml:space="preserve">、聽證等原文無。</t>
    </r>
  </si>
  <si>
    <t xml:space="preserve">https://nebius.com/independencemo</t>
  </si>
  <si>
    <t xml:space="preserve">S#83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</si>
  <si>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Independence Campus</t>
    </r>
    <r>
      <rPr>
        <sz val="11"/>
        <color theme="1"/>
        <rFont val="Noto Sans CJK SC"/>
        <family val="2"/>
      </rPr>
      <t xml:space="preserve">｜第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</si>
  <si>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、在建、首期、承包商說法皆屬實。面積原文為約 </t>
    </r>
    <r>
      <rPr>
        <sz val="11"/>
        <color theme="1"/>
        <rFont val="Calibri"/>
        <family val="2"/>
        <charset val="1"/>
      </rPr>
      <t xml:space="preserve">490,000 </t>
    </r>
    <r>
      <rPr>
        <sz val="11"/>
        <color theme="1"/>
        <rFont val="Noto Sans CJK SC"/>
        <family val="2"/>
      </rPr>
      <t xml:space="preserve">平方呎，列中寫 </t>
    </r>
    <r>
      <rPr>
        <sz val="11"/>
        <color theme="1"/>
        <rFont val="Calibri"/>
        <family val="2"/>
        <charset val="1"/>
      </rPr>
      <t xml:space="preserve">488,000 </t>
    </r>
    <r>
      <rPr>
        <sz val="11"/>
        <color theme="1"/>
        <rFont val="Noto Sans CJK SC"/>
        <family val="2"/>
      </rPr>
      <t xml:space="preserve">有出入。頁面無日期屬實。</t>
    </r>
    <r>
      <rPr>
        <sz val="11"/>
        <color theme="1"/>
        <rFont val="Calibri"/>
        <family val="2"/>
        <charset val="1"/>
      </rPr>
      <t xml:space="preserve">Baxtel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Datacentermap </t>
    </r>
    <r>
      <rPr>
        <sz val="11"/>
        <color theme="1"/>
        <rFont val="Noto Sans CJK SC"/>
        <family val="2"/>
      </rPr>
      <t xml:space="preserve">的上線時間不在此來源中，無法由此頁核對。</t>
    </r>
  </si>
  <si>
    <t xml:space="preserve">https://www.arconational.com/nebius-independence-mo/</t>
  </si>
  <si>
    <t xml:space="preserve">S#84</t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</si>
  <si>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（建物擁有／營運，</t>
    </r>
    <r>
      <rPr>
        <sz val="11"/>
        <color theme="1"/>
        <rFont val="Calibri"/>
        <family val="2"/>
        <charset val="1"/>
      </rPr>
      <t xml:space="preserve">build-to-suit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（承租、營運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</si>
  <si>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（建物擁有／營運，</t>
    </r>
    <r>
      <rPr>
        <sz val="11"/>
        <color theme="1"/>
        <rFont val="Calibri"/>
        <family val="2"/>
        <charset val="1"/>
      </rPr>
      <t xml:space="preserve">build-to-suit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（承租、營運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Nebius Vineland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</si>
  <si>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DataOne/Nebius/Microsoft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月停工令屬實。「設計上限」、</t>
    </r>
    <r>
      <rPr>
        <sz val="11"/>
        <color theme="1"/>
        <rFont val="Calibri"/>
        <family val="2"/>
        <charset val="1"/>
      </rPr>
      <t xml:space="preserve">350/315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月完工、</t>
    </r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稱不影響工期均不在本文，應出自他源。本文未歸因，記者直述 </t>
    </r>
    <r>
      <rPr>
        <sz val="11"/>
        <color theme="1"/>
        <rFont val="Calibri"/>
        <family val="2"/>
        <charset val="1"/>
      </rPr>
      <t xml:space="preserve">300 MW</t>
    </r>
    <r>
      <rPr>
        <sz val="11"/>
        <color theme="1"/>
        <rFont val="Noto Sans CJK SC"/>
        <family val="2"/>
      </rPr>
      <t xml:space="preserve">。</t>
    </r>
  </si>
  <si>
    <t xml:space="preserve">https://whyy.org/articles/vineland-data-center-fined/</t>
  </si>
  <si>
    <t xml:space="preserve">S#85</t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</si>
  <si>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（建物擁有）／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（承租、營運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</si>
  <si>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（建物擁有）／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（承租、營運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Nebius Vineland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（已運作部分）｜上線</t>
    </r>
  </si>
  <si>
    <t xml:space="preserve">2026-07-12</t>
  </si>
  <si>
    <r>
      <rPr>
        <sz val="11"/>
        <color theme="1"/>
        <rFont val="Calibri"/>
        <family val="2"/>
        <charset val="1"/>
      </rPr>
      <t xml:space="preserve">50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57k H100e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月新冷卻機組未連線均屬實。但這是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的估算，不宜標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。頁面更新日為 </t>
    </r>
    <r>
      <rPr>
        <sz val="11"/>
        <color theme="1"/>
        <rFont val="Calibri"/>
        <family val="2"/>
        <charset val="1"/>
      </rPr>
      <t xml:space="preserve">8/4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7/12 </t>
    </r>
    <r>
      <rPr>
        <sz val="11"/>
        <color theme="1"/>
        <rFont val="Noto Sans CJK SC"/>
        <family val="2"/>
      </rPr>
      <t xml:space="preserve">只是影像日期。原文稱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年初上線，沒有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。</t>
    </r>
  </si>
  <si>
    <t xml:space="preserve">https://epoch.ai/data/ai-data-centers/directory/microsoft-nebius-new-jersey</t>
  </si>
  <si>
    <t xml:space="preserve">S#86</t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</si>
  <si>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Nebius</t>
    </r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</si>
  <si>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Vineland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（擴建＋</t>
    </r>
    <r>
      <rPr>
        <sz val="11"/>
        <color theme="1"/>
        <rFont val="Calibri"/>
        <family val="2"/>
        <charset val="1"/>
      </rPr>
      <t xml:space="preserve">Bloom</t>
    </r>
    <r>
      <rPr>
        <sz val="11"/>
        <color theme="1"/>
        <rFont val="Noto Sans CJK SC"/>
        <family val="2"/>
      </rPr>
      <t xml:space="preserve">燃料電池）｜在建</t>
    </r>
  </si>
  <si>
    <r>
      <rPr>
        <sz val="11"/>
        <color theme="1"/>
        <rFont val="Calibri"/>
        <family val="2"/>
        <charset val="1"/>
      </rPr>
      <t xml:space="preserve">8/17</t>
    </r>
    <r>
      <rPr>
        <sz val="11"/>
        <color theme="1"/>
        <rFont val="Noto Sans CJK SC"/>
        <family val="2"/>
      </rPr>
      <t xml:space="preserve">核准與無單獨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屬實。但</t>
    </r>
    <r>
      <rPr>
        <sz val="11"/>
        <color theme="1"/>
        <rFont val="Calibri"/>
        <family val="2"/>
        <charset val="1"/>
      </rPr>
      <t xml:space="preserve">Bloom 328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250 MW</t>
    </r>
    <r>
      <rPr>
        <sz val="11"/>
        <color theme="1"/>
        <rFont val="Noto Sans CJK SC"/>
        <family val="2"/>
      </rPr>
      <t xml:space="preserve">保證、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期交付、停工令、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NJDEP</t>
    </r>
    <r>
      <rPr>
        <sz val="11"/>
        <color theme="1"/>
        <rFont val="Noto Sans CJK SC"/>
        <family val="2"/>
      </rPr>
      <t xml:space="preserve">罰款、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上線，原文皆無；罰款時點晚於文章日期。</t>
    </r>
  </si>
  <si>
    <t xml:space="preserve">https://www.foreignpolicyjournal.com/2026/08/18/vineland-planning-board-approves-phase-2-expansion-clearing-path-for-nebius-group-nasdaq-nbis-microsoft-deal/</t>
  </si>
  <si>
    <t xml:space="preserve">S#87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</si>
  <si>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Childress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Horizon 1</t>
    </r>
    <r>
      <rPr>
        <sz val="11"/>
        <color theme="1"/>
        <rFont val="Noto Sans CJK SC"/>
        <family val="2"/>
      </rPr>
      <t xml:space="preserve">｜上線</t>
    </r>
  </si>
  <si>
    <t xml:space="preserve">https://www.sec.gov/Archives/edgar/data/0001878848/000114036126032638/ef20080141_ex99-1.htm</t>
  </si>
  <si>
    <t xml:space="preserve">S#88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</si>
  <si>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Childress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Horizon 2</t>
    </r>
    <r>
      <rPr>
        <sz val="11"/>
        <color theme="1"/>
        <rFont val="Noto Sans CJK SC"/>
        <family val="2"/>
      </rPr>
      <t xml:space="preserve">｜在建</t>
    </r>
  </si>
  <si>
    <t xml:space="preserve">https://www.sec.gov/Archives/edgar/data/1878848/000187884826000051/irenreportsfy26results.htm</t>
  </si>
  <si>
    <t xml:space="preserve">S#89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</si>
  <si>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Childress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Horizon 3</t>
    </r>
    <r>
      <rPr>
        <sz val="11"/>
        <color theme="1"/>
        <rFont val="Noto Sans CJK SC"/>
        <family val="2"/>
      </rPr>
      <t xml:space="preserve">｜在建</t>
    </r>
  </si>
  <si>
    <t xml:space="preserve">S#90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</si>
  <si>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Childress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Horizon 4</t>
    </r>
    <r>
      <rPr>
        <sz val="11"/>
        <color theme="1"/>
        <rFont val="Noto Sans CJK SC"/>
        <family val="2"/>
      </rPr>
      <t xml:space="preserve">｜在建</t>
    </r>
  </si>
  <si>
    <t xml:space="preserve">S#91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</si>
  <si>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Childress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</si>
  <si>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750MW </t>
    </r>
    <r>
      <rPr>
        <sz val="11"/>
        <color theme="1"/>
        <rFont val="Noto Sans CJK SC"/>
        <family val="2"/>
      </rPr>
      <t xml:space="preserve">和 </t>
    </r>
    <r>
      <rPr>
        <sz val="11"/>
        <color theme="1"/>
        <rFont val="Calibri"/>
        <family val="2"/>
        <charset val="1"/>
      </rPr>
      <t xml:space="preserve">576 </t>
    </r>
    <r>
      <rPr>
        <sz val="11"/>
        <color theme="1"/>
        <rFont val="Noto Sans CJK SC"/>
        <family val="2"/>
      </rPr>
      <t xml:space="preserve">英畝屬實，</t>
    </r>
    <r>
      <rPr>
        <sz val="11"/>
        <color theme="1"/>
        <rFont val="Calibri"/>
        <family val="2"/>
        <charset val="1"/>
      </rPr>
      <t xml:space="preserve">H1-4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4×50MW IT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200MW </t>
    </r>
    <r>
      <rPr>
        <sz val="11"/>
        <color theme="1"/>
        <rFont val="Noto Sans CJK SC"/>
        <family val="2"/>
      </rPr>
      <t xml:space="preserve">亦可推得。但原文是完整建成目標，不是「在建」量。來源是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報導，不是公司本人。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電網容量一說在原文找不到。</t>
    </r>
  </si>
  <si>
    <t xml:space="preserve">https://www.datacenterdynamics.com/en/news/iren-delivers-first-phase-of-ai-capacity-to-microsoft-in-texas/</t>
  </si>
  <si>
    <t xml:space="preserve">S#92</t>
  </si>
  <si>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Lambda Kansas City AI Factory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Blitz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（啟動階段）｜在建</t>
    </r>
  </si>
  <si>
    <t xml:space="preserve">24 MW</t>
  </si>
  <si>
    <t xml:space="preserve">https://www.businesswire.com/news/home/20251028473000/en/Lambda-Doubles-Down-on-Midwest-Expansion-To-Build-AI-Factory-in-Kansas-City-MO</t>
  </si>
  <si>
    <t xml:space="preserve">S#93</t>
  </si>
  <si>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Lambda Kansas City AI Factory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Blitz</t>
    </r>
    <r>
      <rPr>
        <sz val="11"/>
        <color theme="1"/>
        <rFont val="Noto Sans CJK SC"/>
        <family val="2"/>
      </rPr>
      <t xml:space="preserve">）｜擴建（潛在上限）｜規劃</t>
    </r>
  </si>
  <si>
    <t xml:space="preserve">S#94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</si>
  <si>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Loughton AI Campus</t>
    </r>
    <r>
      <rPr>
        <sz val="11"/>
        <color theme="1"/>
        <rFont val="Noto Sans CJK SC"/>
        <family val="2"/>
      </rPr>
      <t xml:space="preserve">｜初期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Azure 23,040 GB300</t>
    </r>
    <r>
      <rPr>
        <sz val="11"/>
        <color theme="1"/>
        <rFont val="Noto Sans CJK SC"/>
        <family val="2"/>
      </rPr>
      <t xml:space="preserve">）｜規劃</t>
    </r>
  </si>
  <si>
    <t xml:space="preserve">2025-09-16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</si>
  <si>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23,040 GB300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2025-09-16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容量口徑皆屬實。但原訂 </t>
    </r>
    <r>
      <rPr>
        <sz val="11"/>
        <color theme="1"/>
        <rFont val="Calibri"/>
        <family val="2"/>
        <charset val="1"/>
      </rPr>
      <t xml:space="preserve">2026 Q4</t>
    </r>
    <r>
      <rPr>
        <sz val="11"/>
        <color theme="1"/>
        <rFont val="Noto Sans CJK SC"/>
        <family val="2"/>
      </rPr>
      <t xml:space="preserve">、電網延遲、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退出不在此原文，列中雖註明屬媒體報導，仍無法由本來源核對。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為公司說法，合理。</t>
    </r>
  </si>
  <si>
    <t xml:space="preserve">https://www.nscale.com/press-releases/nscale-uk-ai-infrastructure-announcement</t>
  </si>
  <si>
    <t xml:space="preserve">S#95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</si>
  <si>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Loughton AI Campus</t>
    </r>
    <r>
      <rPr>
        <sz val="11"/>
        <color theme="1"/>
        <rFont val="Noto Sans CJK SC"/>
        <family val="2"/>
      </rPr>
      <t xml:space="preserve">｜擴充至 </t>
    </r>
    <r>
      <rPr>
        <sz val="11"/>
        <color theme="1"/>
        <rFont val="Calibri"/>
        <family val="2"/>
        <charset val="1"/>
      </rPr>
      <t xml:space="preserve">90MW</t>
    </r>
    <r>
      <rPr>
        <sz val="11"/>
        <color theme="1"/>
        <rFont val="Noto Sans CJK SC"/>
        <family val="2"/>
      </rPr>
      <t xml:space="preserve">｜規劃</t>
    </r>
  </si>
  <si>
    <t xml:space="preserve">90 MW</t>
  </si>
  <si>
    <t xml:space="preserve">2025-01-01</t>
  </si>
  <si>
    <r>
      <rPr>
        <sz val="11"/>
        <color theme="1"/>
        <rFont val="Calibri"/>
        <family val="2"/>
        <charset val="1"/>
      </rPr>
      <t xml:space="preserve">90MW </t>
    </r>
    <r>
      <rPr>
        <sz val="11"/>
        <color theme="1"/>
        <rFont val="Noto Sans CJK SC"/>
        <family val="2"/>
      </rPr>
      <t xml:space="preserve">與可擴充屬實。但本來源寫 </t>
    </r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上線，不是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。新聞稿日期是 </t>
    </r>
    <r>
      <rPr>
        <sz val="11"/>
        <color theme="1"/>
        <rFont val="Calibri"/>
        <family val="2"/>
        <charset val="1"/>
      </rPr>
      <t xml:space="preserve">2025-01-13</t>
    </r>
    <r>
      <rPr>
        <sz val="11"/>
        <color theme="1"/>
        <rFont val="Noto Sans CJK SC"/>
        <family val="2"/>
      </rPr>
      <t xml:space="preserve">，並非「僅知 </t>
    </r>
    <r>
      <rPr>
        <sz val="11"/>
        <color theme="1"/>
        <rFont val="Calibri"/>
        <family val="2"/>
        <charset val="1"/>
      </rPr>
      <t xml:space="preserve">2025-01</t>
    </r>
    <r>
      <rPr>
        <sz val="11"/>
        <color theme="1"/>
        <rFont val="Noto Sans CJK SC"/>
        <family val="2"/>
      </rPr>
      <t xml:space="preserve">」。</t>
    </r>
    <r>
      <rPr>
        <sz val="11"/>
        <color theme="1"/>
        <rFont val="Calibri"/>
        <family val="2"/>
        <charset val="1"/>
      </rPr>
      <t xml:space="preserve">UKPN </t>
    </r>
    <r>
      <rPr>
        <sz val="11"/>
        <color theme="1"/>
        <rFont val="Noto Sans CJK SC"/>
        <family val="2"/>
      </rPr>
      <t xml:space="preserve">延誤說法不在原文。</t>
    </r>
  </si>
  <si>
    <t xml:space="preserve">https://www.nscale.com/press-releases/ai-hyperscaler-nscale-to-invest-gbp-2-billion-in-the-uk-data-centre-industry</t>
  </si>
  <si>
    <t xml:space="preserve">S#96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</si>
  <si>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（承租；業主 </t>
    </r>
    <r>
      <rPr>
        <sz val="11"/>
        <color theme="1"/>
        <rFont val="Calibri"/>
        <family val="2"/>
        <charset val="1"/>
      </rPr>
      <t xml:space="preserve">Ionic Digital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</si>
  <si>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（承租；業主 </t>
    </r>
    <r>
      <rPr>
        <sz val="11"/>
        <color theme="1"/>
        <rFont val="Calibri"/>
        <family val="2"/>
        <charset val="1"/>
      </rPr>
      <t xml:space="preserve">Ionic Digital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Nscale–Ionic Digital Ingleside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Cedarvale </t>
    </r>
    <r>
      <rPr>
        <sz val="11"/>
        <color theme="1"/>
        <rFont val="Noto Sans CJK SC"/>
        <family val="2"/>
      </rPr>
      <t xml:space="preserve">已租 </t>
    </r>
    <r>
      <rPr>
        <sz val="11"/>
        <color theme="1"/>
        <rFont val="Calibri"/>
        <family val="2"/>
        <charset val="1"/>
      </rPr>
      <t xml:space="preserve">234 MW</t>
    </r>
    <r>
      <rPr>
        <sz val="11"/>
        <color theme="1"/>
        <rFont val="Noto Sans CJK SC"/>
        <family val="2"/>
      </rPr>
      <t xml:space="preserve">）｜上線</t>
    </r>
  </si>
  <si>
    <t xml:space="preserve">234 MW</t>
  </si>
  <si>
    <t xml:space="preserve">https://www.sec.gov/Archives/edgar/data/0002007691/000200769126000012/ioni-20260630.htm</t>
  </si>
  <si>
    <t xml:space="preserve">S#97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</si>
  <si>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（承租；業主 </t>
    </r>
    <r>
      <rPr>
        <sz val="11"/>
        <color theme="1"/>
        <rFont val="Calibri"/>
        <family val="2"/>
        <charset val="1"/>
      </rPr>
      <t xml:space="preserve">Ionic Digital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Nscale–Ionic Digital Ingleside Campus</t>
    </r>
    <r>
      <rPr>
        <sz val="11"/>
        <color theme="1"/>
        <rFont val="Noto Sans CJK SC"/>
        <family val="2"/>
      </rPr>
      <t xml:space="preserve">｜追加 </t>
    </r>
    <r>
      <rPr>
        <sz val="11"/>
        <color theme="1"/>
        <rFont val="Calibri"/>
        <family val="2"/>
        <charset val="1"/>
      </rPr>
      <t xml:space="preserve">89 MW</t>
    </r>
    <r>
      <rPr>
        <sz val="11"/>
        <color theme="1"/>
        <rFont val="Noto Sans CJK SC"/>
        <family val="2"/>
      </rPr>
      <t xml:space="preserve">（租約修訂）｜簽約</t>
    </r>
  </si>
  <si>
    <t xml:space="preserve">89 MW</t>
  </si>
  <si>
    <t xml:space="preserve">S#98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</si>
  <si>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Nscale–Ionic Digital Ingleside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選擇權）｜規劃</t>
    </r>
  </si>
  <si>
    <r>
      <rPr>
        <sz val="11"/>
        <color theme="1"/>
        <rFont val="Calibri"/>
        <family val="2"/>
        <charset val="1"/>
      </rPr>
      <t xml:space="preserve">700MW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年底、日期皆屬實。但 </t>
    </r>
    <r>
      <rPr>
        <sz val="11"/>
        <color theme="1"/>
        <rFont val="Calibri"/>
        <family val="2"/>
        <charset val="1"/>
      </rPr>
      <t xml:space="preserve">Ionic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234→700MW </t>
    </r>
    <r>
      <rPr>
        <sz val="11"/>
        <color theme="1"/>
        <rFont val="Noto Sans CJK SC"/>
        <family val="2"/>
      </rPr>
      <t xml:space="preserve">說法不在此原文，屬他處引述。公司本人新聞稿標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稍偏，不影響數值。</t>
    </r>
  </si>
  <si>
    <t xml:space="preserve">https://www.nscale.com/press-releases/nscale-microsoft-2025</t>
  </si>
  <si>
    <t xml:space="preserve">S#99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</si>
  <si>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Nscale–Ionic Digital Ingleside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</si>
  <si>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1200MW</t>
    </r>
    <r>
      <rPr>
        <sz val="11"/>
        <color theme="1"/>
        <rFont val="Noto Sans CJK SC"/>
        <family val="2"/>
      </rPr>
      <t xml:space="preserve">、日期 </t>
    </r>
    <r>
      <rPr>
        <sz val="11"/>
        <color theme="1"/>
        <rFont val="Calibri"/>
        <family val="2"/>
        <charset val="1"/>
      </rPr>
      <t xml:space="preserve">2025-10-15 </t>
    </r>
    <r>
      <rPr>
        <sz val="11"/>
        <color theme="1"/>
        <rFont val="Noto Sans CJK SC"/>
        <family val="2"/>
      </rPr>
      <t xml:space="preserve">屬實；未揭露上線時間與口徑相符；「遠期目標」為合理註記。</t>
    </r>
  </si>
  <si>
    <t xml:space="preserve">S#100</t>
  </si>
  <si>
    <t xml:space="preserve">Start Campus</t>
  </si>
  <si>
    <r>
      <rPr>
        <sz val="11"/>
        <color theme="1"/>
        <rFont val="Calibri"/>
        <family val="2"/>
        <charset val="1"/>
      </rPr>
      <t xml:space="preserve">Start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Start Campus SINES Data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</si>
  <si>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2026-10-13</t>
  </si>
  <si>
    <r>
      <rPr>
        <sz val="11"/>
        <color theme="1"/>
        <rFont val="Calibri"/>
        <family val="2"/>
        <charset val="1"/>
      </rPr>
      <t xml:space="preserve">1.2GW </t>
    </r>
    <r>
      <rPr>
        <sz val="11"/>
        <color theme="1"/>
        <rFont val="Noto Sans CJK SC"/>
        <family val="2"/>
      </rPr>
      <t xml:space="preserve">與「未說明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／設施」口徑屬實，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為利害關係人也合理。但頁面沒有日期（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為推估）、沒有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完工，也沒有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；這些來自其他來源，原文找不到。</t>
    </r>
  </si>
  <si>
    <t xml:space="preserve">https://www.startcampus.pt/sines</t>
  </si>
  <si>
    <t xml:space="preserve">S#101</t>
  </si>
  <si>
    <r>
      <rPr>
        <sz val="11"/>
        <color theme="1"/>
        <rFont val="Calibri"/>
        <family val="2"/>
        <charset val="1"/>
      </rPr>
      <t xml:space="preserve">Start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Start Campus SINES Data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SIN01</t>
    </r>
    <r>
      <rPr>
        <sz val="11"/>
        <color theme="1"/>
        <rFont val="Noto Sans CJK SC"/>
        <family val="2"/>
      </rPr>
      <t xml:space="preserve">｜上線</t>
    </r>
  </si>
  <si>
    <t xml:space="preserve">37.5 MW</t>
  </si>
  <si>
    <r>
      <rPr>
        <sz val="11"/>
        <color theme="1"/>
        <rFont val="Noto Sans CJK SC"/>
        <family val="2"/>
      </rPr>
      <t xml:space="preserve">官網確實寫 </t>
    </r>
    <r>
      <rPr>
        <sz val="11"/>
        <color theme="1"/>
        <rFont val="Calibri"/>
        <family val="2"/>
        <charset val="1"/>
      </rPr>
      <t xml:space="preserve">37.5MW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SIN01 </t>
    </r>
    <r>
      <rPr>
        <sz val="11"/>
        <color theme="1"/>
        <rFont val="Noto Sans CJK SC"/>
        <family val="2"/>
      </rPr>
      <t xml:space="preserve">已上線、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逾</t>
    </r>
    <r>
      <rPr>
        <sz val="11"/>
        <color theme="1"/>
        <rFont val="Calibri"/>
        <family val="2"/>
        <charset val="1"/>
      </rPr>
      <t xml:space="preserve">12,600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Blackwell Ultra</t>
    </r>
    <r>
      <rPr>
        <sz val="11"/>
        <color theme="1"/>
        <rFont val="Noto Sans CJK SC"/>
        <family val="2"/>
      </rPr>
      <t xml:space="preserve">，與列相符。但頁面已列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新聞，</t>
    </r>
    <r>
      <rPr>
        <sz val="11"/>
        <color theme="1"/>
        <rFont val="Calibri"/>
        <family val="2"/>
        <charset val="1"/>
      </rPr>
      <t xml:space="preserve">as_of 2026-10-13 </t>
    </r>
    <r>
      <rPr>
        <sz val="11"/>
        <color theme="1"/>
        <rFont val="Noto Sans CJK SC"/>
        <family val="2"/>
      </rPr>
      <t xml:space="preserve">有出入。其他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數字與預期上線時點非出自本頁。</t>
    </r>
  </si>
  <si>
    <t xml:space="preserve">https://www.startcampus.pt/</t>
  </si>
  <si>
    <t xml:space="preserve">S#102</t>
  </si>
  <si>
    <r>
      <rPr>
        <sz val="11"/>
        <color theme="1"/>
        <rFont val="Calibri"/>
        <family val="2"/>
        <charset val="1"/>
      </rPr>
      <t xml:space="preserve">Start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Start Campus SINES Data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SIN02</t>
    </r>
    <r>
      <rPr>
        <sz val="11"/>
        <color theme="1"/>
        <rFont val="Noto Sans CJK SC"/>
        <family val="2"/>
      </rPr>
      <t xml:space="preserve">｜在建</t>
    </r>
  </si>
  <si>
    <t xml:space="preserve">2026-05-05</t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</si>
  <si>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、€</t>
    </r>
    <r>
      <rPr>
        <sz val="11"/>
        <color theme="1"/>
        <rFont val="Calibri"/>
        <family val="2"/>
        <charset val="1"/>
      </rPr>
      <t xml:space="preserve">465M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年底部署屬實。但原文未稱「在建」，來源是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報導而非公司本人。</t>
    </r>
    <r>
      <rPr>
        <sz val="11"/>
        <color theme="1"/>
        <rFont val="Calibri"/>
        <family val="2"/>
        <charset val="1"/>
      </rPr>
      <t xml:space="preserve">Dunn 180MW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Capacity </t>
    </r>
    <r>
      <rPr>
        <sz val="11"/>
        <color theme="1"/>
        <rFont val="Noto Sans CJK SC"/>
        <family val="2"/>
      </rPr>
      <t xml:space="preserve">訪談與延遲說明皆不在此文。</t>
    </r>
  </si>
  <si>
    <t xml:space="preserve">https://www.datacenterdynamics.com/en/news/nscale-to-deploy-66000-rubin-gpus-for-microsoft-in-portugal/</t>
  </si>
  <si>
    <t xml:space="preserve">S#103</t>
  </si>
  <si>
    <r>
      <rPr>
        <sz val="11"/>
        <color theme="1"/>
        <rFont val="Calibri"/>
        <family val="2"/>
        <charset val="1"/>
      </rPr>
      <t xml:space="preserve">Start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Start Campus SINES Data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SIN03–SIN06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</si>
  <si>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各棟 </t>
    </r>
    <r>
      <rPr>
        <sz val="11"/>
        <color theme="1"/>
        <rFont val="Calibri"/>
        <family val="2"/>
        <charset val="1"/>
      </rPr>
      <t xml:space="preserve">180–240MW </t>
    </r>
    <r>
      <rPr>
        <sz val="11"/>
        <color theme="1"/>
        <rFont val="Noto Sans CJK SC"/>
        <family val="2"/>
      </rPr>
      <t xml:space="preserve">屬實，原文也未給個別數字。頁面沒有「</t>
    </r>
    <r>
      <rPr>
        <sz val="11"/>
        <color theme="1"/>
        <rFont val="Calibri"/>
        <family val="2"/>
        <charset val="1"/>
      </rPr>
      <t xml:space="preserve">126</t>
    </r>
    <r>
      <rPr>
        <sz val="11"/>
        <color theme="1"/>
        <rFont val="Noto Sans CJK SC"/>
        <family val="2"/>
      </rPr>
      <t xml:space="preserve">天前」或日期，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無從核對。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只對應 </t>
    </r>
    <r>
      <rPr>
        <sz val="11"/>
        <color theme="1"/>
        <rFont val="Calibri"/>
        <family val="2"/>
        <charset val="1"/>
      </rPr>
      <t xml:space="preserve">GDP </t>
    </r>
    <r>
      <rPr>
        <sz val="11"/>
        <color theme="1"/>
        <rFont val="Noto Sans CJK SC"/>
        <family val="2"/>
      </rPr>
      <t xml:space="preserve">貢獻與六棟 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，未明說上線年。原文未出現 </t>
    </r>
    <r>
      <rPr>
        <sz val="11"/>
        <color theme="1"/>
        <rFont val="Calibri"/>
        <family val="2"/>
        <charset val="1"/>
      </rPr>
      <t xml:space="preserve">SIN03–06 </t>
    </r>
    <r>
      <rPr>
        <sz val="11"/>
        <color theme="1"/>
        <rFont val="Noto Sans CJK SC"/>
        <family val="2"/>
      </rPr>
      <t xml:space="preserve">編號。</t>
    </r>
  </si>
  <si>
    <t xml:space="preserve">https://www.jacobs.com/projects/sines-dc-campus</t>
  </si>
  <si>
    <t xml:space="preserve">S#104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</si>
  <si>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Aker–Nscale JV </t>
    </r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，由 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單獨管理）</t>
    </r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</si>
  <si>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Aker–Nscale JV </t>
    </r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，由 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單獨管理）｜</t>
    </r>
    <r>
      <rPr>
        <sz val="11"/>
        <color theme="1"/>
        <rFont val="Calibri"/>
        <family val="2"/>
        <charset val="1"/>
      </rPr>
      <t xml:space="preserve">Nscale–Aker Narvik Campus (ex-Stargate Norway)</t>
    </r>
    <r>
      <rPr>
        <sz val="11"/>
        <color theme="1"/>
        <rFont val="Noto Sans CJK SC"/>
        <family val="2"/>
      </rPr>
      <t xml:space="preserve">｜全園區（初期 </t>
    </r>
    <r>
      <rPr>
        <sz val="11"/>
        <color theme="1"/>
        <rFont val="Calibri"/>
        <family val="2"/>
        <charset val="1"/>
      </rPr>
      <t xml:space="preserve">230MW</t>
    </r>
    <r>
      <rPr>
        <sz val="11"/>
        <color theme="1"/>
        <rFont val="Noto Sans CJK SC"/>
        <family val="2"/>
      </rPr>
      <t xml:space="preserve">）｜在建</t>
    </r>
  </si>
  <si>
    <t xml:space="preserve">230 MW</t>
  </si>
  <si>
    <t xml:space="preserve">2026-04-14</t>
  </si>
  <si>
    <r>
      <rPr>
        <sz val="11"/>
        <color theme="1"/>
        <rFont val="Calibri"/>
        <family val="2"/>
        <charset val="1"/>
      </rPr>
      <t xml:space="preserve">230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、由 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單獨管理皆屬實。但原文只說園區 </t>
    </r>
    <r>
      <rPr>
        <sz val="11"/>
        <color theme="1"/>
        <rFont val="Calibri"/>
        <family val="2"/>
        <charset val="1"/>
      </rPr>
      <t xml:space="preserve">230 MW</t>
    </r>
    <r>
      <rPr>
        <sz val="11"/>
        <color theme="1"/>
        <rFont val="Noto Sans CJK SC"/>
        <family val="2"/>
      </rPr>
      <t xml:space="preserve">，沒有「在建」或「初期」。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Aker </t>
    </r>
    <r>
      <rPr>
        <sz val="11"/>
        <color theme="1"/>
        <rFont val="Noto Sans CJK SC"/>
        <family val="2"/>
      </rPr>
      <t xml:space="preserve">簡報、</t>
    </r>
    <r>
      <rPr>
        <sz val="11"/>
        <color theme="1"/>
        <rFont val="Calibri"/>
        <family val="2"/>
        <charset val="1"/>
      </rPr>
      <t xml:space="preserve">Vattenfall PPA </t>
    </r>
    <r>
      <rPr>
        <sz val="11"/>
        <color theme="1"/>
        <rFont val="Noto Sans CJK SC"/>
        <family val="2"/>
      </rPr>
      <t xml:space="preserve">與延遲說法也不在此來源。</t>
    </r>
  </si>
  <si>
    <t xml:space="preserve">https://www.nscale.com/press-releases/nscale-microsoft-norway</t>
  </si>
  <si>
    <t xml:space="preserve">S#105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</si>
  <si>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Nscale–Aker Narvik Campus (ex-Stargate Norway)</t>
    </r>
    <r>
      <rPr>
        <sz val="11"/>
        <color theme="1"/>
        <rFont val="Noto Sans CJK SC"/>
        <family val="2"/>
      </rPr>
      <t xml:space="preserve">｜擴建（</t>
    </r>
    <r>
      <rPr>
        <sz val="11"/>
        <color theme="1"/>
        <rFont val="Calibri"/>
        <family val="2"/>
        <charset val="1"/>
      </rPr>
      <t xml:space="preserve">+290MW</t>
    </r>
    <r>
      <rPr>
        <sz val="11"/>
        <color theme="1"/>
        <rFont val="Noto Sans CJK SC"/>
        <family val="2"/>
      </rPr>
      <t xml:space="preserve">）｜規劃</t>
    </r>
  </si>
  <si>
    <t xml:space="preserve">290 MW</t>
  </si>
  <si>
    <t xml:space="preserve">2026-05-08</t>
  </si>
  <si>
    <r>
      <rPr>
        <sz val="11"/>
        <color theme="1"/>
        <rFont val="Calibri"/>
        <family val="2"/>
        <charset val="1"/>
      </rPr>
      <t xml:space="preserve">290MW</t>
    </r>
    <r>
      <rPr>
        <sz val="11"/>
        <color theme="1"/>
        <rFont val="Noto Sans CJK SC"/>
        <family val="2"/>
      </rPr>
      <t xml:space="preserve">擴建、</t>
    </r>
    <r>
      <rPr>
        <sz val="11"/>
        <color theme="1"/>
        <rFont val="Calibri"/>
        <family val="2"/>
        <charset val="1"/>
      </rPr>
      <t xml:space="preserve">230MW</t>
    </r>
    <r>
      <rPr>
        <sz val="11"/>
        <color theme="1"/>
        <rFont val="Noto Sans CJK SC"/>
        <family val="2"/>
      </rPr>
      <t xml:space="preserve">已簽約在建屬實；惟原文僅稱「</t>
    </r>
    <r>
      <rPr>
        <sz val="11"/>
        <color theme="1"/>
        <rFont val="Calibri"/>
        <family val="2"/>
        <charset val="1"/>
      </rPr>
      <t xml:space="preserve">expansion planned</t>
    </r>
    <r>
      <rPr>
        <sz val="11"/>
        <color theme="1"/>
        <rFont val="Noto Sans CJK SC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in queue</t>
    </r>
    <r>
      <rPr>
        <sz val="11"/>
        <color theme="1"/>
        <rFont val="Noto Sans CJK SC"/>
        <family val="2"/>
      </rPr>
      <t xml:space="preserve">」，未見</t>
    </r>
    <r>
      <rPr>
        <sz val="11"/>
        <color theme="1"/>
        <rFont val="Calibri"/>
        <family val="2"/>
        <charset val="1"/>
      </rPr>
      <t xml:space="preserve">520MW</t>
    </r>
    <r>
      <rPr>
        <sz val="11"/>
        <color theme="1"/>
        <rFont val="Noto Sans CJK SC"/>
        <family val="2"/>
      </rPr>
      <t xml:space="preserve">總目標；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與標題（公司本人）亦偏籠統，單位與時點可接受。</t>
    </r>
  </si>
  <si>
    <t xml:space="preserve">https://live.euronext.com/sites/default/files/company_press_releases/attachments_oslo/2026/05/08/672820_Aker%20ASA%201Q%202026%20Presentation.pdf?VersionId=IYUPz4vHILE18dPzgEYy76We9yZVuKug</t>
  </si>
  <si>
    <t xml:space="preserve">S#106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</si>
  <si>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UK, Cobalt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UK </t>
    </r>
    <r>
      <rPr>
        <sz val="11"/>
        <color theme="1"/>
        <rFont val="Noto Sans CJK SC"/>
        <family val="2"/>
      </rPr>
      <t xml:space="preserve">第一期（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8,000 GPU</t>
    </r>
    <r>
      <rPr>
        <sz val="11"/>
        <color theme="1"/>
        <rFont val="Noto Sans CJK SC"/>
        <family val="2"/>
      </rPr>
      <t xml:space="preserve">）｜規劃</t>
    </r>
  </si>
  <si>
    <t xml:space="preserve">2025-09-17</t>
  </si>
  <si>
    <r>
      <rPr>
        <sz val="11"/>
        <color theme="1"/>
        <rFont val="Calibri"/>
        <family val="2"/>
        <charset val="1"/>
      </rPr>
      <t xml:space="preserve">8,000/31,000 GPU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Cobalt Park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2025-09-17 </t>
    </r>
    <r>
      <rPr>
        <sz val="11"/>
        <color theme="1"/>
        <rFont val="Noto Sans CJK SC"/>
        <family val="2"/>
      </rPr>
      <t xml:space="preserve">屬實，原文無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。但原文沒有「</t>
    </r>
    <r>
      <rPr>
        <sz val="11"/>
        <color theme="1"/>
        <rFont val="Calibri"/>
        <family val="2"/>
        <charset val="1"/>
      </rPr>
      <t xml:space="preserve">2026 Q1</t>
    </r>
    <r>
      <rPr>
        <sz val="11"/>
        <color theme="1"/>
        <rFont val="Noto Sans CJK SC"/>
        <family val="2"/>
      </rPr>
      <t xml:space="preserve">」，暫停與延遲說明也不在此來源（欄位自註來自他處）。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利害關係人合理，但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為記者轉述。</t>
    </r>
  </si>
  <si>
    <t xml:space="preserve">https://www.datacenterdynamics.com/en/news/openai-announces-stargate-uk-with-up-to-8000-gpus-at-nscale-data-centers/</t>
  </si>
  <si>
    <t xml:space="preserve">S#107</t>
  </si>
  <si>
    <t xml:space="preserve">未揭露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</si>
  <si>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Stargate UK, Cobalt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North East AI Growth Zone </t>
    </r>
    <r>
      <rPr>
        <sz val="11"/>
        <color theme="1"/>
        <rFont val="Noto Sans CJK SC"/>
        <family val="2"/>
      </rPr>
      <t xml:space="preserve">整體（含 </t>
    </r>
    <r>
      <rPr>
        <sz val="11"/>
        <color theme="1"/>
        <rFont val="Calibri"/>
        <family val="2"/>
        <charset val="1"/>
      </rPr>
      <t xml:space="preserve">Blyth</t>
    </r>
    <r>
      <rPr>
        <sz val="11"/>
        <color theme="1"/>
        <rFont val="Noto Sans CJK SC"/>
        <family val="2"/>
      </rPr>
      <t xml:space="preserve">，非僅 </t>
    </r>
    <r>
      <rPr>
        <sz val="11"/>
        <color theme="1"/>
        <rFont val="Calibri"/>
        <family val="2"/>
        <charset val="1"/>
      </rPr>
      <t xml:space="preserve">Cobalt Park</t>
    </r>
    <r>
      <rPr>
        <sz val="11"/>
        <color theme="1"/>
        <rFont val="Noto Sans CJK SC"/>
        <family val="2"/>
      </rPr>
      <t xml:space="preserve">）｜規劃</t>
    </r>
  </si>
  <si>
    <t xml:space="preserve">1100 MW</t>
  </si>
  <si>
    <r>
      <rPr>
        <sz val="11"/>
        <color theme="1"/>
        <rFont val="Noto Sans CJK SC"/>
        <family val="2"/>
      </rPr>
      <t xml:space="preserve">整區含 </t>
    </r>
    <r>
      <rPr>
        <sz val="11"/>
        <color theme="1"/>
        <rFont val="Calibri"/>
        <family val="2"/>
        <charset val="1"/>
      </rPr>
      <t xml:space="preserve">Blyth </t>
    </r>
    <r>
      <rPr>
        <sz val="11"/>
        <color theme="1"/>
        <rFont val="Noto Sans CJK SC"/>
        <family val="2"/>
      </rPr>
      <t xml:space="preserve">新資料中心，</t>
    </r>
    <r>
      <rPr>
        <sz val="11"/>
        <color theme="1"/>
        <rFont val="Calibri"/>
        <family val="2"/>
        <charset val="1"/>
      </rPr>
      <t xml:space="preserve">1.1GW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年內與原文一致。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為推算，口徑未說明，範圍標註正確。發布日 </t>
    </r>
    <r>
      <rPr>
        <sz val="11"/>
        <color theme="1"/>
        <rFont val="Calibri"/>
        <family val="2"/>
        <charset val="1"/>
      </rPr>
      <t xml:space="preserve">9/16</t>
    </r>
    <r>
      <rPr>
        <sz val="11"/>
        <color theme="1"/>
        <rFont val="Noto Sans CJK SC"/>
        <family val="2"/>
      </rPr>
      <t xml:space="preserve">、公告日 </t>
    </r>
    <r>
      <rPr>
        <sz val="11"/>
        <color theme="1"/>
        <rFont val="Calibri"/>
        <family val="2"/>
        <charset val="1"/>
      </rPr>
      <t xml:space="preserve">9/17</t>
    </r>
    <r>
      <rPr>
        <sz val="11"/>
        <color theme="1"/>
        <rFont val="Noto Sans CJK SC"/>
        <family val="2"/>
      </rPr>
      <t xml:space="preserve">，差異不影響數值。</t>
    </r>
  </si>
  <si>
    <t xml:space="preserve">https://www.ncl.ac.uk/press/articles/archive/2025/09/aigrowthzone/</t>
  </si>
  <si>
    <t xml:space="preserve">S#108</t>
  </si>
  <si>
    <t xml:space="preserve">Stellium Data Centers</t>
  </si>
  <si>
    <r>
      <rPr>
        <sz val="11"/>
        <color theme="1"/>
        <rFont val="Calibri"/>
        <family val="2"/>
        <charset val="1"/>
      </rPr>
      <t xml:space="preserve">Stellium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UK, Cobalt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Cobalt Park </t>
    </r>
    <r>
      <rPr>
        <sz val="11"/>
        <color theme="1"/>
        <rFont val="Noto Sans CJK SC"/>
        <family val="2"/>
      </rPr>
      <t xml:space="preserve">既有 </t>
    </r>
    <r>
      <rPr>
        <sz val="11"/>
        <color theme="1"/>
        <rFont val="Calibri"/>
        <family val="2"/>
        <charset val="1"/>
      </rPr>
      <t xml:space="preserve">Stellium </t>
    </r>
    <r>
      <rPr>
        <sz val="11"/>
        <color theme="1"/>
        <rFont val="Noto Sans CJK SC"/>
        <family val="2"/>
      </rPr>
      <t xml:space="preserve">託管資料中心｜上線</t>
    </r>
  </si>
  <si>
    <t xml:space="preserve">16 MW</t>
  </si>
  <si>
    <r>
      <rPr>
        <sz val="11"/>
        <color theme="1"/>
        <rFont val="Noto Sans CJK SC"/>
        <family val="2"/>
      </rPr>
      <t xml:space="preserve">四個 </t>
    </r>
    <r>
      <rPr>
        <sz val="11"/>
        <color theme="1"/>
        <rFont val="Calibri"/>
        <family val="2"/>
        <charset val="1"/>
      </rPr>
      <t xml:space="preserve">4MW </t>
    </r>
    <r>
      <rPr>
        <sz val="11"/>
        <color theme="1"/>
        <rFont val="Noto Sans CJK SC"/>
        <family val="2"/>
      </rPr>
      <t xml:space="preserve">機房、</t>
    </r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180MW </t>
    </r>
    <r>
      <rPr>
        <sz val="11"/>
        <color theme="1"/>
        <rFont val="Noto Sans CJK SC"/>
        <family val="2"/>
      </rPr>
      <t xml:space="preserve">皆有原文支持，</t>
    </r>
    <r>
      <rPr>
        <sz val="11"/>
        <color theme="1"/>
        <rFont val="Calibri"/>
        <family val="2"/>
        <charset val="1"/>
      </rPr>
      <t xml:space="preserve">16MW </t>
    </r>
    <r>
      <rPr>
        <sz val="11"/>
        <color theme="1"/>
        <rFont val="Noto Sans CJK SC"/>
        <family val="2"/>
      </rPr>
      <t xml:space="preserve">為合理推算，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正確。但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稱「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引述營運者資訊」，原文僅為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自述，未註明引自營運者。</t>
    </r>
    <r>
      <rPr>
        <sz val="11"/>
        <color theme="1"/>
        <rFont val="Calibri"/>
        <family val="2"/>
        <charset val="1"/>
      </rPr>
      <t xml:space="preserve">Computer Weekly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35MW </t>
    </r>
    <r>
      <rPr>
        <sz val="11"/>
        <color theme="1"/>
        <rFont val="Noto Sans CJK SC"/>
        <family val="2"/>
      </rPr>
      <t xml:space="preserve">不在此文，無法在此核對。</t>
    </r>
  </si>
  <si>
    <t xml:space="preserve">https://www.datacenterdynamics.com/en/news/us-uk-tech-deal-agreed-as-ai-growth-zone-announced-for-north-east-of-england/</t>
  </si>
  <si>
    <t xml:space="preserve">S#109</t>
  </si>
  <si>
    <t xml:space="preserve">TeraWulf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</si>
  <si>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｜全園區｜簽約</t>
    </r>
  </si>
  <si>
    <t xml:space="preserve">438 MW</t>
  </si>
  <si>
    <t xml:space="preserve">https://www.sec.gov/Archives/edgar/data/0001083301/000108330126000162/terawulfq22026investorpr.htm</t>
  </si>
  <si>
    <t xml:space="preserve">S#110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</si>
  <si>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WULF Den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CB-1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CB-2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Core42</t>
    </r>
    <r>
      <rPr>
        <sz val="11"/>
        <color theme="1"/>
        <rFont val="Noto Sans CJK SC"/>
        <family val="2"/>
      </rPr>
      <t xml:space="preserve">）｜上線</t>
    </r>
  </si>
  <si>
    <t xml:space="preserve">60 MW</t>
  </si>
  <si>
    <r>
      <rPr>
        <sz val="11"/>
        <color theme="1"/>
        <rFont val="Calibri"/>
        <family val="2"/>
        <charset val="1"/>
      </rPr>
      <t xml:space="preserve">60 MW IT</t>
    </r>
    <r>
      <rPr>
        <sz val="11"/>
        <color theme="1"/>
        <rFont val="Noto Sans CJK SC"/>
        <family val="2"/>
      </rPr>
      <t xml:space="preserve">、截至</t>
    </r>
    <r>
      <rPr>
        <sz val="11"/>
        <color theme="1"/>
        <rFont val="Calibri"/>
        <family val="2"/>
        <charset val="1"/>
      </rPr>
      <t xml:space="preserve">2026-03-31 </t>
    </r>
    <r>
      <rPr>
        <sz val="11"/>
        <color theme="1"/>
        <rFont val="Noto Sans CJK SC"/>
        <family val="2"/>
      </rPr>
      <t xml:space="preserve">屬實。但 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填的是申報日 </t>
    </r>
    <r>
      <rPr>
        <sz val="11"/>
        <color theme="1"/>
        <rFont val="Calibri"/>
        <family val="2"/>
        <charset val="1"/>
      </rPr>
      <t xml:space="preserve">05-08</t>
    </r>
    <r>
      <rPr>
        <sz val="11"/>
        <color theme="1"/>
        <rFont val="Noto Sans CJK SC"/>
        <family val="2"/>
      </rPr>
      <t xml:space="preserve">，而非資料時點。「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簡報」</t>
    </r>
    <r>
      <rPr>
        <sz val="11"/>
        <color theme="1"/>
        <rFont val="Calibri"/>
        <family val="2"/>
        <charset val="1"/>
      </rPr>
      <t xml:space="preserve">2+16+21+21 </t>
    </r>
    <r>
      <rPr>
        <sz val="11"/>
        <color theme="1"/>
        <rFont val="Noto Sans CJK SC"/>
        <family val="2"/>
      </rPr>
      <t xml:space="preserve">分項在原文找不到。延遲說明為第三方，非本文。</t>
    </r>
  </si>
  <si>
    <t xml:space="preserve">https://investors.terawulf.com/sec-filings/all-sec-filings/content/0001083301-26-000092/wulf-20260331.htm</t>
  </si>
  <si>
    <t xml:space="preserve">S#111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</si>
  <si>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CB-3</t>
    </r>
    <r>
      <rPr>
        <sz val="11"/>
        <color theme="1"/>
        <rFont val="Noto Sans CJK SC"/>
        <family val="2"/>
      </rPr>
      <t xml:space="preserve">｜上線</t>
    </r>
  </si>
  <si>
    <t xml:space="preserve">42 MW</t>
  </si>
  <si>
    <t xml:space="preserve">https://www.sec.gov/Archives/edgar/data/0001083301/000108330126000162/a_wulfearningsreleaseq22026.htm</t>
  </si>
  <si>
    <t xml:space="preserve">S#112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</si>
  <si>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CB-4</t>
    </r>
    <r>
      <rPr>
        <sz val="11"/>
        <color theme="1"/>
        <rFont val="Noto Sans CJK SC"/>
        <family val="2"/>
      </rPr>
      <t xml:space="preserve">｜在建</t>
    </r>
  </si>
  <si>
    <t xml:space="preserve">168 MW</t>
  </si>
  <si>
    <t xml:space="preserve">S#113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</si>
  <si>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CB-5</t>
    </r>
    <r>
      <rPr>
        <sz val="11"/>
        <color theme="1"/>
        <rFont val="Noto Sans CJK SC"/>
        <family val="2"/>
      </rPr>
      <t xml:space="preserve">｜在建</t>
    </r>
  </si>
  <si>
    <t xml:space="preserve">S#114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</si>
  <si>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｜擴建（未簽約）｜規劃</t>
    </r>
  </si>
  <si>
    <t xml:space="preserve">162 MW</t>
  </si>
  <si>
    <t xml:space="preserve">S#115</t>
  </si>
  <si>
    <t xml:space="preserve">Hut 8</t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</si>
  <si>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Hut 8 River Bend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租約首期）｜在建</t>
    </r>
  </si>
  <si>
    <r>
      <rPr>
        <sz val="11"/>
        <color theme="1"/>
        <rFont val="Calibri"/>
        <family val="2"/>
        <charset val="1"/>
      </rPr>
      <t xml:space="preserve">245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擔保、</t>
    </r>
    <r>
      <rPr>
        <sz val="11"/>
        <color theme="1"/>
        <rFont val="Calibri"/>
        <family val="2"/>
        <charset val="1"/>
      </rPr>
      <t xml:space="preserve">330 MW </t>
    </r>
    <r>
      <rPr>
        <sz val="11"/>
        <color theme="1"/>
        <rFont val="Noto Sans CJK SC"/>
        <family val="2"/>
      </rPr>
      <t xml:space="preserve">皆屬實。但內文找不到「</t>
    </r>
    <r>
      <rPr>
        <sz val="11"/>
        <color theme="1"/>
        <rFont val="Calibri"/>
        <family val="2"/>
        <charset val="1"/>
      </rPr>
      <t xml:space="preserve">2026-10-05 </t>
    </r>
    <r>
      <rPr>
        <sz val="11"/>
        <color theme="1"/>
        <rFont val="Noto Sans CJK SC"/>
        <family val="2"/>
      </rPr>
      <t xml:space="preserve">動土」，也沒有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為預期租戶的說法，僅標題提到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。</t>
    </r>
  </si>
  <si>
    <t xml:space="preserve">https://canada.hut8.com/resources/press-releases/hut-8-signs-15-year-245-mw-ai-data-center-lease-at-river-bend-campus-with-total-contract-value-of-usd7-0-billion</t>
  </si>
  <si>
    <t xml:space="preserve">S#116</t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</si>
  <si>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Hut 8 River Bend Campus</t>
    </r>
    <r>
      <rPr>
        <sz val="11"/>
        <color theme="1"/>
        <rFont val="Noto Sans CJK SC"/>
        <family val="2"/>
      </rPr>
      <t xml:space="preserve">｜後續擴建（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優先要約權 </t>
    </r>
    <r>
      <rPr>
        <sz val="11"/>
        <color theme="1"/>
        <rFont val="Calibri"/>
        <family val="2"/>
        <charset val="1"/>
      </rPr>
      <t xml:space="preserve">ROFO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</si>
  <si>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1,000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ROFO</t>
    </r>
    <r>
      <rPr>
        <sz val="11"/>
        <color theme="1"/>
        <rFont val="Noto Sans CJK SC"/>
        <family val="2"/>
      </rPr>
      <t xml:space="preserve">、須視電力擴充、無時程與融資，皆與原文一致。但內文未提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user </t>
    </r>
    <r>
      <rPr>
        <sz val="11"/>
        <color theme="1"/>
        <rFont val="Noto Sans CJK SC"/>
        <family val="2"/>
      </rPr>
      <t xml:space="preserve">欄的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僅見於標題。</t>
    </r>
  </si>
  <si>
    <t xml:space="preserve">S#117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</si>
  <si>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Raylan Data LLC </t>
    </r>
    <r>
      <rPr>
        <sz val="11"/>
        <color theme="1"/>
        <rFont val="Noto Sans CJK SC"/>
        <family val="2"/>
      </rPr>
      <t xml:space="preserve">為出租方）</t>
    </r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</si>
  <si>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Raylan Data LLC </t>
    </r>
    <r>
      <rPr>
        <sz val="11"/>
        <color theme="1"/>
        <rFont val="Noto Sans CJK SC"/>
        <family val="2"/>
      </rPr>
      <t xml:space="preserve">為出租方）｜</t>
    </r>
    <r>
      <rPr>
        <sz val="11"/>
        <color theme="1"/>
        <rFont val="Calibri"/>
        <family val="2"/>
        <charset val="1"/>
      </rPr>
      <t xml:space="preserve">TeraWulf Kentucky Campus (Justified Data)</t>
    </r>
    <r>
      <rPr>
        <sz val="11"/>
        <color theme="1"/>
        <rFont val="Noto Sans CJK SC"/>
        <family val="2"/>
      </rPr>
      <t xml:space="preserve">｜全園區｜簽約</t>
    </r>
  </si>
  <si>
    <t xml:space="preserve">https://www.sec.gov/Archives/edgar/data/0001083301/000110465926080583/tm2619468d1_8k.htm</t>
  </si>
  <si>
    <t xml:space="preserve">S#118</t>
  </si>
  <si>
    <t xml:space="preserve">Riot Platforms</t>
  </si>
  <si>
    <r>
      <rPr>
        <sz val="11"/>
        <color theme="1"/>
        <rFont val="Calibri"/>
        <family val="2"/>
        <charset val="1"/>
      </rPr>
      <t xml:space="preserve">Riot Platforms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Riot Platforms Rockdale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第一階段（</t>
    </r>
    <r>
      <rPr>
        <sz val="11"/>
        <color theme="1"/>
        <rFont val="Calibri"/>
        <family val="2"/>
        <charset val="1"/>
      </rPr>
      <t xml:space="preserve">96 MW</t>
    </r>
    <r>
      <rPr>
        <sz val="11"/>
        <color theme="1"/>
        <rFont val="Noto Sans CJK SC"/>
        <family val="2"/>
      </rPr>
      <t xml:space="preserve">）｜簽約</t>
    </r>
  </si>
  <si>
    <t xml:space="preserve">96 MW</t>
  </si>
  <si>
    <t xml:space="preserve">https://www.sec.gov/Archives/edgar/data/0001167419/000110465926093406/riot-20260810xex99d2.htm</t>
  </si>
  <si>
    <t xml:space="preserve">S#119</t>
  </si>
  <si>
    <r>
      <rPr>
        <sz val="11"/>
        <color theme="1"/>
        <rFont val="Calibri"/>
        <family val="2"/>
        <charset val="1"/>
      </rPr>
      <t xml:space="preserve">Riot Platforms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Riot Platforms Rockdale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第二階段（</t>
    </r>
    <r>
      <rPr>
        <sz val="11"/>
        <color theme="1"/>
        <rFont val="Calibri"/>
        <family val="2"/>
        <charset val="1"/>
      </rPr>
      <t xml:space="preserve">95 MW</t>
    </r>
    <r>
      <rPr>
        <sz val="11"/>
        <color theme="1"/>
        <rFont val="Noto Sans CJK SC"/>
        <family val="2"/>
      </rPr>
      <t xml:space="preserve">）｜簽約</t>
    </r>
  </si>
  <si>
    <t xml:space="preserve">95 MW</t>
  </si>
  <si>
    <t xml:space="preserve">S#120</t>
  </si>
  <si>
    <r>
      <rPr>
        <sz val="11"/>
        <color theme="1"/>
        <rFont val="Calibri"/>
        <family val="2"/>
        <charset val="1"/>
      </rPr>
      <t xml:space="preserve">Riot Platforms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Riot Platforms Rockdale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初期部署（</t>
    </r>
    <r>
      <rPr>
        <sz val="11"/>
        <color theme="1"/>
        <rFont val="Calibri"/>
        <family val="2"/>
        <charset val="1"/>
      </rPr>
      <t xml:space="preserve">25 MW</t>
    </r>
    <r>
      <rPr>
        <sz val="11"/>
        <color theme="1"/>
        <rFont val="Noto Sans CJK SC"/>
        <family val="2"/>
      </rPr>
      <t xml:space="preserve">）｜上線</t>
    </r>
  </si>
  <si>
    <t xml:space="preserve">25 MW</t>
  </si>
  <si>
    <t xml:space="preserve">https://www.sec.gov/Archives/edgar/data/0001167419/000110465926093406/riot-20260810xex99d1.htm</t>
  </si>
  <si>
    <t xml:space="preserve">S#121</t>
  </si>
  <si>
    <r>
      <rPr>
        <sz val="11"/>
        <color theme="1"/>
        <rFont val="Calibri"/>
        <family val="2"/>
        <charset val="1"/>
      </rPr>
      <t xml:space="preserve">Riot Platforms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Riot Platforms Rockdale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擴充第一批（</t>
    </r>
    <r>
      <rPr>
        <sz val="11"/>
        <color theme="1"/>
        <rFont val="Calibri"/>
        <family val="2"/>
        <charset val="1"/>
      </rPr>
      <t xml:space="preserve">10 MW</t>
    </r>
    <r>
      <rPr>
        <sz val="11"/>
        <color theme="1"/>
        <rFont val="Noto Sans CJK SC"/>
        <family val="2"/>
      </rPr>
      <t xml:space="preserve">）｜在建</t>
    </r>
  </si>
  <si>
    <t xml:space="preserve">10 MW</t>
  </si>
  <si>
    <t xml:space="preserve">https://blockspace.media/insight/riot-platforms-signs-ai-lease-rockdale-2026/</t>
  </si>
  <si>
    <t xml:space="preserve">S#122</t>
  </si>
  <si>
    <r>
      <rPr>
        <sz val="11"/>
        <color theme="1"/>
        <rFont val="Calibri"/>
        <family val="2"/>
        <charset val="1"/>
      </rPr>
      <t xml:space="preserve">Riot Platforms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Riot Platforms Rockdale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擴充第二批（</t>
    </r>
    <r>
      <rPr>
        <sz val="11"/>
        <color theme="1"/>
        <rFont val="Calibri"/>
        <family val="2"/>
        <charset val="1"/>
      </rPr>
      <t xml:space="preserve">15 MW</t>
    </r>
    <r>
      <rPr>
        <sz val="11"/>
        <color theme="1"/>
        <rFont val="Noto Sans CJK SC"/>
        <family val="2"/>
      </rPr>
      <t xml:space="preserve">）｜在建</t>
    </r>
  </si>
  <si>
    <t xml:space="preserve">15 MW</t>
  </si>
  <si>
    <t xml:space="preserve">S#123</t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</si>
  <si>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（園區開發）／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（算力雲，媒體報導）</t>
    </r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</si>
  <si>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（園區開發）／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（算力雲，媒體報導）｜</t>
    </r>
    <r>
      <rPr>
        <sz val="11"/>
        <color theme="1"/>
        <rFont val="Calibri"/>
        <family val="2"/>
        <charset val="1"/>
      </rPr>
      <t xml:space="preserve">Hut 8 Beacon 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Nueces County Campus</t>
    </r>
    <r>
      <rPr>
        <sz val="11"/>
        <color theme="1"/>
        <rFont val="Noto Sans CJK SC"/>
        <family val="2"/>
      </rPr>
      <t xml:space="preserve">）｜全園區｜在建</t>
    </r>
  </si>
  <si>
    <t xml:space="preserve">2026-07-20</t>
  </si>
  <si>
    <t xml:space="preserve">https://www.sec.gov/Archives/edgar/data/1964789/000110465926084862/tm2620835d1_ex99-1.htm</t>
  </si>
  <si>
    <t xml:space="preserve">S#124</t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</si>
  <si>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（園區開發）／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（算力雲，媒體報導）｜</t>
    </r>
    <r>
      <rPr>
        <sz val="11"/>
        <color theme="1"/>
        <rFont val="Calibri"/>
        <family val="2"/>
        <charset val="1"/>
      </rPr>
      <t xml:space="preserve">Hut 8 Beacon 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Nueces County Campus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</si>
  <si>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352 MW</t>
  </si>
  <si>
    <r>
      <rPr>
        <sz val="11"/>
        <color theme="1"/>
        <rFont val="Calibri"/>
        <family val="2"/>
        <charset val="1"/>
      </rPr>
      <t xml:space="preserve">352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2026-05-06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Q3 </t>
    </r>
    <r>
      <rPr>
        <sz val="11"/>
        <color theme="1"/>
        <rFont val="Noto Sans CJK SC"/>
        <family val="2"/>
      </rPr>
      <t xml:space="preserve">交付皆屬實；原文未提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承租、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350 MW</t>
    </r>
    <r>
      <rPr>
        <sz val="11"/>
        <color theme="1"/>
        <rFont val="Noto Sans CJK SC"/>
        <family val="2"/>
      </rPr>
      <t xml:space="preserve">、分析師延期說法，租戶僅稱保密的高投資等級公司，這些屬媒體或推論，且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標註稍偏。</t>
    </r>
  </si>
  <si>
    <t xml:space="preserve">https://www.prnewswire.com/news-releases/hut-8-commercializes-first-phase-of-1-gw-beacon-point-ai-data-center-campus-with-15-year-352-mw-it-lease-with-base-term-contract-value-of-9-8-billion-302763484.html</t>
  </si>
  <si>
    <t xml:space="preserve">S#125</t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</si>
  <si>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（園區開發）／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（算力雲，媒體報導）｜</t>
    </r>
    <r>
      <rPr>
        <sz val="11"/>
        <color theme="1"/>
        <rFont val="Calibri"/>
        <family val="2"/>
        <charset val="1"/>
      </rPr>
      <t xml:space="preserve">Hut 8 Beacon 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Nueces County Campus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｜簽約</t>
    </r>
  </si>
  <si>
    <t xml:space="preserve">S#126</t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</si>
  <si>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，出租方）／</t>
    </r>
    <r>
      <rPr>
        <sz val="11"/>
        <color theme="1"/>
        <rFont val="Calibri"/>
        <family val="2"/>
        <charset val="1"/>
      </rPr>
      <t xml:space="preserve">Volta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Volta Tydal AS</t>
    </r>
    <r>
      <rPr>
        <sz val="11"/>
        <color theme="1"/>
        <rFont val="Noto Sans CJK SC"/>
        <family val="2"/>
      </rPr>
      <t xml:space="preserve">，承租方）</t>
    </r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</si>
  <si>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，出租方）／</t>
    </r>
    <r>
      <rPr>
        <sz val="11"/>
        <color theme="1"/>
        <rFont val="Calibri"/>
        <family val="2"/>
        <charset val="1"/>
      </rPr>
      <t xml:space="preserve">Volta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Volta Tydal AS</t>
    </r>
    <r>
      <rPr>
        <sz val="11"/>
        <color theme="1"/>
        <rFont val="Noto Sans CJK SC"/>
        <family val="2"/>
      </rPr>
      <t xml:space="preserve">，承租方）｜</t>
    </r>
    <r>
      <rPr>
        <sz val="11"/>
        <color theme="1"/>
        <rFont val="Calibri"/>
        <family val="2"/>
        <charset val="1"/>
      </rPr>
      <t xml:space="preserve">Volta Infra Norway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Bitdeer Tydal </t>
    </r>
    <r>
      <rPr>
        <sz val="11"/>
        <color theme="1"/>
        <rFont val="Noto Sans CJK SC"/>
        <family val="2"/>
      </rPr>
      <t xml:space="preserve">園區）｜全園區｜簽約</t>
    </r>
  </si>
  <si>
    <t xml:space="preserve">121 MW</t>
  </si>
  <si>
    <t xml:space="preserve">https://ir.bitdeer.com/news-releases/news-release-details/bitdeer-announces-47-billion-16-year-aihpc-data-center-lease</t>
  </si>
  <si>
    <t xml:space="preserve">S#127</t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</si>
  <si>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，出租方）／</t>
    </r>
    <r>
      <rPr>
        <sz val="11"/>
        <color theme="1"/>
        <rFont val="Calibri"/>
        <family val="2"/>
        <charset val="1"/>
      </rPr>
      <t xml:space="preserve">Volta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Volta Tydal AS</t>
    </r>
    <r>
      <rPr>
        <sz val="11"/>
        <color theme="1"/>
        <rFont val="Noto Sans CJK SC"/>
        <family val="2"/>
      </rPr>
      <t xml:space="preserve">，承租方）｜</t>
    </r>
    <r>
      <rPr>
        <sz val="11"/>
        <color theme="1"/>
        <rFont val="Calibri"/>
        <family val="2"/>
        <charset val="1"/>
      </rPr>
      <t xml:space="preserve">Volta Infra Norway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Bitdeer Tydal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</si>
  <si>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60.5 MW</t>
  </si>
  <si>
    <t xml:space="preserve">S#128</t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</si>
  <si>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，出租方）／</t>
    </r>
    <r>
      <rPr>
        <sz val="11"/>
        <color theme="1"/>
        <rFont val="Calibri"/>
        <family val="2"/>
        <charset val="1"/>
      </rPr>
      <t xml:space="preserve">Volta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Volta Tydal AS</t>
    </r>
    <r>
      <rPr>
        <sz val="11"/>
        <color theme="1"/>
        <rFont val="Noto Sans CJK SC"/>
        <family val="2"/>
      </rPr>
      <t xml:space="preserve">，承租方）｜</t>
    </r>
    <r>
      <rPr>
        <sz val="11"/>
        <color theme="1"/>
        <rFont val="Calibri"/>
        <family val="2"/>
        <charset val="1"/>
      </rPr>
      <t xml:space="preserve">Volta Infra Norway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Bitdeer Tydal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｜在建</t>
    </r>
  </si>
  <si>
    <t xml:space="preserve">S#129</t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</si>
  <si>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</si>
  <si>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Volta Infra Norway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Bitdeer Tydal </t>
    </r>
    <r>
      <rPr>
        <sz val="11"/>
        <color theme="1"/>
        <rFont val="Noto Sans CJK SC"/>
        <family val="2"/>
      </rPr>
      <t xml:space="preserve">園區）｜擴建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機房（租約外）｜規劃</t>
    </r>
  </si>
  <si>
    <t xml:space="preserve">47 MW</t>
  </si>
  <si>
    <t xml:space="preserve">S#130</t>
  </si>
  <si>
    <t xml:space="preserve">Nexus Data Centers</t>
  </si>
  <si>
    <r>
      <rPr>
        <sz val="11"/>
        <color theme="1"/>
        <rFont val="Calibri"/>
        <family val="2"/>
        <charset val="1"/>
      </rPr>
      <t xml:space="preserve">Nexus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Nexus Hubbard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（首期）｜在建</t>
    </r>
  </si>
  <si>
    <r>
      <rPr>
        <sz val="11"/>
        <color theme="1"/>
        <rFont val="Noto Sans CJK SC"/>
        <family val="2"/>
      </rPr>
      <t xml:space="preserve">原文日期為</t>
    </r>
    <r>
      <rPr>
        <sz val="11"/>
        <color theme="1"/>
        <rFont val="Calibri"/>
        <family val="2"/>
        <charset val="1"/>
      </rPr>
      <t xml:space="preserve">2026-03-30</t>
    </r>
    <r>
      <rPr>
        <sz val="11"/>
        <color theme="1"/>
        <rFont val="Noto Sans CJK SC"/>
        <family val="2"/>
      </rPr>
      <t xml:space="preserve">，並非</t>
    </r>
    <r>
      <rPr>
        <sz val="11"/>
        <color theme="1"/>
        <rFont val="Calibri"/>
        <family val="2"/>
        <charset val="1"/>
      </rPr>
      <t xml:space="preserve">10-06</t>
    </r>
    <r>
      <rPr>
        <sz val="11"/>
        <color theme="1"/>
        <rFont val="Noto Sans CJK SC"/>
        <family val="2"/>
      </rPr>
      <t xml:space="preserve">（「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天前」推估有誤）。原文只說目標今年提供</t>
    </r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，不是「在建」。</t>
    </r>
  </si>
  <si>
    <t xml:space="preserve">S#131</t>
  </si>
  <si>
    <r>
      <rPr>
        <sz val="11"/>
        <color theme="1"/>
        <rFont val="Calibri"/>
        <family val="2"/>
        <charset val="1"/>
      </rPr>
      <t xml:space="preserve">Nexus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Nexus Hubbard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自備燃氣電廠許可｜在建</t>
    </r>
  </si>
  <si>
    <t xml:space="preserve">612.93 MW</t>
  </si>
  <si>
    <r>
      <rPr>
        <sz val="11"/>
        <color theme="1"/>
        <rFont val="Calibri"/>
        <family val="2"/>
        <charset val="1"/>
      </rPr>
      <t xml:space="preserve">612.93 MW </t>
    </r>
    <r>
      <rPr>
        <sz val="11"/>
        <color theme="1"/>
        <rFont val="Noto Sans CJK SC"/>
        <family val="2"/>
      </rPr>
      <t xml:space="preserve">為發電登記量、非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，屬實；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年首棟也有。但原文 </t>
    </r>
    <r>
      <rPr>
        <sz val="11"/>
        <color theme="1"/>
        <rFont val="Calibri"/>
        <family val="2"/>
        <charset val="1"/>
      </rPr>
      <t xml:space="preserve">TCEQ </t>
    </r>
    <r>
      <rPr>
        <sz val="11"/>
        <color theme="1"/>
        <rFont val="Noto Sans CJK SC"/>
        <family val="2"/>
      </rPr>
      <t xml:space="preserve">認證是 </t>
    </r>
    <r>
      <rPr>
        <sz val="11"/>
        <color theme="1"/>
        <rFont val="Calibri"/>
        <family val="2"/>
        <charset val="1"/>
      </rPr>
      <t xml:space="preserve">2025-06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只是媒體報導 </t>
    </r>
    <r>
      <rPr>
        <sz val="11"/>
        <color theme="1"/>
        <rFont val="Calibri"/>
        <family val="2"/>
        <charset val="1"/>
      </rPr>
      <t xml:space="preserve">612MW</t>
    </r>
    <r>
      <rPr>
        <sz val="11"/>
        <color theme="1"/>
        <rFont val="Noto Sans CJK SC"/>
        <family val="2"/>
      </rPr>
      <t xml:space="preserve">，並非 </t>
    </r>
    <r>
      <rPr>
        <sz val="11"/>
        <color theme="1"/>
        <rFont val="Calibri"/>
        <family val="2"/>
        <charset val="1"/>
      </rPr>
      <t xml:space="preserve">TCEQ </t>
    </r>
    <r>
      <rPr>
        <sz val="11"/>
        <color theme="1"/>
        <rFont val="Noto Sans CJK SC"/>
        <family val="2"/>
      </rPr>
      <t xml:space="preserve">申請，也未稱出自 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。頁面日期為 </t>
    </r>
    <r>
      <rPr>
        <sz val="11"/>
        <color theme="1"/>
        <rFont val="Calibri"/>
        <family val="2"/>
        <charset val="1"/>
      </rPr>
      <t xml:space="preserve">10/25</t>
    </r>
    <r>
      <rPr>
        <sz val="11"/>
        <color theme="1"/>
        <rFont val="Noto Sans CJK SC"/>
        <family val="2"/>
      </rPr>
      <t xml:space="preserve">，找不到 </t>
    </r>
    <r>
      <rPr>
        <sz val="11"/>
        <color theme="1"/>
        <rFont val="Calibri"/>
        <family val="2"/>
        <charset val="1"/>
      </rPr>
      <t xml:space="preserve">10/20</t>
    </r>
    <r>
      <rPr>
        <sz val="11"/>
        <color theme="1"/>
        <rFont val="Noto Sans CJK SC"/>
        <family val="2"/>
      </rPr>
      <t xml:space="preserve">。</t>
    </r>
  </si>
  <si>
    <t xml:space="preserve">https://everydatacenter.com/nexus-hubbard</t>
  </si>
  <si>
    <t xml:space="preserve">S#132</t>
  </si>
  <si>
    <r>
      <rPr>
        <sz val="11"/>
        <color theme="1"/>
        <rFont val="Calibri"/>
        <family val="2"/>
        <charset val="1"/>
      </rPr>
      <t xml:space="preserve">Nexus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Nexus Hubbard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四筆租約＋</t>
    </r>
    <r>
      <rPr>
        <sz val="11"/>
        <color theme="1"/>
        <rFont val="Calibri"/>
        <family val="2"/>
        <charset val="1"/>
      </rPr>
      <t xml:space="preserve">1.6GW</t>
    </r>
    <r>
      <rPr>
        <sz val="11"/>
        <color theme="1"/>
        <rFont val="Noto Sans CJK SC"/>
        <family val="2"/>
      </rPr>
      <t xml:space="preserve">電廠）｜簽約</t>
    </r>
  </si>
  <si>
    <t xml:space="preserve">2026-07-31</t>
  </si>
  <si>
    <r>
      <rPr>
        <sz val="11"/>
        <color theme="1"/>
        <rFont val="Calibri"/>
        <family val="2"/>
        <charset val="1"/>
      </rPr>
      <t xml:space="preserve">1.6GW </t>
    </r>
    <r>
      <rPr>
        <sz val="11"/>
        <color theme="1"/>
        <rFont val="Noto Sans CJK SC"/>
        <family val="2"/>
      </rPr>
      <t xml:space="preserve">是燃氣電廠發電容量，並非簽約容量，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標「簽約」口徑有誤。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擔保與約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股權屬實。「融資已募得」原文未提，僅稱洽談中。</t>
    </r>
  </si>
  <si>
    <t xml:space="preserve">https://qz.com/morgan-stanley-anthropic-nexus-data-centers-texas-loan-073126</t>
  </si>
  <si>
    <t xml:space="preserve">S#133</t>
  </si>
  <si>
    <r>
      <rPr>
        <sz val="11"/>
        <color theme="1"/>
        <rFont val="Calibri"/>
        <family val="2"/>
        <charset val="1"/>
      </rPr>
      <t xml:space="preserve">Nexus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Nexus Hubbard Campus</t>
    </r>
    <r>
      <rPr>
        <sz val="11"/>
        <color theme="1"/>
        <rFont val="Noto Sans CJK SC"/>
        <family val="2"/>
      </rPr>
      <t xml:space="preserve">｜全園區遠期擴建｜規劃</t>
    </r>
  </si>
  <si>
    <t xml:space="preserve">7700 MW</t>
  </si>
  <si>
    <r>
      <rPr>
        <sz val="11"/>
        <color theme="1"/>
        <rFont val="Calibri"/>
        <family val="2"/>
        <charset val="1"/>
      </rPr>
      <t xml:space="preserve">7.7GW</t>
    </r>
    <r>
      <rPr>
        <sz val="11"/>
        <color theme="1"/>
        <rFont val="Noto Sans CJK SC"/>
        <family val="2"/>
      </rPr>
      <t xml:space="preserve">的數值屬實，但原文日期是</t>
    </r>
    <r>
      <rPr>
        <sz val="11"/>
        <color theme="1"/>
        <rFont val="Calibri"/>
        <family val="2"/>
        <charset val="1"/>
      </rPr>
      <t xml:space="preserve">2026-03-30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as_of</t>
    </r>
    <r>
      <rPr>
        <sz val="11"/>
        <color theme="1"/>
        <rFont val="Noto Sans CJK SC"/>
        <family val="2"/>
      </rPr>
      <t xml:space="preserve">寫成</t>
    </r>
    <r>
      <rPr>
        <sz val="11"/>
        <color theme="1"/>
        <rFont val="Calibri"/>
        <family val="2"/>
        <charset val="1"/>
      </rPr>
      <t xml:space="preserve">10-06</t>
    </r>
    <r>
      <rPr>
        <sz val="11"/>
        <color theme="1"/>
        <rFont val="Noto Sans CJK SC"/>
        <family val="2"/>
      </rPr>
      <t xml:space="preserve">有誤。</t>
    </r>
    <r>
      <rPr>
        <sz val="11"/>
        <color theme="1"/>
        <rFont val="Calibri"/>
        <family val="2"/>
        <charset val="1"/>
      </rPr>
      <t xml:space="preserve">7.2GW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FID</t>
    </r>
    <r>
      <rPr>
        <sz val="11"/>
        <color theme="1"/>
        <rFont val="Noto Sans CJK SC"/>
        <family val="2"/>
      </rPr>
      <t xml:space="preserve">等說法原文找不到。</t>
    </r>
  </si>
  <si>
    <t xml:space="preserve">S#134</t>
  </si>
  <si>
    <t xml:space="preserve">SpaceX (xAI)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</si>
  <si>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估計）｜上線</t>
    </r>
  </si>
  <si>
    <r>
      <rPr>
        <sz val="11"/>
        <color theme="1"/>
        <rFont val="Calibri"/>
        <family val="2"/>
        <charset val="1"/>
      </rPr>
      <t xml:space="preserve">946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2026-06-15 </t>
    </r>
    <r>
      <rPr>
        <sz val="11"/>
        <color theme="1"/>
        <rFont val="Noto Sans CJK SC"/>
        <family val="2"/>
      </rPr>
      <t xml:space="preserve">屬實。但原文無 </t>
    </r>
    <r>
      <rPr>
        <sz val="11"/>
        <color theme="1"/>
        <rFont val="Calibri"/>
        <family val="2"/>
        <charset val="1"/>
      </rPr>
      <t xml:space="preserve">Measured AI 634 MW</t>
    </r>
    <r>
      <rPr>
        <sz val="11"/>
        <color theme="1"/>
        <rFont val="Noto Sans CJK SC"/>
        <family val="2"/>
      </rPr>
      <t xml:space="preserve">，也無 </t>
    </r>
    <r>
      <rPr>
        <sz val="11"/>
        <color theme="1"/>
        <rFont val="Calibri"/>
        <family val="2"/>
        <charset val="1"/>
      </rPr>
      <t xml:space="preserve">2026-01 </t>
    </r>
    <r>
      <rPr>
        <sz val="11"/>
        <color theme="1"/>
        <rFont val="Noto Sans CJK SC"/>
        <family val="2"/>
      </rPr>
      <t xml:space="preserve">上線說（只說 </t>
    </r>
    <r>
      <rPr>
        <sz val="11"/>
        <color theme="1"/>
        <rFont val="Calibri"/>
        <family val="2"/>
        <charset val="1"/>
      </rPr>
      <t xml:space="preserve">2026-09-03 </t>
    </r>
    <r>
      <rPr>
        <sz val="11"/>
        <color theme="1"/>
        <rFont val="Noto Sans CJK SC"/>
        <family val="2"/>
      </rPr>
      <t xml:space="preserve">運作）。「全園區」是 </t>
    </r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單一場址；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對轉述的估計偏高。</t>
    </r>
  </si>
  <si>
    <t xml:space="preserve">https://www.ventureatlas.org/company/xai</t>
  </si>
  <si>
    <t xml:space="preserve">S#135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</si>
  <si>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）｜在建</t>
    </r>
  </si>
  <si>
    <t xml:space="preserve">1531 MW</t>
  </si>
  <si>
    <t xml:space="preserve">2026-10-23</t>
  </si>
  <si>
    <r>
      <rPr>
        <sz val="11"/>
        <color theme="1"/>
        <rFont val="Calibri"/>
        <family val="2"/>
        <charset val="1"/>
      </rPr>
      <t xml:space="preserve">1,531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預測、日期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皆與原文相符，且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報導第三座 </t>
    </r>
    <r>
      <rPr>
        <sz val="11"/>
        <color theme="1"/>
        <rFont val="Calibri"/>
        <family val="2"/>
        <charset val="1"/>
      </rPr>
      <t xml:space="preserve">Southaven </t>
    </r>
    <r>
      <rPr>
        <sz val="11"/>
        <color theme="1"/>
        <rFont val="Noto Sans CJK SC"/>
        <family val="2"/>
      </rPr>
      <t xml:space="preserve">資料中心。但這是二手轉述的第三方預測，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稍偏，宜標 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或預測類。</t>
    </r>
  </si>
  <si>
    <t xml:space="preserve">https://www.insidedeeptech.com/xai-colossus-2-memphis-gigawatt-ai-supercomputer-full-guide/</t>
  </si>
  <si>
    <t xml:space="preserve">S#136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</si>
  <si>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整體 </t>
    </r>
    <r>
      <rPr>
        <sz val="11"/>
        <color theme="1"/>
        <rFont val="Calibri"/>
        <family val="2"/>
        <charset val="1"/>
      </rPr>
      <t xml:space="preserve">nameplate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 I+II</t>
    </r>
    <r>
      <rPr>
        <sz val="11"/>
        <color theme="1"/>
        <rFont val="Noto Sans CJK SC"/>
        <family val="2"/>
      </rPr>
      <t xml:space="preserve">，非單一園區）｜上線</t>
    </r>
  </si>
  <si>
    <t xml:space="preserve">1700 MW</t>
  </si>
  <si>
    <t xml:space="preserve">https://www.sec.gov/Archives/edgar/data/1181412/000162828026066482/spaceexplorationtechnologi.htm</t>
  </si>
  <si>
    <t xml:space="preserve">S#137</t>
  </si>
  <si>
    <r>
      <rPr>
        <sz val="11"/>
        <color theme="1"/>
        <rFont val="Calibri"/>
        <family val="2"/>
        <charset val="1"/>
      </rPr>
      <t xml:space="preserve">MZX Tech LLC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子公司）</t>
    </r>
  </si>
  <si>
    <r>
      <rPr>
        <sz val="11"/>
        <color theme="1"/>
        <rFont val="Calibri"/>
        <family val="2"/>
        <charset val="1"/>
      </rPr>
      <t xml:space="preserve">MZX Tech LLC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Southaven </t>
    </r>
    <r>
      <rPr>
        <sz val="11"/>
        <color theme="1"/>
        <rFont val="Noto Sans CJK SC"/>
        <family val="2"/>
      </rPr>
      <t xml:space="preserve">電廠（供電，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台永久渦輪）｜在建</t>
    </r>
  </si>
  <si>
    <t xml:space="preserve">1240 MW</t>
  </si>
  <si>
    <t xml:space="preserve">2026-03-11</t>
  </si>
  <si>
    <t xml:space="preserve">https://oilandgaswatch.org/facility/rec_d5nrijecevv1v46o78d0</t>
  </si>
  <si>
    <t xml:space="preserve">S#138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</si>
  <si>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Macrohardrr</t>
    </r>
    <r>
      <rPr>
        <sz val="11"/>
        <color theme="1"/>
        <rFont val="Noto Sans CJK SC"/>
        <family val="2"/>
      </rPr>
      <t xml:space="preserve">（第三棟，</t>
    </r>
    <r>
      <rPr>
        <sz val="11"/>
        <color theme="1"/>
        <rFont val="Calibri"/>
        <family val="2"/>
        <charset val="1"/>
      </rPr>
      <t xml:space="preserve">Southaven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</si>
  <si>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原文僅為 </t>
    </r>
    <r>
      <rPr>
        <sz val="11"/>
        <color theme="1"/>
        <rFont val="Calibri"/>
        <family val="2"/>
        <charset val="1"/>
      </rPr>
      <t xml:space="preserve">CNBC </t>
    </r>
    <r>
      <rPr>
        <sz val="11"/>
        <color theme="1"/>
        <rFont val="Noto Sans CJK SC"/>
        <family val="2"/>
      </rPr>
      <t xml:space="preserve">記者陳述 </t>
    </r>
    <r>
      <rPr>
        <sz val="11"/>
        <color theme="1"/>
        <rFont val="Calibri"/>
        <family val="2"/>
        <charset val="1"/>
      </rPr>
      <t xml:space="preserve">Macrohardrr </t>
    </r>
    <r>
      <rPr>
        <sz val="11"/>
        <color theme="1"/>
        <rFont val="Noto Sans CJK SC"/>
        <family val="2"/>
      </rPr>
      <t xml:space="preserve">由前 </t>
    </r>
    <r>
      <rPr>
        <sz val="11"/>
        <color theme="1"/>
        <rFont val="Calibri"/>
        <family val="2"/>
        <charset val="1"/>
      </rPr>
      <t xml:space="preserve">GXO </t>
    </r>
    <r>
      <rPr>
        <sz val="11"/>
        <color theme="1"/>
        <rFont val="Noto Sans CJK SC"/>
        <family val="2"/>
      </rPr>
      <t xml:space="preserve">倉庫改建，非 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本人說法。原文無 </t>
    </r>
    <r>
      <rPr>
        <sz val="11"/>
        <color theme="1"/>
        <rFont val="Calibri"/>
        <family val="2"/>
        <charset val="1"/>
      </rPr>
      <t xml:space="preserve">2025-12-30 </t>
    </r>
    <r>
      <rPr>
        <sz val="11"/>
        <color theme="1"/>
        <rFont val="Noto Sans CJK SC"/>
        <family val="2"/>
      </rPr>
      <t xml:space="preserve">購入日期，也無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與來源標題不符。「未公布單棟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」大致相符。</t>
    </r>
  </si>
  <si>
    <t xml:space="preserve">https://www.cnbc.com/2026/03/10/elon-musk-xai-permit-for-mississippi-plant-despite-pollution-concerns.html</t>
  </si>
  <si>
    <t xml:space="preserve">S#139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</si>
  <si>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｜全園區目標（含第三棟）｜規劃</t>
    </r>
  </si>
  <si>
    <t xml:space="preserve">2025-12-30</t>
  </si>
  <si>
    <r>
      <rPr>
        <sz val="11"/>
        <color theme="1"/>
        <rFont val="Noto Sans CJK SC"/>
        <family val="2"/>
      </rPr>
      <t xml:space="preserve">原文「</t>
    </r>
    <r>
      <rPr>
        <sz val="11"/>
        <color theme="1"/>
        <rFont val="Calibri"/>
        <family val="2"/>
        <charset val="1"/>
      </rPr>
      <t xml:space="preserve">nearly 2 GW</t>
    </r>
    <r>
      <rPr>
        <sz val="11"/>
        <color theme="1"/>
        <rFont val="Noto Sans CJK SC"/>
        <family val="2"/>
      </rPr>
      <t xml:space="preserve">」，列中取整為 </t>
    </r>
    <r>
      <rPr>
        <sz val="11"/>
        <color theme="1"/>
        <rFont val="Calibri"/>
        <family val="2"/>
        <charset val="1"/>
      </rPr>
      <t xml:space="preserve">2000 MW </t>
    </r>
    <r>
      <rPr>
        <sz val="11"/>
        <color theme="1"/>
        <rFont val="Noto Sans CJK SC"/>
        <family val="2"/>
      </rPr>
      <t xml:space="preserve">且已註明；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發言、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轉述，標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合理；日期 </t>
    </r>
    <r>
      <rPr>
        <sz val="11"/>
        <color theme="1"/>
        <rFont val="Calibri"/>
        <family val="2"/>
        <charset val="1"/>
      </rPr>
      <t xml:space="preserve">2025-12-30 </t>
    </r>
    <r>
      <rPr>
        <sz val="11"/>
        <color theme="1"/>
        <rFont val="Noto Sans CJK SC"/>
        <family val="2"/>
      </rPr>
      <t xml:space="preserve">一致；口徑原文未說明。「近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個月前」依頁面相對時間推算，不影響數值。</t>
    </r>
  </si>
  <si>
    <t xml:space="preserve">https://finance.yahoo.com/news/musks-xai-buys-third-building-221629820.html</t>
  </si>
  <si>
    <t xml:space="preserve">S#140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</si>
  <si>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租用（</t>
    </r>
    <r>
      <rPr>
        <sz val="11"/>
        <color theme="1"/>
        <rFont val="Calibri"/>
        <family val="2"/>
        <charset val="1"/>
      </rPr>
      <t xml:space="preserve">Colossus 2 GB200</t>
    </r>
    <r>
      <rPr>
        <sz val="11"/>
        <color theme="1"/>
        <rFont val="Noto Sans CJK SC"/>
        <family val="2"/>
      </rPr>
      <t xml:space="preserve">）｜簽約</t>
    </r>
  </si>
  <si>
    <t xml:space="preserve">https://www.axios.com/2026/05/20/anthropic-spacex-compute</t>
  </si>
  <si>
    <t xml:space="preserve">S#141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</si>
  <si>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1</t>
    </r>
    <r>
      <rPr>
        <sz val="11"/>
        <color theme="1"/>
        <rFont val="Noto Sans CJK SC"/>
        <family val="2"/>
      </rPr>
      <t xml:space="preserve">｜全園區｜上線</t>
    </r>
  </si>
  <si>
    <r>
      <rPr>
        <sz val="11"/>
        <color theme="1"/>
        <rFont val="Noto Sans CJK SC"/>
        <family val="2"/>
      </rPr>
      <t xml:space="preserve">原文為「超過 </t>
    </r>
    <r>
      <rPr>
        <sz val="11"/>
        <color theme="1"/>
        <rFont val="Calibri"/>
        <family val="2"/>
        <charset val="1"/>
      </rPr>
      <t xml:space="preserve">300 MW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萬片以上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或設施口徑，與列中描述一致。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是下限值。</t>
    </r>
    <r>
      <rPr>
        <sz val="11"/>
        <color theme="1"/>
        <rFont val="Calibri"/>
        <family val="2"/>
        <charset val="1"/>
      </rPr>
      <t xml:space="preserve">2024-07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150 MW </t>
    </r>
    <r>
      <rPr>
        <sz val="11"/>
        <color theme="1"/>
        <rFont val="Noto Sans CJK SC"/>
        <family val="2"/>
      </rPr>
      <t xml:space="preserve">與渦輪許可 </t>
    </r>
    <r>
      <rPr>
        <sz val="11"/>
        <color theme="1"/>
        <rFont val="Calibri"/>
        <family val="2"/>
        <charset val="1"/>
      </rPr>
      <t xml:space="preserve">247.2 MW </t>
    </r>
    <r>
      <rPr>
        <sz val="11"/>
        <color theme="1"/>
        <rFont val="Noto Sans CJK SC"/>
        <family val="2"/>
      </rPr>
      <t xml:space="preserve">屬其他來源（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），不在此原文中，也不屬本人說的部分。</t>
    </r>
  </si>
  <si>
    <t xml:space="preserve">S#142</t>
  </si>
  <si>
    <t xml:space="preserve">SB Energy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</si>
  <si>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Milam County (SB Energy)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</si>
  <si>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2026-01-09</t>
    </r>
    <r>
      <rPr>
        <sz val="11"/>
        <color theme="1"/>
        <rFont val="Noto Sans CJK SC"/>
        <family val="2"/>
      </rPr>
      <t xml:space="preserve">、新聞稿說法皆屬實。但「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年投入使用」原文指 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多個園區的初期設施，並未明指 </t>
    </r>
    <r>
      <rPr>
        <sz val="11"/>
        <color theme="1"/>
        <rFont val="Calibri"/>
        <family val="2"/>
        <charset val="1"/>
      </rPr>
      <t xml:space="preserve">Milam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Cleanview 300 MW </t>
    </r>
    <r>
      <rPr>
        <sz val="11"/>
        <color theme="1"/>
        <rFont val="Noto Sans CJK SC"/>
        <family val="2"/>
      </rPr>
      <t xml:space="preserve">不在此原文。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未寫 </t>
    </r>
    <r>
      <rPr>
        <sz val="11"/>
        <color theme="1"/>
        <rFont val="Calibri"/>
        <family val="2"/>
        <charset val="1"/>
      </rPr>
      <t xml:space="preserve">CNBC </t>
    </r>
    <r>
      <rPr>
        <sz val="11"/>
        <color theme="1"/>
        <rFont val="Noto Sans CJK SC"/>
        <family val="2"/>
      </rPr>
      <t xml:space="preserve">標題。</t>
    </r>
  </si>
  <si>
    <r>
      <rPr>
        <sz val="11"/>
        <color theme="1"/>
        <rFont val="Calibri"/>
        <family val="2"/>
        <charset val="1"/>
      </rPr>
      <t xml:space="preserve">cpx_oai_milam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cp_oai_milam2</t>
    </r>
  </si>
  <si>
    <t xml:space="preserve">https://www.cnbc.com/2026/01/09/openai-and-softbank-group-announce-1-billion-investment-in-sb-energy-.html</t>
  </si>
  <si>
    <t xml:space="preserve">S#143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</si>
  <si>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Milam County (SB Energy)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Milam County 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號樓（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關係企業租約）｜簽約</t>
    </r>
  </si>
  <si>
    <t xml:space="preserve">800 MW</t>
  </si>
  <si>
    <r>
      <rPr>
        <sz val="11"/>
        <color theme="1"/>
        <rFont val="Calibri"/>
        <family val="2"/>
        <charset val="1"/>
      </rPr>
      <t xml:space="preserve">800 MW </t>
    </r>
    <r>
      <rPr>
        <sz val="11"/>
        <color theme="1"/>
        <rFont val="Noto Sans CJK SC"/>
        <family val="2"/>
      </rPr>
      <t xml:space="preserve">租約屬實，但原文發布日為 </t>
    </r>
    <r>
      <rPr>
        <sz val="11"/>
        <color theme="1"/>
        <rFont val="Calibri"/>
        <family val="2"/>
        <charset val="1"/>
      </rPr>
      <t xml:space="preserve">2026-09-10 </t>
    </r>
    <r>
      <rPr>
        <sz val="11"/>
        <color theme="1"/>
        <rFont val="Noto Sans CJK SC"/>
        <family val="2"/>
      </rPr>
      <t xml:space="preserve">而非 </t>
    </r>
    <r>
      <rPr>
        <sz val="11"/>
        <color theme="1"/>
        <rFont val="Calibri"/>
        <family val="2"/>
        <charset val="1"/>
      </rPr>
      <t xml:space="preserve">09-11</t>
    </r>
    <r>
      <rPr>
        <sz val="11"/>
        <color theme="1"/>
        <rFont val="Noto Sans CJK SC"/>
        <family val="2"/>
      </rPr>
      <t xml:space="preserve">；原文未提 </t>
    </r>
    <r>
      <rPr>
        <sz val="11"/>
        <color theme="1"/>
        <rFont val="Calibri"/>
        <family val="2"/>
        <charset val="1"/>
      </rPr>
      <t xml:space="preserve">Milam 2027 </t>
    </r>
    <r>
      <rPr>
        <sz val="11"/>
        <color theme="1"/>
        <rFont val="Noto Sans CJK SC"/>
        <family val="2"/>
      </rPr>
      <t xml:space="preserve">上線，也沒有「延遲一年觸發收購選擇權」。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與推估日期有誤。</t>
    </r>
  </si>
  <si>
    <t xml:space="preserve">https://marketwise.com/investing/sb-energy-ipo-openai-warrants-ai-bubble/</t>
  </si>
  <si>
    <t xml:space="preserve">S#144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</si>
  <si>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Milam County (SB Energy)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Freebird Data Center 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DC01</t>
    </r>
    <r>
      <rPr>
        <sz val="11"/>
        <color theme="1"/>
        <rFont val="Noto Sans CJK SC"/>
        <family val="2"/>
      </rPr>
      <t xml:space="preserve">）｜在建</t>
    </r>
  </si>
  <si>
    <t xml:space="preserve">2026-04-15</t>
  </si>
  <si>
    <r>
      <rPr>
        <sz val="11"/>
        <color theme="1"/>
        <rFont val="Calibri"/>
        <family val="2"/>
        <charset val="1"/>
      </rPr>
      <t xml:space="preserve">TDLR </t>
    </r>
    <r>
      <rPr>
        <sz val="11"/>
        <color theme="1"/>
        <rFont val="Noto Sans CJK SC"/>
        <family val="2"/>
      </rPr>
      <t xml:space="preserve">面積、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資料廳、</t>
    </r>
    <r>
      <rPr>
        <sz val="11"/>
        <color theme="1"/>
        <rFont val="Calibri"/>
        <family val="2"/>
        <charset val="1"/>
      </rPr>
      <t xml:space="preserve">4.7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2026-10-15 </t>
    </r>
    <r>
      <rPr>
        <sz val="11"/>
        <color theme="1"/>
        <rFont val="Noto Sans CJK SC"/>
        <family val="2"/>
      </rPr>
      <t xml:space="preserve">屬實，且無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負載。但 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為「在建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」卻無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數值；原文業主是 </t>
    </r>
    <r>
      <rPr>
        <sz val="11"/>
        <color theme="1"/>
        <rFont val="Calibri"/>
        <family val="2"/>
        <charset val="1"/>
      </rPr>
      <t xml:space="preserve">Milam County Data Center LLC</t>
    </r>
    <r>
      <rPr>
        <sz val="11"/>
        <color theme="1"/>
        <rFont val="Noto Sans CJK SC"/>
        <family val="2"/>
      </rPr>
      <t xml:space="preserve">，未提 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僅在租戶欄，且為第三方登記資料。</t>
    </r>
  </si>
  <si>
    <t xml:space="preserve">https://www.zabalist.com/projects/TABS2026017746</t>
  </si>
  <si>
    <t xml:space="preserve">S#145</t>
  </si>
  <si>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Lordstown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</si>
  <si>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214 MW IT</t>
    </r>
    <r>
      <rPr>
        <sz val="11"/>
        <color theme="1"/>
        <rFont val="Noto Sans CJK SC"/>
        <family val="2"/>
      </rPr>
      <t xml:space="preserve">、現況 </t>
    </r>
    <r>
      <rPr>
        <sz val="11"/>
        <color theme="1"/>
        <rFont val="Calibri"/>
        <family val="2"/>
        <charset val="1"/>
      </rPr>
      <t xml:space="preserve">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預測屬實。但頁面更新日為 </t>
    </r>
    <r>
      <rPr>
        <sz val="11"/>
        <color theme="1"/>
        <rFont val="Calibri"/>
        <family val="2"/>
        <charset val="1"/>
      </rPr>
      <t xml:space="preserve">2026-08-25</t>
    </r>
    <r>
      <rPr>
        <sz val="11"/>
        <color theme="1"/>
        <rFont val="Noto Sans CJK SC"/>
        <family val="2"/>
      </rPr>
      <t xml:space="preserve">，找不到「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天前」與 </t>
    </r>
    <r>
      <rPr>
        <sz val="11"/>
        <color theme="1"/>
        <rFont val="Calibri"/>
        <family val="2"/>
        <charset val="1"/>
      </rPr>
      <t xml:space="preserve">10-02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說的是 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個月內，約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月，並非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年，所謂延遲不成立。</t>
    </r>
    <r>
      <rPr>
        <sz val="11"/>
        <color theme="1"/>
        <rFont val="Calibri"/>
        <family val="2"/>
        <charset val="1"/>
      </rPr>
      <t xml:space="preserve">1.5 GW </t>
    </r>
    <r>
      <rPr>
        <sz val="11"/>
        <color theme="1"/>
        <rFont val="Noto Sans CJK SC"/>
        <family val="2"/>
      </rPr>
      <t xml:space="preserve">有出處，且是與 </t>
    </r>
    <r>
      <rPr>
        <sz val="11"/>
        <color theme="1"/>
        <rFont val="Calibri"/>
        <family val="2"/>
        <charset val="1"/>
      </rPr>
      <t xml:space="preserve">Milam </t>
    </r>
    <r>
      <rPr>
        <sz val="11"/>
        <color theme="1"/>
        <rFont val="Noto Sans CJK SC"/>
        <family val="2"/>
      </rPr>
      <t xml:space="preserve">合計。預測值標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也偏高。</t>
    </r>
  </si>
  <si>
    <t xml:space="preserve">https://epoch.ai/data/ai-data-centers/directory/openai-stargate-lordstown</t>
  </si>
  <si>
    <t xml:space="preserve">S#146</t>
  </si>
  <si>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Lordstown Campus</t>
    </r>
    <r>
      <rPr>
        <sz val="11"/>
        <color theme="1"/>
        <rFont val="Noto Sans CJK SC"/>
        <family val="2"/>
      </rPr>
      <t xml:space="preserve">｜概念驗證（模組化貨櫃）｜規劃</t>
    </r>
  </si>
  <si>
    <t xml:space="preserve">https://citizenportal.ai/articles/10275645/Ohio/Trumbull-County/Lordstown/SoftBank-representatives-describe-modular-PC-proofofconcept-at-Lordstown-site-council-presses-on-water-permits-and-employee-numbers</t>
  </si>
  <si>
    <t xml:space="preserve">S#147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</si>
  <si>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PORTS-Pike Technology Campus</t>
    </r>
    <r>
      <rPr>
        <sz val="11"/>
        <color theme="1"/>
        <rFont val="Noto Sans CJK SC"/>
        <family val="2"/>
      </rPr>
      <t xml:space="preserve">｜全園區｜規劃</t>
    </r>
  </si>
  <si>
    <t xml:space="preserve">10000 MW</t>
  </si>
  <si>
    <t xml:space="preserve">2026-03-24</t>
  </si>
  <si>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3/20 </t>
    </r>
    <r>
      <rPr>
        <sz val="11"/>
        <color theme="1"/>
        <rFont val="Noto Sans CJK SC"/>
        <family val="2"/>
      </rPr>
      <t xml:space="preserve">動土、日期與未說明口徑都屬實。但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寫「公司本人」，實為 </t>
    </r>
    <r>
      <rPr>
        <sz val="11"/>
        <color theme="1"/>
        <rFont val="Calibri"/>
        <family val="2"/>
        <charset val="1"/>
      </rPr>
      <t xml:space="preserve">DOE </t>
    </r>
    <r>
      <rPr>
        <sz val="11"/>
        <color theme="1"/>
        <rFont val="Noto Sans CJK SC"/>
        <family val="2"/>
      </rPr>
      <t xml:space="preserve">文章；原文也未提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為使用者。</t>
    </r>
  </si>
  <si>
    <t xml:space="preserve">https://www.energy.gov/em/articles/partnership-ensures-affordable-energy-powers-ai-future-portsmouth-site</t>
  </si>
  <si>
    <t xml:space="preserve">S#148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</si>
  <si>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PORTS-Pike Technology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租約總量（約 </t>
    </r>
    <r>
      <rPr>
        <sz val="11"/>
        <color theme="1"/>
        <rFont val="Calibri"/>
        <family val="2"/>
        <charset val="1"/>
      </rPr>
      <t xml:space="preserve">8 GW-IT</t>
    </r>
    <r>
      <rPr>
        <sz val="11"/>
        <color theme="1"/>
        <rFont val="Noto Sans CJK SC"/>
        <family val="2"/>
      </rPr>
      <t xml:space="preserve">）｜簽約</t>
    </r>
  </si>
  <si>
    <t xml:space="preserve">8000 MW</t>
  </si>
  <si>
    <r>
      <rPr>
        <sz val="11"/>
        <color theme="1"/>
        <rFont val="Calibri"/>
        <family val="2"/>
        <charset val="1"/>
      </rPr>
      <t xml:space="preserve">cp_oai_pp1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cp_oai_pp4</t>
    </r>
  </si>
  <si>
    <t xml:space="preserve">https://openai.com/index/openai-joins-ports-pike-project/</t>
  </si>
  <si>
    <t xml:space="preserve">S#149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</si>
  <si>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PORTS-Pike Technology Campus</t>
    </r>
    <r>
      <rPr>
        <sz val="11"/>
        <color theme="1"/>
        <rFont val="Noto Sans CJK SC"/>
        <family val="2"/>
      </rPr>
      <t xml:space="preserve">｜初期 </t>
    </r>
    <r>
      <rPr>
        <sz val="11"/>
        <color theme="1"/>
        <rFont val="Calibri"/>
        <family val="2"/>
        <charset val="1"/>
      </rPr>
      <t xml:space="preserve">4.25 IT-GW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殘值擔保範圍）｜簽約</t>
    </r>
  </si>
  <si>
    <t xml:space="preserve">4250 MW</t>
  </si>
  <si>
    <r>
      <rPr>
        <sz val="11"/>
        <color theme="1"/>
        <rFont val="Noto Sans CJK SC"/>
        <family val="2"/>
      </rPr>
      <t xml:space="preserve">原文確有初期約</t>
    </r>
    <r>
      <rPr>
        <sz val="11"/>
        <color theme="1"/>
        <rFont val="Calibri"/>
        <family val="2"/>
        <charset val="1"/>
      </rPr>
      <t xml:space="preserve">4.25 IT-GW</t>
    </r>
    <r>
      <rPr>
        <sz val="11"/>
        <color theme="1"/>
        <rFont val="Noto Sans CJK SC"/>
        <family val="2"/>
      </rPr>
      <t xml:space="preserve">殘值擔保與</t>
    </r>
    <r>
      <rPr>
        <sz val="11"/>
        <color theme="1"/>
        <rFont val="Calibri"/>
        <family val="2"/>
        <charset val="1"/>
      </rPr>
      <t xml:space="preserve">1050</t>
    </r>
    <r>
      <rPr>
        <sz val="11"/>
        <color theme="1"/>
        <rFont val="Noto Sans CJK SC"/>
        <family val="2"/>
      </rPr>
      <t xml:space="preserve">億美元上限，但那是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擔保範圍，不是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「簽約」容量（租約約</t>
    </r>
    <r>
      <rPr>
        <sz val="11"/>
        <color theme="1"/>
        <rFont val="Calibri"/>
        <family val="2"/>
        <charset val="1"/>
      </rPr>
      <t xml:space="preserve">8 IT-GW</t>
    </r>
    <r>
      <rPr>
        <sz val="11"/>
        <color theme="1"/>
        <rFont val="Noto Sans CJK SC"/>
        <family val="2"/>
      </rPr>
      <t xml:space="preserve">）。主體、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口徑錯置；來源為二手報導，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偏高。</t>
    </r>
  </si>
  <si>
    <t xml:space="preserve">https://xenospectrum.com/en/openai-nvidia-ports-pike-lease/</t>
  </si>
  <si>
    <t xml:space="preserve">S#150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</si>
  <si>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PORTS-Pike Technology Campus</t>
    </r>
    <r>
      <rPr>
        <sz val="11"/>
        <color theme="1"/>
        <rFont val="Noto Sans CJK SC"/>
        <family val="2"/>
      </rPr>
      <t xml:space="preserve">｜第一期（首批 </t>
    </r>
    <r>
      <rPr>
        <sz val="11"/>
        <color theme="1"/>
        <rFont val="Calibri"/>
        <family val="2"/>
        <charset val="1"/>
      </rPr>
      <t xml:space="preserve">800 MW</t>
    </r>
    <r>
      <rPr>
        <sz val="11"/>
        <color theme="1"/>
        <rFont val="Noto Sans CJK SC"/>
        <family val="2"/>
      </rPr>
      <t xml:space="preserve">）｜在建</t>
    </r>
  </si>
  <si>
    <t xml:space="preserve">https://www.sec.gov/Archives/edgar/data/0002133037/000162828026062846/sbenergy-sx1a2.htm</t>
  </si>
  <si>
    <t xml:space="preserve">S#151</t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</si>
  <si>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</si>
  <si>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Campus AI Fouju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MGX–Mistral </t>
    </r>
    <r>
      <rPr>
        <sz val="11"/>
        <color theme="1"/>
        <rFont val="Noto Sans CJK SC"/>
        <family val="2"/>
      </rPr>
      <t xml:space="preserve">巴黎區 </t>
    </r>
    <r>
      <rPr>
        <sz val="11"/>
        <color theme="1"/>
        <rFont val="Calibri"/>
        <family val="2"/>
        <charset val="1"/>
      </rPr>
      <t xml:space="preserve">1.4GW AI </t>
    </r>
    <r>
      <rPr>
        <sz val="11"/>
        <color theme="1"/>
        <rFont val="Noto Sans CJK SC"/>
        <family val="2"/>
      </rPr>
      <t xml:space="preserve">園區）｜全園區｜規劃</t>
    </r>
  </si>
  <si>
    <t xml:space="preserve">2026-06-01</t>
  </si>
  <si>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為「至終」容量，原文未說明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或設施口徑。</t>
    </r>
    <r>
      <rPr>
        <sz val="11"/>
        <color theme="1"/>
        <rFont val="Calibri"/>
        <family val="2"/>
        <charset val="1"/>
      </rPr>
      <t xml:space="preserve">RTE </t>
    </r>
    <r>
      <rPr>
        <sz val="11"/>
        <color theme="1"/>
        <rFont val="Noto Sans CJK SC"/>
        <family val="2"/>
      </rPr>
      <t xml:space="preserve">與部落格說法不在本來源，但已標為他源。</t>
    </r>
  </si>
  <si>
    <t xml:space="preserve">https://presse.bpifrance.fr/mistral-securise-jusqua-200-mw-de-capacite-de-calcul-avec-campus-ai-en-france/?lang=fra</t>
  </si>
  <si>
    <t xml:space="preserve">S#152</t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</si>
  <si>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Campus AI Fouju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MGX–Mistral </t>
    </r>
    <r>
      <rPr>
        <sz val="11"/>
        <color theme="1"/>
        <rFont val="Noto Sans CJK SC"/>
        <family val="2"/>
      </rPr>
      <t xml:space="preserve">巴黎區 </t>
    </r>
    <r>
      <rPr>
        <sz val="11"/>
        <color theme="1"/>
        <rFont val="Calibri"/>
        <family val="2"/>
        <charset val="1"/>
      </rPr>
      <t xml:space="preserve">1.4GW AI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座資料中心＋臨時 </t>
    </r>
    <r>
      <rPr>
        <sz val="11"/>
        <color theme="1"/>
        <rFont val="Calibri"/>
        <family val="2"/>
        <charset val="1"/>
      </rPr>
      <t xml:space="preserve">700MW </t>
    </r>
    <r>
      <rPr>
        <sz val="11"/>
        <color theme="1"/>
        <rFont val="Noto Sans CJK SC"/>
        <family val="2"/>
      </rPr>
      <t xml:space="preserve">變電站）｜在建</t>
    </r>
  </si>
  <si>
    <t xml:space="preserve">2026-01-01</t>
  </si>
  <si>
    <r>
      <rPr>
        <sz val="11"/>
        <color theme="1"/>
        <rFont val="Calibri"/>
        <family val="2"/>
        <charset val="1"/>
      </rPr>
      <t xml:space="preserve">700MW </t>
    </r>
    <r>
      <rPr>
        <sz val="11"/>
        <color theme="1"/>
        <rFont val="Noto Sans CJK SC"/>
        <family val="2"/>
      </rPr>
      <t xml:space="preserve">為臨時變電站、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座 </t>
    </r>
    <r>
      <rPr>
        <sz val="11"/>
        <color theme="1"/>
        <rFont val="Calibri"/>
        <family val="2"/>
        <charset val="1"/>
      </rPr>
      <t xml:space="preserve">DC</t>
    </r>
    <r>
      <rPr>
        <sz val="11"/>
        <color theme="1"/>
        <rFont val="Noto Sans CJK SC"/>
        <family val="2"/>
      </rPr>
      <t xml:space="preserve">，與原文相符。但專案仍在事前諮詢，並非「在建」。來源是 </t>
    </r>
    <r>
      <rPr>
        <sz val="11"/>
        <color theme="1"/>
        <rFont val="Calibri"/>
        <family val="2"/>
        <charset val="1"/>
      </rPr>
      <t xml:space="preserve">CNDP </t>
    </r>
    <r>
      <rPr>
        <sz val="11"/>
        <color theme="1"/>
        <rFont val="Noto Sans CJK SC"/>
        <family val="2"/>
      </rPr>
      <t xml:space="preserve">保證人報告，不是公司本人。</t>
    </r>
    <r>
      <rPr>
        <sz val="11"/>
        <color theme="1"/>
        <rFont val="Calibri"/>
        <family val="2"/>
        <charset val="1"/>
      </rPr>
      <t xml:space="preserve">RTE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底</t>
    </r>
    <r>
      <rPr>
        <sz val="11"/>
        <color theme="1"/>
        <rFont val="Calibri"/>
        <family val="2"/>
        <charset val="1"/>
      </rPr>
      <t xml:space="preserve">240MW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700MW</t>
    </r>
    <r>
      <rPr>
        <sz val="11"/>
        <color theme="1"/>
        <rFont val="Noto Sans CJK SC"/>
        <family val="2"/>
      </rPr>
      <t xml:space="preserve">」在可見原文找不到。</t>
    </r>
  </si>
  <si>
    <t xml:space="preserve">https://www.debatpublic.fr/sites/default/files/2026-01/bilan-campus-ia-accessible_0.pdf</t>
  </si>
  <si>
    <t xml:space="preserve">S#153</t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</si>
  <si>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Campus AI Fouju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MGX–Mistral </t>
    </r>
    <r>
      <rPr>
        <sz val="11"/>
        <color theme="1"/>
        <rFont val="Noto Sans CJK SC"/>
        <family val="2"/>
      </rPr>
      <t xml:space="preserve">巴黎區 </t>
    </r>
    <r>
      <rPr>
        <sz val="11"/>
        <color theme="1"/>
        <rFont val="Calibri"/>
        <family val="2"/>
        <charset val="1"/>
      </rPr>
      <t xml:space="preserve">1.4GW AI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內 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首期承租｜簽約</t>
    </r>
  </si>
  <si>
    <r>
      <rPr>
        <sz val="11"/>
        <color theme="1"/>
        <rFont val="Calibri"/>
        <family val="2"/>
        <charset val="1"/>
      </rPr>
      <t xml:space="preserve">96MW </t>
    </r>
    <r>
      <rPr>
        <sz val="11"/>
        <color theme="1"/>
        <rFont val="Noto Sans CJK SC"/>
        <family val="2"/>
      </rPr>
      <t xml:space="preserve">已確保，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為首位客戶，預計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初營運，日期 </t>
    </r>
    <r>
      <rPr>
        <sz val="11"/>
        <color theme="1"/>
        <rFont val="Calibri"/>
        <family val="2"/>
        <charset val="1"/>
      </rPr>
      <t xml:space="preserve">2026-06-01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亦為股東，皆與原文一致。</t>
    </r>
  </si>
  <si>
    <t xml:space="preserve">S#154</t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</si>
  <si>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Campus AI Fouju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MGX–Mistral </t>
    </r>
    <r>
      <rPr>
        <sz val="11"/>
        <color theme="1"/>
        <rFont val="Noto Sans CJK SC"/>
        <family val="2"/>
      </rPr>
      <t xml:space="preserve">巴黎區 </t>
    </r>
    <r>
      <rPr>
        <sz val="11"/>
        <color theme="1"/>
        <rFont val="Calibri"/>
        <family val="2"/>
        <charset val="1"/>
      </rPr>
      <t xml:space="preserve">1.4GW AI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擴充上限｜規劃</t>
    </r>
  </si>
  <si>
    <r>
      <rPr>
        <sz val="11"/>
        <color theme="1"/>
        <rFont val="Calibri"/>
        <family val="2"/>
        <charset val="1"/>
      </rPr>
      <t xml:space="preserve">96MW </t>
    </r>
    <r>
      <rPr>
        <sz val="11"/>
        <color theme="1"/>
        <rFont val="Noto Sans CJK SC"/>
        <family val="2"/>
      </rPr>
      <t xml:space="preserve">擴至最高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Noto Sans CJK SC"/>
        <family val="2"/>
      </rPr>
      <t xml:space="preserve">，口徑未說明。與原文一致。</t>
    </r>
  </si>
  <si>
    <t xml:space="preserve">S#155</t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</si>
  <si>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Campus AI Fouju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MGX–Mistral </t>
    </r>
    <r>
      <rPr>
        <sz val="11"/>
        <color theme="1"/>
        <rFont val="Noto Sans CJK SC"/>
        <family val="2"/>
      </rPr>
      <t xml:space="preserve">巴黎區 </t>
    </r>
    <r>
      <rPr>
        <sz val="11"/>
        <color theme="1"/>
        <rFont val="Calibri"/>
        <family val="2"/>
        <charset val="1"/>
      </rPr>
      <t xml:space="preserve">1.4GW AI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座資料中心＋永久 </t>
    </r>
    <r>
      <rPr>
        <sz val="11"/>
        <color theme="1"/>
        <rFont val="Calibri"/>
        <family val="2"/>
        <charset val="1"/>
      </rPr>
      <t xml:space="preserve">1400MW </t>
    </r>
    <r>
      <rPr>
        <sz val="11"/>
        <color theme="1"/>
        <rFont val="Noto Sans CJK SC"/>
        <family val="2"/>
      </rPr>
      <t xml:space="preserve">變電站）｜規劃</t>
    </r>
  </si>
  <si>
    <t xml:space="preserve">2026-08-14</t>
  </si>
  <si>
    <r>
      <rPr>
        <sz val="11"/>
        <color theme="1"/>
        <rFont val="Noto Sans CJK SC"/>
        <family val="2"/>
      </rPr>
      <t xml:space="preserve">原文第二階段為 </t>
    </r>
    <r>
      <rPr>
        <sz val="11"/>
        <color theme="1"/>
        <rFont val="Calibri"/>
        <family val="2"/>
        <charset val="1"/>
      </rPr>
      <t xml:space="preserve">2030–2033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1,4 GW </t>
    </r>
    <r>
      <rPr>
        <sz val="11"/>
        <color theme="1"/>
        <rFont val="Noto Sans CJK SC"/>
        <family val="2"/>
      </rPr>
      <t xml:space="preserve">屬實，但「約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座」「</t>
    </r>
    <r>
      <rPr>
        <sz val="11"/>
        <color theme="1"/>
        <rFont val="Calibri"/>
        <family val="2"/>
        <charset val="1"/>
      </rPr>
      <t xml:space="preserve">DC1/DC2/DC4 </t>
    </r>
    <r>
      <rPr>
        <sz val="11"/>
        <color theme="1"/>
        <rFont val="Noto Sans CJK SC"/>
        <family val="2"/>
      </rPr>
      <t xml:space="preserve">獲許可」原文找不到。文章日期為 </t>
    </r>
    <r>
      <rPr>
        <sz val="11"/>
        <color theme="1"/>
        <rFont val="Calibri"/>
        <family val="2"/>
        <charset val="1"/>
      </rPr>
      <t xml:space="preserve">8/13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8/14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寫「記者推論」不是標題。</t>
    </r>
  </si>
  <si>
    <t xml:space="preserve">https://dcmag.fr/le-prefet-de-seine-et-marne-a-valide-le-projet-campus-ia-de-fouju-14-gw-et-50-milliards-e/</t>
  </si>
  <si>
    <t xml:space="preserve">S#156</t>
  </si>
  <si>
    <r>
      <rPr>
        <sz val="11"/>
        <color theme="1"/>
        <rFont val="Calibri"/>
        <family val="2"/>
        <charset val="1"/>
      </rPr>
      <t xml:space="preserve">Digital Connexion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</si>
  <si>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Digital Connexion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Reliance–Brookfield–Digital Realty Visakhapatnam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</si>
  <si>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2025-11-27</t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</si>
  <si>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Noto Sans CJK SC"/>
        <family val="2"/>
      </rPr>
      <t xml:space="preserve">億美元、至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年及口徑未說明皆屬實。但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寫「公司本人」並非文章標題，原文也無 </t>
    </r>
    <r>
      <rPr>
        <sz val="11"/>
        <color theme="1"/>
        <rFont val="Calibri"/>
        <family val="2"/>
        <charset val="1"/>
      </rPr>
      <t xml:space="preserve">11-26 </t>
    </r>
    <r>
      <rPr>
        <sz val="11"/>
        <color theme="1"/>
        <rFont val="Noto Sans CJK SC"/>
        <family val="2"/>
      </rPr>
      <t xml:space="preserve">簽署日與「經濟發展局」，只寫安得拉邦政府。</t>
    </r>
  </si>
  <si>
    <t xml:space="preserve">https://www.datacenterdynamics.com/en/news/digital-connexion-signs-mou-to-build-1gw-campus-in-andhra-pradesh-india/</t>
  </si>
  <si>
    <t xml:space="preserve">S#157</t>
  </si>
  <si>
    <t xml:space="preserve">Humain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</si>
  <si>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</si>
  <si>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6000 MW</t>
  </si>
  <si>
    <t xml:space="preserve">https://www.constructionweeksaudi.com/pif/humain-6gw-riyadh-ai-campus-infrastructure</t>
  </si>
  <si>
    <t xml:space="preserve">S#158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</si>
  <si>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｜第一期（地塊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）｜在建</t>
    </r>
  </si>
  <si>
    <t xml:space="preserve">2026-09-04</t>
  </si>
  <si>
    <r>
      <rPr>
        <sz val="11"/>
        <color theme="1"/>
        <rFont val="Noto Sans CJK SC"/>
        <family val="2"/>
      </rPr>
      <t xml:space="preserve">原文：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動工、首期涵蓋六個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地塊中的兩個、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交付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，為 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自稱，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與日期相符。</t>
    </r>
    <r>
      <rPr>
        <sz val="11"/>
        <color theme="1"/>
        <rFont val="Calibri"/>
        <family val="2"/>
        <charset val="1"/>
      </rPr>
      <t xml:space="preserve">Vision2030.ai </t>
    </r>
    <r>
      <rPr>
        <sz val="11"/>
        <color theme="1"/>
        <rFont val="Noto Sans CJK SC"/>
        <family val="2"/>
      </rPr>
      <t xml:space="preserve">一句不在此來源內，不影響本列數值。</t>
    </r>
  </si>
  <si>
    <r>
      <rPr>
        <sz val="11"/>
        <color theme="1"/>
        <rFont val="Calibri"/>
        <family val="2"/>
        <charset val="1"/>
      </rPr>
      <t xml:space="preserve">cp_sov_hum2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cp_sov_hum3</t>
    </r>
  </si>
  <si>
    <t xml:space="preserve">https://www.middleeastainews.com/p/humain-seeks-25-billion-for-data</t>
  </si>
  <si>
    <t xml:space="preserve">S#159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</si>
  <si>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｜第二期（地塊 </t>
    </r>
    <r>
      <rPr>
        <sz val="11"/>
        <color theme="1"/>
        <rFont val="Calibri"/>
        <family val="2"/>
        <charset val="1"/>
      </rPr>
      <t xml:space="preserve">3–6</t>
    </r>
    <r>
      <rPr>
        <sz val="11"/>
        <color theme="1"/>
        <rFont val="Noto Sans CJK SC"/>
        <family val="2"/>
      </rPr>
      <t xml:space="preserve">）｜規劃</t>
    </r>
  </si>
  <si>
    <t xml:space="preserve">4000 MW</t>
  </si>
  <si>
    <r>
      <rPr>
        <sz val="11"/>
        <color theme="1"/>
        <rFont val="Noto Sans CJK SC"/>
        <family val="2"/>
      </rPr>
      <t xml:space="preserve">原文寫六個地塊各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，第二期為地塊 </t>
    </r>
    <r>
      <rPr>
        <sz val="11"/>
        <color theme="1"/>
        <rFont val="Calibri"/>
        <family val="2"/>
        <charset val="1"/>
      </rPr>
      <t xml:space="preserve">3–6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4×1000=4000MW </t>
    </r>
    <r>
      <rPr>
        <sz val="11"/>
        <color theme="1"/>
        <rFont val="Noto Sans CJK SC"/>
        <family val="2"/>
      </rPr>
      <t xml:space="preserve">推算成立。原文 </t>
    </r>
    <r>
      <rPr>
        <sz val="11"/>
        <color theme="1"/>
        <rFont val="Calibri"/>
        <family val="2"/>
        <charset val="1"/>
      </rPr>
      <t xml:space="preserve">6GW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標未說明稍保守。日期僅標 </t>
    </r>
    <r>
      <rPr>
        <sz val="11"/>
        <color theme="1"/>
        <rFont val="Calibri"/>
        <family val="2"/>
        <charset val="1"/>
      </rPr>
      <t xml:space="preserve">Sept 2026</t>
    </r>
    <r>
      <rPr>
        <sz val="11"/>
        <color theme="1"/>
        <rFont val="Noto Sans CJK SC"/>
        <family val="2"/>
      </rPr>
      <t xml:space="preserve">，已註明為近似值。</t>
    </r>
  </si>
  <si>
    <t xml:space="preserve">https://www.meedprojects.com/project-profile/?pid=552703</t>
  </si>
  <si>
    <t xml:space="preserve">S#160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</si>
  <si>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Al-Saad 100MW AI </t>
    </r>
    <r>
      <rPr>
        <sz val="11"/>
        <color theme="1"/>
        <rFont val="Noto Sans CJK SC"/>
        <family val="2"/>
      </rPr>
      <t xml:space="preserve">資料中心（</t>
    </r>
    <r>
      <rPr>
        <sz val="11"/>
        <color theme="1"/>
        <rFont val="Calibri"/>
        <family val="2"/>
        <charset val="1"/>
      </rPr>
      <t xml:space="preserve">EPC </t>
    </r>
    <r>
      <rPr>
        <sz val="11"/>
        <color theme="1"/>
        <rFont val="Noto Sans CJK SC"/>
        <family val="2"/>
      </rPr>
      <t xml:space="preserve">招標）｜規劃</t>
    </r>
  </si>
  <si>
    <t xml:space="preserve">2026-10-16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</si>
  <si>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、發標與截標日、可選擴至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、首期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月、二期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月、約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億美元皆與原文相符。原文未用「</t>
    </r>
    <r>
      <rPr>
        <sz val="11"/>
        <color theme="1"/>
        <rFont val="Calibri"/>
        <family val="2"/>
        <charset val="1"/>
      </rPr>
      <t xml:space="preserve">AI Campus</t>
    </r>
    <r>
      <rPr>
        <sz val="11"/>
        <color theme="1"/>
        <rFont val="Noto Sans CJK SC"/>
        <family val="2"/>
      </rPr>
      <t xml:space="preserve">」名稱，也未明講容量口徑（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或設施），標「未說明」可接受。</t>
    </r>
  </si>
  <si>
    <t xml:space="preserve">https://www.meed.com/humain-tenders-100mw-riyadh-ai-data-centre</t>
  </si>
  <si>
    <t xml:space="preserve">S#161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</si>
  <si>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250MW </t>
    </r>
    <r>
      <rPr>
        <sz val="11"/>
        <color theme="1"/>
        <rFont val="Noto Sans CJK SC"/>
        <family val="2"/>
      </rPr>
      <t xml:space="preserve">資料中心（</t>
    </r>
    <r>
      <rPr>
        <sz val="11"/>
        <color theme="1"/>
        <rFont val="Calibri"/>
        <family val="2"/>
        <charset val="1"/>
      </rPr>
      <t xml:space="preserve">Al Moammar </t>
    </r>
    <r>
      <rPr>
        <sz val="11"/>
        <color theme="1"/>
        <rFont val="Noto Sans CJK SC"/>
        <family val="2"/>
      </rPr>
      <t xml:space="preserve">設計施工／基金）｜在建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</si>
  <si>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Al Moammar </t>
    </r>
    <r>
      <rPr>
        <sz val="11"/>
        <color theme="1"/>
        <rFont val="Noto Sans CJK SC"/>
        <family val="2"/>
      </rPr>
      <t xml:space="preserve">與可擴至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均有。但原文未提 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稱年底 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，也未指明在 </t>
    </r>
    <r>
      <rPr>
        <sz val="11"/>
        <color theme="1"/>
        <rFont val="Calibri"/>
        <family val="2"/>
        <charset val="1"/>
      </rPr>
      <t xml:space="preserve">Al Sa'ad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Amin </t>
    </r>
    <r>
      <rPr>
        <sz val="11"/>
        <color theme="1"/>
        <rFont val="Noto Sans CJK SC"/>
        <family val="2"/>
      </rPr>
      <t xml:space="preserve">只確認基金、未給規模。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上線時程原文找不到。</t>
    </r>
  </si>
  <si>
    <t xml:space="preserve">S#162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</si>
  <si>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</si>
  <si>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AI Zone</t>
    </r>
    <r>
      <rPr>
        <sz val="11"/>
        <color theme="1"/>
        <rFont val="Noto Sans CJK SC"/>
        <family val="2"/>
      </rPr>
      <t xml:space="preserve">（最高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）｜簽約</t>
    </r>
  </si>
  <si>
    <t xml:space="preserve">2026-09-05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</si>
  <si>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2026-09-05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萬加速器皆屬實。但來源是 </t>
    </r>
    <r>
      <rPr>
        <sz val="11"/>
        <color theme="1"/>
        <rFont val="Calibri"/>
        <family val="2"/>
        <charset val="1"/>
      </rPr>
      <t xml:space="preserve">PPC Land </t>
    </r>
    <r>
      <rPr>
        <sz val="11"/>
        <color theme="1"/>
        <rFont val="Noto Sans CJK SC"/>
        <family val="2"/>
      </rPr>
      <t xml:space="preserve">轉述，非公司本人；</t>
    </r>
    <r>
      <rPr>
        <sz val="11"/>
        <color theme="1"/>
        <rFont val="Calibri"/>
        <family val="2"/>
        <charset val="1"/>
      </rPr>
      <t xml:space="preserve">Al Sa'ad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Vision2030.ai </t>
    </r>
    <r>
      <rPr>
        <sz val="11"/>
        <color theme="1"/>
        <rFont val="Noto Sans CJK SC"/>
        <family val="2"/>
      </rPr>
      <t xml:space="preserve">說法此文未見，只寫利雅得。</t>
    </r>
  </si>
  <si>
    <t xml:space="preserve">https://ppc.land/aws-commits-5-3-billion-50mw-capacity-to-saudi-ai-zone-by-2028/</t>
  </si>
  <si>
    <t xml:space="preserve">S#163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</si>
  <si>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Dammam AI Data Center</t>
    </r>
    <r>
      <rPr>
        <sz val="11"/>
        <color theme="1"/>
        <rFont val="Noto Sans CJK SC"/>
        <family val="2"/>
      </rPr>
      <t xml:space="preserve">｜初期階段（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園區）｜在建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</si>
  <si>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Riyadh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各一、</t>
    </r>
    <r>
      <rPr>
        <sz val="11"/>
        <color theme="1"/>
        <rFont val="Calibri"/>
        <family val="2"/>
        <charset val="1"/>
      </rPr>
      <t xml:space="preserve">2026 Q2 </t>
    </r>
    <r>
      <rPr>
        <sz val="11"/>
        <color theme="1"/>
        <rFont val="Noto Sans CJK SC"/>
        <family val="2"/>
      </rPr>
      <t xml:space="preserve">皆屬實。但原文 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引述出自 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也是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自述，未歸於 </t>
    </r>
    <r>
      <rPr>
        <sz val="11"/>
        <color theme="1"/>
        <rFont val="Calibri"/>
        <family val="2"/>
        <charset val="1"/>
      </rPr>
      <t xml:space="preserve">CEO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Baxtel </t>
    </r>
    <r>
      <rPr>
        <sz val="11"/>
        <color theme="1"/>
        <rFont val="Noto Sans CJK SC"/>
        <family val="2"/>
      </rPr>
      <t xml:space="preserve">與逾期說法不在原文。</t>
    </r>
  </si>
  <si>
    <t xml:space="preserve">https://www.datacenterdynamics.com/en/news/humain-secures-211-plots-of-land-in-saudi-arabia-for-data-centers/</t>
  </si>
  <si>
    <t xml:space="preserve">S#164</t>
  </si>
  <si>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Aramco Digital</t>
    </r>
  </si>
  <si>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Aramco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Dammam AI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Aramco Digital </t>
    </r>
    <r>
      <rPr>
        <sz val="11"/>
        <color theme="1"/>
        <rFont val="Noto Sans CJK SC"/>
        <family val="2"/>
      </rPr>
      <t xml:space="preserve">推論區（</t>
    </r>
    <r>
      <rPr>
        <sz val="11"/>
        <color theme="1"/>
        <rFont val="Calibri"/>
        <family val="2"/>
        <charset val="1"/>
      </rPr>
      <t xml:space="preserve">GroqCloud Dammam</t>
    </r>
    <r>
      <rPr>
        <sz val="11"/>
        <color theme="1"/>
        <rFont val="Noto Sans CJK SC"/>
        <family val="2"/>
      </rPr>
      <t xml:space="preserve">）｜上線</t>
    </r>
  </si>
  <si>
    <t xml:space="preserve">2026-10-09</t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</si>
  <si>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年初承載正式流量，且無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數字。但頁面未提「第三方估約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」，該說法原文找不到。標題稱「轉述」尚可，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偏向廠商自述。主旨正確。</t>
    </r>
  </si>
  <si>
    <t xml:space="preserve">https://www.al-jammaz.com/vendors/groq</t>
  </si>
  <si>
    <t xml:space="preserve">S#165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</si>
  <si>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Dammam AI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Together AI 250MW </t>
    </r>
    <r>
      <rPr>
        <sz val="11"/>
        <color theme="1"/>
        <rFont val="Noto Sans CJK SC"/>
        <family val="2"/>
      </rPr>
      <t xml:space="preserve">合作（站點未區分）｜簽約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</si>
  <si>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萬顆晶片、</t>
    </r>
    <r>
      <rPr>
        <sz val="11"/>
        <color theme="1"/>
        <rFont val="Calibri"/>
        <family val="2"/>
        <charset val="1"/>
      </rPr>
      <t xml:space="preserve">8/31</t>
    </r>
    <r>
      <rPr>
        <sz val="11"/>
        <color theme="1"/>
        <rFont val="Noto Sans CJK SC"/>
        <family val="2"/>
      </rPr>
      <t xml:space="preserve">屬實。但原文是轉述</t>
    </r>
    <r>
      <rPr>
        <sz val="11"/>
        <color theme="1"/>
        <rFont val="Calibri"/>
        <family val="2"/>
        <charset val="1"/>
      </rPr>
      <t xml:space="preserve">NYT</t>
    </r>
    <r>
      <rPr>
        <sz val="11"/>
        <color theme="1"/>
        <rFont val="Noto Sans CJK SC"/>
        <family val="2"/>
      </rPr>
      <t xml:space="preserve">，未提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，也未指明</t>
    </r>
    <r>
      <rPr>
        <sz val="11"/>
        <color theme="1"/>
        <rFont val="Calibri"/>
        <family val="2"/>
        <charset val="1"/>
      </rPr>
      <t xml:space="preserve">Dammam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出自</t>
    </r>
    <r>
      <rPr>
        <sz val="11"/>
        <color theme="1"/>
        <rFont val="Calibri"/>
        <family val="2"/>
        <charset val="1"/>
      </rPr>
      <t xml:space="preserve">NYT</t>
    </r>
    <r>
      <rPr>
        <sz val="11"/>
        <color theme="1"/>
        <rFont val="Noto Sans CJK SC"/>
        <family val="2"/>
      </rPr>
      <t xml:space="preserve">轉述，非</t>
    </r>
    <r>
      <rPr>
        <sz val="11"/>
        <color theme="1"/>
        <rFont val="Calibri"/>
        <family val="2"/>
        <charset val="1"/>
      </rPr>
      <t xml:space="preserve">CEO</t>
    </r>
    <r>
      <rPr>
        <sz val="11"/>
        <color theme="1"/>
        <rFont val="Noto Sans CJK SC"/>
        <family val="2"/>
      </rPr>
      <t xml:space="preserve">聲明。</t>
    </r>
  </si>
  <si>
    <t xml:space="preserve">https://www.supplychainbrain.com/articles/44765-together-ai-looks-abroad-for-data-crunching-capacity</t>
  </si>
  <si>
    <t xml:space="preserve">S#166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</si>
  <si>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Nxtra by Airtel</t>
    </r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</si>
  <si>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Nxtra by Airtel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Google–AdaniConneX Visakhapatnam AI Hub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</si>
  <si>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Noto Sans CJK SC"/>
        <family val="2"/>
      </rPr>
      <t xml:space="preserve">原文為「</t>
    </r>
    <r>
      <rPr>
        <sz val="11"/>
        <color theme="1"/>
        <rFont val="Calibri"/>
        <family val="2"/>
        <charset val="1"/>
      </rPr>
      <t xml:space="preserve">gigawatt-scale</t>
    </r>
    <r>
      <rPr>
        <sz val="11"/>
        <color theme="1"/>
        <rFont val="Noto Sans CJK SC"/>
        <family val="2"/>
      </rPr>
      <t xml:space="preserve">」與 </t>
    </r>
    <r>
      <rPr>
        <sz val="11"/>
        <color theme="1"/>
        <rFont val="Calibri"/>
        <family val="2"/>
        <charset val="1"/>
      </rPr>
      <t xml:space="preserve">Jeet Adani </t>
    </r>
    <r>
      <rPr>
        <sz val="11"/>
        <color theme="1"/>
        <rFont val="Noto Sans CJK SC"/>
        <family val="2"/>
      </rPr>
      <t xml:space="preserve">說「</t>
    </r>
    <r>
      <rPr>
        <sz val="11"/>
        <color theme="1"/>
        <rFont val="Calibri"/>
        <family val="2"/>
        <charset val="1"/>
      </rPr>
      <t xml:space="preserve">nearly 1 GW</t>
    </r>
    <r>
      <rPr>
        <sz val="11"/>
        <color theme="1"/>
        <rFont val="Noto Sans CJK SC"/>
        <family val="2"/>
      </rPr>
      <t xml:space="preserve">」，未給 </t>
    </r>
    <r>
      <rPr>
        <sz val="11"/>
        <color theme="1"/>
        <rFont val="Calibri"/>
        <family val="2"/>
        <charset val="1"/>
      </rPr>
      <t xml:space="preserve">1000MW </t>
    </r>
    <r>
      <rPr>
        <sz val="11"/>
        <color theme="1"/>
        <rFont val="Noto Sans CJK SC"/>
        <family val="2"/>
      </rPr>
      <t xml:space="preserve">精確值；備註漏掉「</t>
    </r>
    <r>
      <rPr>
        <sz val="11"/>
        <color theme="1"/>
        <rFont val="Calibri"/>
        <family val="2"/>
        <charset val="1"/>
      </rPr>
      <t xml:space="preserve">nearly</t>
    </r>
    <r>
      <rPr>
        <sz val="11"/>
        <color theme="1"/>
        <rFont val="Noto Sans CJK SC"/>
        <family val="2"/>
      </rPr>
      <t xml:space="preserve">」。動工在建、日期與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皆符。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上線不在此來源。</t>
    </r>
  </si>
  <si>
    <t xml:space="preserve">https://www.googlecloudpresscorner.com/2026-04-28-Google-Breaks-Ground-on-India-AI-Hub,-Launching-a-National-Industrial-Ecosystem-Alongside-Indias-Digital-Infrastructure-Milestone</t>
  </si>
  <si>
    <t xml:space="preserve">S#167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</si>
  <si>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Nxtra by Airtel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Google–AdaniConneX Visakhapatnam AI Hub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Tarluvada</t>
    </r>
    <r>
      <rPr>
        <sz val="11"/>
        <color theme="1"/>
        <rFont val="Noto Sans CJK SC"/>
        <family val="2"/>
      </rPr>
      <t xml:space="preserve">（主園區）｜在建</t>
    </r>
  </si>
  <si>
    <r>
      <rPr>
        <sz val="11"/>
        <color theme="1"/>
        <rFont val="Calibri"/>
        <family val="2"/>
        <charset val="1"/>
      </rPr>
      <t xml:space="preserve">266.6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月動工、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年底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屬實。但原文發布日為</t>
    </r>
    <r>
      <rPr>
        <sz val="11"/>
        <color theme="1"/>
        <rFont val="Calibri"/>
        <family val="2"/>
        <charset val="1"/>
      </rPr>
      <t xml:space="preserve">10/23</t>
    </r>
    <r>
      <rPr>
        <sz val="11"/>
        <color theme="1"/>
        <rFont val="Noto Sans CJK SC"/>
        <family val="2"/>
      </rPr>
      <t xml:space="preserve">而非</t>
    </r>
    <r>
      <rPr>
        <sz val="11"/>
        <color theme="1"/>
        <rFont val="Calibri"/>
        <family val="2"/>
        <charset val="1"/>
      </rPr>
      <t xml:space="preserve">10/24</t>
    </r>
    <r>
      <rPr>
        <sz val="11"/>
        <color theme="1"/>
        <rFont val="Noto Sans CJK SC"/>
        <family val="2"/>
      </rPr>
      <t xml:space="preserve">，標題誤寫為「記者推論」，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也偏。「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月法院訴訟」原文找不到。</t>
    </r>
  </si>
  <si>
    <t xml:space="preserve">https://www.esgnews.earth/latest-news/google-adaniconnex-partner-for-15b-sustainable-data-center/22684.html</t>
  </si>
  <si>
    <t xml:space="preserve">S#168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</si>
  <si>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Nxtra by Airtel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Google–AdaniConneX Visakhapatnam AI Hub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Adavivaram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Mudasarlova</t>
    </r>
    <r>
      <rPr>
        <sz val="11"/>
        <color theme="1"/>
        <rFont val="Noto Sans CJK SC"/>
        <family val="2"/>
      </rPr>
      <t xml:space="preserve">｜規劃</t>
    </r>
  </si>
  <si>
    <t xml:space="preserve">2026-08-01</t>
  </si>
  <si>
    <r>
      <rPr>
        <sz val="11"/>
        <color theme="1"/>
        <rFont val="Calibri"/>
        <family val="2"/>
        <charset val="1"/>
      </rPr>
      <t xml:space="preserve">160</t>
    </r>
    <r>
      <rPr>
        <sz val="11"/>
        <color theme="1"/>
        <rFont val="Noto Sans CJK SC"/>
        <family val="2"/>
      </rPr>
      <t xml:space="preserve">英畝屬實；原文標</t>
    </r>
    <r>
      <rPr>
        <sz val="11"/>
        <color theme="1"/>
        <rFont val="Calibri"/>
        <family val="2"/>
        <charset val="1"/>
      </rPr>
      <t xml:space="preserve">Aug 2026</t>
    </r>
    <r>
      <rPr>
        <sz val="11"/>
        <color theme="1"/>
        <rFont val="Noto Sans CJK SC"/>
        <family val="2"/>
      </rPr>
      <t xml:space="preserve">，且載明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月目標，並非只出自</t>
    </r>
    <r>
      <rPr>
        <sz val="11"/>
        <color theme="1"/>
        <rFont val="Calibri"/>
        <family val="2"/>
        <charset val="1"/>
      </rPr>
      <t xml:space="preserve">Deccan Herald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未公開屬實。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與來源標題分類偏差。</t>
    </r>
  </si>
  <si>
    <t xml:space="preserve">https://www.landconflictwatch.org/conflicts/concerns-around-acquisition-process-of-dalit-farmers-land-in-the-google-adani-data-centre-project-in-visakhapatnam</t>
  </si>
  <si>
    <t xml:space="preserve">S#169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</si>
  <si>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Nxtra by Airtel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Google–AdaniConneX Visakhapatnam AI Hub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Rambilli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</si>
  <si>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175</t>
    </r>
    <r>
      <rPr>
        <sz val="11"/>
        <color theme="1"/>
        <rFont val="Noto Sans CJK SC"/>
        <family val="2"/>
      </rPr>
      <t xml:space="preserve">英畝屬實，日期</t>
    </r>
    <r>
      <rPr>
        <sz val="11"/>
        <color theme="1"/>
        <rFont val="Calibri"/>
        <family val="2"/>
        <charset val="1"/>
      </rPr>
      <t xml:space="preserve">Aug 2026</t>
    </r>
    <r>
      <rPr>
        <sz val="11"/>
        <color theme="1"/>
        <rFont val="Noto Sans CJK SC"/>
        <family val="2"/>
      </rPr>
      <t xml:space="preserve">屬實。原文未提</t>
    </r>
    <r>
      <rPr>
        <sz val="11"/>
        <color theme="1"/>
        <rFont val="Calibri"/>
        <family val="2"/>
        <charset val="1"/>
      </rPr>
      <t xml:space="preserve">SEIAA</t>
    </r>
    <r>
      <rPr>
        <sz val="11"/>
        <color theme="1"/>
        <rFont val="Noto Sans CJK SC"/>
        <family val="2"/>
      </rPr>
      <t xml:space="preserve">已核發</t>
    </r>
    <r>
      <rPr>
        <sz val="11"/>
        <color theme="1"/>
        <rFont val="Calibri"/>
        <family val="2"/>
        <charset val="1"/>
      </rPr>
      <t xml:space="preserve">B2</t>
    </r>
    <r>
      <rPr>
        <sz val="11"/>
        <color theme="1"/>
        <rFont val="Noto Sans CJK SC"/>
        <family val="2"/>
      </rPr>
      <t xml:space="preserve">許可，只說歸類</t>
    </r>
    <r>
      <rPr>
        <sz val="11"/>
        <color theme="1"/>
        <rFont val="Calibri"/>
        <family val="2"/>
        <charset val="1"/>
      </rPr>
      <t xml:space="preserve">B2</t>
    </r>
    <r>
      <rPr>
        <sz val="11"/>
        <color theme="1"/>
        <rFont val="Noto Sans CJK SC"/>
        <family val="2"/>
      </rPr>
      <t xml:space="preserve">、僅需</t>
    </r>
    <r>
      <rPr>
        <sz val="11"/>
        <color theme="1"/>
        <rFont val="Calibri"/>
        <family val="2"/>
        <charset val="1"/>
      </rPr>
      <t xml:space="preserve">SEIAA</t>
    </r>
    <r>
      <rPr>
        <sz val="11"/>
        <color theme="1"/>
        <rFont val="Noto Sans CJK SC"/>
        <family val="2"/>
      </rPr>
      <t xml:space="preserve">清關；此點需其他來源佐證。</t>
    </r>
  </si>
  <si>
    <t xml:space="preserve">S#170</t>
  </si>
  <si>
    <t xml:space="preserve">Reliance Industries (RIL)</t>
  </si>
  <si>
    <r>
      <rPr>
        <sz val="11"/>
        <color theme="1"/>
        <rFont val="Calibri"/>
        <family val="2"/>
        <charset val="1"/>
      </rPr>
      <t xml:space="preserve">Reliance Industries (RIL)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Reliance Jamnagar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built-to-suit </t>
    </r>
    <r>
      <rPr>
        <sz val="11"/>
        <color theme="1"/>
        <rFont val="Noto Sans CJK SC"/>
        <family val="2"/>
      </rPr>
      <t xml:space="preserve">首期｜簽約</t>
    </r>
  </si>
  <si>
    <t xml:space="preserve">2026-06-10</t>
  </si>
  <si>
    <r>
      <rPr>
        <sz val="11"/>
        <color theme="1"/>
        <rFont val="Calibri"/>
        <family val="2"/>
        <charset val="1"/>
      </rPr>
      <t xml:space="preserve">168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租用、可擴充皆屬實。但原文日期為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日（另有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日更新標示），非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日。「兩年內完工」及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年上線原文未提，應出自他處。</t>
    </r>
  </si>
  <si>
    <t xml:space="preserve">https://about.fb.com/news/2026/06/meta-partners-with-reliance-on-ai-enabled-data-center-in-india/</t>
  </si>
  <si>
    <t xml:space="preserve">S#171</t>
  </si>
  <si>
    <t xml:space="preserve">Reliance Intelligence (RIL)</t>
  </si>
  <si>
    <r>
      <rPr>
        <sz val="11"/>
        <color theme="1"/>
        <rFont val="Calibri"/>
        <family val="2"/>
        <charset val="1"/>
      </rPr>
      <t xml:space="preserve">Reliance Intelligence (RIL)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Reliance Jamnagar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Reliance Intelligence </t>
    </r>
    <r>
      <rPr>
        <sz val="11"/>
        <color theme="1"/>
        <rFont val="Noto Sans CJK SC"/>
        <family val="2"/>
      </rPr>
      <t xml:space="preserve">首期｜在建</t>
    </r>
  </si>
  <si>
    <t xml:space="preserve">120 MW</t>
  </si>
  <si>
    <t xml:space="preserve">2026-06-20</t>
  </si>
  <si>
    <r>
      <rPr>
        <sz val="11"/>
        <color theme="1"/>
        <rFont val="Calibri"/>
        <family val="2"/>
        <charset val="1"/>
      </rPr>
      <t xml:space="preserve">120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年底上線、</t>
    </r>
    <r>
      <rPr>
        <sz val="11"/>
        <color theme="1"/>
        <rFont val="Calibri"/>
        <family val="2"/>
        <charset val="1"/>
      </rPr>
      <t xml:space="preserve">Ambani </t>
    </r>
    <r>
      <rPr>
        <sz val="11"/>
        <color theme="1"/>
        <rFont val="Noto Sans CJK SC"/>
        <family val="2"/>
      </rPr>
      <t xml:space="preserve">說法皆屬實，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為利害關係人也合理。但原文日期是 </t>
    </r>
    <r>
      <rPr>
        <sz val="11"/>
        <color theme="1"/>
        <rFont val="Calibri"/>
        <family val="2"/>
        <charset val="1"/>
      </rPr>
      <t xml:space="preserve">2026-06-19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AGM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6/18</t>
    </r>
    <r>
      <rPr>
        <sz val="11"/>
        <color theme="1"/>
        <rFont val="Noto Sans CJK SC"/>
        <family val="2"/>
      </rPr>
      <t xml:space="preserve">），證據表寫 </t>
    </r>
    <r>
      <rPr>
        <sz val="11"/>
        <color theme="1"/>
        <rFont val="Calibri"/>
        <family val="2"/>
        <charset val="1"/>
      </rPr>
      <t xml:space="preserve">06-20</t>
    </r>
    <r>
      <rPr>
        <sz val="11"/>
        <color theme="1"/>
        <rFont val="Noto Sans CJK SC"/>
        <family val="2"/>
      </rPr>
      <t xml:space="preserve">；「在建」屬規劃措辭。</t>
    </r>
  </si>
  <si>
    <t xml:space="preserve">https://startuptalky.com/news/reliance-intelligence-expands-ai-push/</t>
  </si>
  <si>
    <t xml:space="preserve">S#172</t>
  </si>
  <si>
    <t xml:space="preserve">Reliance Industries</t>
  </si>
  <si>
    <r>
      <rPr>
        <sz val="11"/>
        <color theme="1"/>
        <rFont val="Calibri"/>
        <family val="2"/>
        <charset val="1"/>
      </rPr>
      <t xml:space="preserve">Reliance Industries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Reliance Jamnagar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</si>
  <si>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2025-01-23</t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</si>
  <si>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404</t>
    </r>
    <r>
      <rPr>
        <sz val="11"/>
        <color theme="1"/>
        <rFont val="Noto Sans CJK SC"/>
        <family val="2"/>
      </rPr>
      <t xml:space="preserve">）</t>
    </r>
  </si>
  <si>
    <t xml:space="preserve">https://techcrunch.com/2025/01/23/reliance-plans-world-biggest-ai-data-center-in-india-report-says</t>
  </si>
  <si>
    <t xml:space="preserve">S#173</t>
  </si>
  <si>
    <t xml:space="preserve">New Era Energy &amp; Digital</t>
  </si>
  <si>
    <r>
      <rPr>
        <sz val="11"/>
        <color theme="1"/>
        <rFont val="Calibri"/>
        <family val="2"/>
        <charset val="1"/>
      </rPr>
      <t xml:space="preserve">New Era Energy &amp;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Era Lea County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</si>
  <si>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7000 MW</t>
  </si>
  <si>
    <t xml:space="preserve">2025-11-06</t>
  </si>
  <si>
    <t xml:space="preserve">https://www.businesswire.com/news/home/20251106765936/en</t>
  </si>
  <si>
    <t xml:space="preserve">S#174</t>
  </si>
  <si>
    <r>
      <rPr>
        <sz val="11"/>
        <color theme="1"/>
        <rFont val="Calibri"/>
        <family val="2"/>
        <charset val="1"/>
      </rPr>
      <t xml:space="preserve">New Era Energy &amp;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Era Lea County AI Campus</t>
    </r>
    <r>
      <rPr>
        <sz val="11"/>
        <color theme="1"/>
        <rFont val="Noto Sans CJK SC"/>
        <family val="2"/>
      </rPr>
      <t xml:space="preserve">｜天然氣發電（</t>
    </r>
    <r>
      <rPr>
        <sz val="11"/>
        <color theme="1"/>
        <rFont val="Calibri"/>
        <family val="2"/>
        <charset val="1"/>
      </rPr>
      <t xml:space="preserve">2GW+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</si>
  <si>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2GW+ </t>
    </r>
    <r>
      <rPr>
        <sz val="11"/>
        <color theme="1"/>
        <rFont val="Noto Sans CJK SC"/>
        <family val="2"/>
      </rPr>
      <t xml:space="preserve">燃氣、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首批發電（可能為新燃氣機組）皆屬實，且為公司說法。但此網址是 </t>
    </r>
    <r>
      <rPr>
        <sz val="11"/>
        <color theme="1"/>
        <rFont val="Calibri"/>
        <family val="2"/>
        <charset val="1"/>
      </rPr>
      <t xml:space="preserve">POWER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日），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寫「公司本人」、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寫 </t>
    </r>
    <r>
      <rPr>
        <sz val="11"/>
        <color theme="1"/>
        <rFont val="Calibri"/>
        <family val="2"/>
        <charset val="1"/>
      </rPr>
      <t xml:space="preserve">11/6</t>
    </r>
    <r>
      <rPr>
        <sz val="11"/>
        <color theme="1"/>
        <rFont val="Noto Sans CJK SC"/>
        <family val="2"/>
      </rPr>
      <t xml:space="preserve">，與網址不符；</t>
    </r>
    <r>
      <rPr>
        <sz val="11"/>
        <color theme="1"/>
        <rFont val="Calibri"/>
        <family val="2"/>
        <charset val="1"/>
      </rPr>
      <t xml:space="preserve">11/6 </t>
    </r>
    <r>
      <rPr>
        <sz val="11"/>
        <color theme="1"/>
        <rFont val="Noto Sans CJK SC"/>
        <family val="2"/>
      </rPr>
      <t xml:space="preserve">是公司公告日。</t>
    </r>
  </si>
  <si>
    <t xml:space="preserve">https://www.powermag.com/nuclear-natural-gas-power-generation-planned-for-massive-new-mexico-data-center-site/</t>
  </si>
  <si>
    <t xml:space="preserve">S#175</t>
  </si>
  <si>
    <r>
      <rPr>
        <sz val="11"/>
        <color theme="1"/>
        <rFont val="Calibri"/>
        <family val="2"/>
        <charset val="1"/>
      </rPr>
      <t xml:space="preserve">New Era Energy &amp;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Era Lea County AI Campus</t>
    </r>
    <r>
      <rPr>
        <sz val="11"/>
        <color theme="1"/>
        <rFont val="Noto Sans CJK SC"/>
        <family val="2"/>
      </rPr>
      <t xml:space="preserve">｜核能（</t>
    </r>
    <r>
      <rPr>
        <sz val="11"/>
        <color theme="1"/>
        <rFont val="Calibri"/>
        <family val="2"/>
        <charset val="1"/>
      </rPr>
      <t xml:space="preserve">5GW+</t>
    </r>
    <r>
      <rPr>
        <sz val="11"/>
        <color theme="1"/>
        <rFont val="Noto Sans CJK SC"/>
        <family val="2"/>
      </rPr>
      <t xml:space="preserve">）｜規劃</t>
    </r>
  </si>
  <si>
    <t xml:space="preserve">S#176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</si>
  <si>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Camellia (Effingham County)</t>
    </r>
    <r>
      <rPr>
        <sz val="11"/>
        <color theme="1"/>
        <rFont val="Noto Sans CJK SC"/>
        <family val="2"/>
      </rPr>
      <t xml:space="preserve">｜全園區｜規劃</t>
    </r>
  </si>
  <si>
    <t xml:space="preserve">3210 MW</t>
  </si>
  <si>
    <t xml:space="preserve">2026-09-16</t>
  </si>
  <si>
    <r>
      <rPr>
        <sz val="11"/>
        <color theme="1"/>
        <rFont val="Calibri"/>
        <family val="2"/>
        <charset val="1"/>
      </rPr>
      <t xml:space="preserve">3,210MW </t>
    </r>
    <r>
      <rPr>
        <sz val="11"/>
        <color theme="1"/>
        <rFont val="Noto Sans CJK SC"/>
        <family val="2"/>
      </rPr>
      <t xml:space="preserve">尖峰負載屬實，但來自開發商申報的資料，標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偏高，應為利害關係人說法。原文也無 </t>
    </r>
    <r>
      <rPr>
        <sz val="11"/>
        <color theme="1"/>
        <rFont val="Calibri"/>
        <family val="2"/>
        <charset val="1"/>
      </rPr>
      <t xml:space="preserve">7/22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3.2GW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2028–2032 </t>
    </r>
    <r>
      <rPr>
        <sz val="11"/>
        <color theme="1"/>
        <rFont val="Noto Sans CJK SC"/>
        <family val="2"/>
      </rPr>
      <t xml:space="preserve">分期與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上線。</t>
    </r>
  </si>
  <si>
    <t xml:space="preserve">https://www.wtoc.com/2026/09/16/state-reveals-full-dri-report-openais-data-center-project/</t>
  </si>
  <si>
    <t xml:space="preserve">S#177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</si>
  <si>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Lebanon Campus</t>
    </r>
    <r>
      <rPr>
        <sz val="11"/>
        <color theme="1"/>
        <rFont val="Noto Sans CJK SC"/>
        <family val="2"/>
      </rPr>
      <t xml:space="preserve">｜全園區｜在建</t>
    </r>
  </si>
  <si>
    <t xml:space="preserve">2026-02-11</t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</si>
  <si>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2026-02-11</t>
    </r>
    <r>
      <rPr>
        <sz val="11"/>
        <color theme="1"/>
        <rFont val="Noto Sans CJK SC"/>
        <family val="2"/>
      </rPr>
      <t xml:space="preserve">、未說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或設施皆屬實。但原文無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上線時程、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引述及</t>
    </r>
    <r>
      <rPr>
        <sz val="11"/>
        <color theme="1"/>
        <rFont val="Calibri"/>
        <family val="2"/>
        <charset val="1"/>
      </rPr>
      <t xml:space="preserve">Boone</t>
    </r>
    <r>
      <rPr>
        <sz val="11"/>
        <color theme="1"/>
        <rFont val="Noto Sans CJK SC"/>
        <family val="2"/>
      </rPr>
      <t xml:space="preserve">郡暫停令，這些找不到；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「公司本人」亦非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標題。</t>
    </r>
  </si>
  <si>
    <t xml:space="preserve">https://www.datacenterdynamics.com/en/news/meta-announces-1gw-data-center-campus-in-indiana/</t>
  </si>
  <si>
    <t xml:space="preserve">S#178</t>
  </si>
  <si>
    <t xml:space="preserve">Meta (Greater Kudu LLC)</t>
  </si>
  <si>
    <r>
      <rPr>
        <sz val="11"/>
        <color theme="1"/>
        <rFont val="Calibri"/>
        <family val="2"/>
        <charset val="1"/>
      </rPr>
      <t xml:space="preserve">Meta (Greater Kudu LLC)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Los Lunas Campus</t>
    </r>
    <r>
      <rPr>
        <sz val="11"/>
        <color theme="1"/>
        <rFont val="Noto Sans CJK SC"/>
        <family val="2"/>
      </rPr>
      <t xml:space="preserve">｜全園區｜上線</t>
    </r>
  </si>
  <si>
    <t xml:space="preserve">87 MW</t>
  </si>
  <si>
    <t xml:space="preserve">未標示</t>
  </si>
  <si>
    <r>
      <rPr>
        <sz val="11"/>
        <color theme="1"/>
        <rFont val="Calibri"/>
        <family val="2"/>
        <charset val="1"/>
      </rPr>
      <t xml:space="preserve">87MW </t>
    </r>
    <r>
      <rPr>
        <sz val="11"/>
        <color theme="1"/>
        <rFont val="Noto Sans CJK SC"/>
        <family val="2"/>
      </rPr>
      <t xml:space="preserve">僅是 </t>
    </r>
    <r>
      <rPr>
        <sz val="11"/>
        <color theme="1"/>
        <rFont val="Calibri"/>
        <family val="2"/>
        <charset val="1"/>
      </rPr>
      <t xml:space="preserve">2026-03-01 </t>
    </r>
    <r>
      <rPr>
        <sz val="11"/>
        <color theme="1"/>
        <rFont val="Noto Sans CJK SC"/>
        <family val="2"/>
      </rPr>
      <t xml:space="preserve">的時間點估值；當前為 </t>
    </r>
    <r>
      <rPr>
        <sz val="11"/>
        <color theme="1"/>
        <rFont val="Calibri"/>
        <family val="2"/>
        <charset val="1"/>
      </rPr>
      <t xml:space="preserve">118MW</t>
    </r>
    <r>
      <rPr>
        <sz val="11"/>
        <color theme="1"/>
        <rFont val="Noto Sans CJK SC"/>
        <family val="2"/>
      </rPr>
      <t xml:space="preserve">，預測 </t>
    </r>
    <r>
      <rPr>
        <sz val="11"/>
        <color theme="1"/>
        <rFont val="Calibri"/>
        <family val="2"/>
        <charset val="1"/>
      </rPr>
      <t xml:space="preserve">218MW</t>
    </r>
    <r>
      <rPr>
        <sz val="11"/>
        <color theme="1"/>
        <rFont val="Noto Sans CJK SC"/>
        <family val="2"/>
      </rPr>
      <t xml:space="preserve">。資本支出 </t>
    </r>
    <r>
      <rPr>
        <sz val="11"/>
        <color theme="1"/>
        <rFont val="Calibri"/>
        <family val="2"/>
        <charset val="1"/>
      </rPr>
      <t xml:space="preserve">$3.3B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33 </t>
    </r>
    <r>
      <rPr>
        <sz val="11"/>
        <color theme="1"/>
        <rFont val="Noto Sans CJK SC"/>
        <family val="2"/>
      </rPr>
      <t xml:space="preserve">億。原文無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上線，亦無 </t>
    </r>
    <r>
      <rPr>
        <sz val="11"/>
        <color theme="1"/>
        <rFont val="Calibri"/>
        <family val="2"/>
        <charset val="1"/>
      </rPr>
      <t xml:space="preserve">100/105/120MW </t>
    </r>
    <r>
      <rPr>
        <sz val="11"/>
        <color theme="1"/>
        <rFont val="Noto Sans CJK SC"/>
        <family val="2"/>
      </rPr>
      <t xml:space="preserve">說法。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應為估算而非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。</t>
    </r>
  </si>
  <si>
    <t xml:space="preserve">https://samaritan-research.org/data/ai-data-centers/directory/meta-los-lunas</t>
  </si>
  <si>
    <t xml:space="preserve">S#179</t>
  </si>
  <si>
    <r>
      <rPr>
        <sz val="11"/>
        <color theme="1"/>
        <rFont val="Calibri"/>
        <family val="2"/>
        <charset val="1"/>
      </rPr>
      <t xml:space="preserve">Meta (Greater Kudu LLC)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Los Lunas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 AI </t>
    </r>
    <r>
      <rPr>
        <sz val="11"/>
        <color theme="1"/>
        <rFont val="Noto Sans CJK SC"/>
        <family val="2"/>
      </rPr>
      <t xml:space="preserve">擴建（兩棟，約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億美元）｜在建</t>
    </r>
  </si>
  <si>
    <t xml:space="preserve">2026-09-15</t>
  </si>
  <si>
    <r>
      <rPr>
        <sz val="11"/>
        <color theme="1"/>
        <rFont val="Noto Sans CJK SC"/>
        <family val="2"/>
      </rPr>
      <t xml:space="preserve">動工時點、</t>
    </r>
    <r>
      <rPr>
        <sz val="11"/>
        <color theme="1"/>
        <rFont val="Calibri"/>
        <family val="2"/>
        <charset val="1"/>
      </rPr>
      <t xml:space="preserve">2–3</t>
    </r>
    <r>
      <rPr>
        <sz val="11"/>
        <color theme="1"/>
        <rFont val="Noto Sans CJK SC"/>
        <family val="2"/>
      </rPr>
      <t xml:space="preserve">年工期、未公開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億美元皆與原文相符。但原文寫</t>
    </r>
    <r>
      <rPr>
        <sz val="11"/>
        <color theme="1"/>
        <rFont val="Calibri"/>
        <family val="2"/>
        <charset val="1"/>
      </rPr>
      <t xml:space="preserve">PNM</t>
    </r>
    <r>
      <rPr>
        <sz val="11"/>
        <color theme="1"/>
        <rFont val="Noto Sans CJK SC"/>
        <family val="2"/>
      </rPr>
      <t xml:space="preserve">「尋求核准」三個太陽能加儲能案，不是「已簽」購電約。</t>
    </r>
    <r>
      <rPr>
        <sz val="11"/>
        <color theme="1"/>
        <rFont val="Calibri"/>
        <family val="2"/>
        <charset val="1"/>
      </rPr>
      <t xml:space="preserve">tag [Interested-party] </t>
    </r>
    <r>
      <rPr>
        <sz val="11"/>
        <color theme="1"/>
        <rFont val="Noto Sans CJK SC"/>
        <family val="2"/>
      </rPr>
      <t xml:space="preserve">對聚合型網站也偏弱。</t>
    </r>
  </si>
  <si>
    <t xml:space="preserve">https://suedatacenters.org/data-centers/meta-los-lunas-ai-nm</t>
  </si>
  <si>
    <t xml:space="preserve">S#180</t>
  </si>
  <si>
    <r>
      <rPr>
        <sz val="11"/>
        <color theme="1"/>
        <rFont val="Calibri"/>
        <family val="2"/>
        <charset val="1"/>
      </rPr>
      <t xml:space="preserve">Meta (Greater Kudu LLC)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Los Lunas Campus</t>
    </r>
    <r>
      <rPr>
        <sz val="11"/>
        <color theme="1"/>
        <rFont val="Noto Sans CJK SC"/>
        <family val="2"/>
      </rPr>
      <t xml:space="preserve">｜相鄰 </t>
    </r>
    <r>
      <rPr>
        <sz val="11"/>
        <color theme="1"/>
        <rFont val="Calibri"/>
        <family val="2"/>
        <charset val="1"/>
      </rPr>
      <t xml:space="preserve">474 </t>
    </r>
    <r>
      <rPr>
        <sz val="11"/>
        <color theme="1"/>
        <rFont val="Noto Sans CJK SC"/>
        <family val="2"/>
      </rPr>
      <t xml:space="preserve">英畝用地／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IRB </t>
    </r>
    <r>
      <rPr>
        <sz val="11"/>
        <color theme="1"/>
        <rFont val="Noto Sans CJK SC"/>
        <family val="2"/>
      </rPr>
      <t xml:space="preserve">擴建｜規劃</t>
    </r>
  </si>
  <si>
    <t xml:space="preserve">2026-01-13</t>
  </si>
  <si>
    <t xml:space="preserve">https://www.newsradiokkob.com/2026/01/13/meta-expanding-its-los-lunas-footprint/</t>
  </si>
  <si>
    <t xml:space="preserve">S#181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</si>
  <si>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（開發）→ </t>
    </r>
    <r>
      <rPr>
        <sz val="11"/>
        <color theme="1"/>
        <rFont val="Calibri"/>
        <family val="2"/>
        <charset val="1"/>
      </rPr>
      <t xml:space="preserve">Google</t>
    </r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</si>
  <si>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（開發）→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｜全園區｜在建</t>
    </r>
  </si>
  <si>
    <t xml:space="preserve">https://www.globenewswire.com/news-release/2026/09/28/3370313/0/en/crusoe-developing-data-center-campus-in-armstrong-county-texas.html</t>
  </si>
  <si>
    <t xml:space="preserve">S#182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</si>
  <si>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</t>
    </r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</si>
  <si>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Load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180MW+85MW </t>
    </r>
    <r>
      <rPr>
        <sz val="11"/>
        <color theme="1"/>
        <rFont val="Noto Sans CJK SC"/>
        <family val="2"/>
      </rPr>
      <t xml:space="preserve">兩階段）｜在建</t>
    </r>
  </si>
  <si>
    <t xml:space="preserve">265.5 MW</t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</si>
  <si>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Load 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265.5 MW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180+85 </t>
    </r>
    <r>
      <rPr>
        <sz val="11"/>
        <color theme="1"/>
        <rFont val="Noto Sans CJK SC"/>
        <family val="2"/>
      </rPr>
      <t xml:space="preserve">兩階段；</t>
    </r>
    <r>
      <rPr>
        <sz val="11"/>
        <color theme="1"/>
        <rFont val="Calibri"/>
        <family val="2"/>
        <charset val="1"/>
      </rPr>
      <t xml:space="preserve">265.5 MW </t>
    </r>
    <r>
      <rPr>
        <sz val="11"/>
        <color theme="1"/>
        <rFont val="Noto Sans CJK SC"/>
        <family val="2"/>
      </rPr>
      <t xml:space="preserve">同時是風場容量，並非「在建」設施負載。文章日期為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08-07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Load 2 260 MW </t>
    </r>
    <r>
      <rPr>
        <sz val="11"/>
        <color theme="1"/>
        <rFont val="Noto Sans CJK SC"/>
        <family val="2"/>
      </rPr>
      <t xml:space="preserve">屬 </t>
    </r>
    <r>
      <rPr>
        <sz val="11"/>
        <color theme="1"/>
        <rFont val="Calibri"/>
        <family val="2"/>
        <charset val="1"/>
      </rPr>
      <t xml:space="preserve">Ensign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58881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分鐘削減屬實，但「另一來源 </t>
    </r>
    <r>
      <rPr>
        <sz val="11"/>
        <color theme="1"/>
        <rFont val="Calibri"/>
        <family val="2"/>
        <charset val="1"/>
      </rPr>
      <t xml:space="preserve">180+85</t>
    </r>
    <r>
      <rPr>
        <sz val="11"/>
        <color theme="1"/>
        <rFont val="Noto Sans CJK SC"/>
        <family val="2"/>
      </rPr>
      <t xml:space="preserve">」原文找不到。</t>
    </r>
  </si>
  <si>
    <t xml:space="preserve">https://www.tftc.io/puct-docket-59220-crusoe-ensign-goodnight-wind-ai-campus-sb6-curtailment</t>
  </si>
  <si>
    <t xml:space="preserve">S#183</t>
  </si>
  <si>
    <r>
      <rPr>
        <sz val="11"/>
        <color theme="1"/>
        <rFont val="Calibri"/>
        <family val="2"/>
        <charset val="1"/>
      </rPr>
      <t xml:space="preserve">Ensign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向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購入場址）</t>
    </r>
  </si>
  <si>
    <r>
      <rPr>
        <sz val="11"/>
        <color theme="1"/>
        <rFont val="Calibri"/>
        <family val="2"/>
        <charset val="1"/>
      </rPr>
      <t xml:space="preserve">Ensign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向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購入場址）｜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Load 2 / Crusoe Two</t>
    </r>
    <r>
      <rPr>
        <sz val="11"/>
        <color theme="1"/>
        <rFont val="Noto Sans CJK SC"/>
        <family val="2"/>
      </rPr>
      <t xml:space="preserve">｜在建</t>
    </r>
  </si>
  <si>
    <t xml:space="preserve">2026-07-02</t>
  </si>
  <si>
    <r>
      <rPr>
        <sz val="11"/>
        <color theme="1"/>
        <rFont val="Calibri"/>
        <family val="2"/>
        <charset val="1"/>
      </rPr>
      <t xml:space="preserve">260MW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Ensign</t>
    </r>
    <r>
      <rPr>
        <sz val="11"/>
        <color theme="1"/>
        <rFont val="Noto Sans CJK SC"/>
        <family val="2"/>
      </rPr>
      <t xml:space="preserve">購入場址、</t>
    </r>
    <r>
      <rPr>
        <sz val="11"/>
        <color theme="1"/>
        <rFont val="Calibri"/>
        <family val="2"/>
        <charset val="1"/>
      </rPr>
      <t xml:space="preserve">265.5MW</t>
    </r>
    <r>
      <rPr>
        <sz val="11"/>
        <color theme="1"/>
        <rFont val="Noto Sans CJK SC"/>
        <family val="2"/>
      </rPr>
      <t xml:space="preserve">風場屬實；但原文是</t>
    </r>
    <r>
      <rPr>
        <sz val="11"/>
        <color theme="1"/>
        <rFont val="Calibri"/>
        <family val="2"/>
        <charset val="1"/>
      </rPr>
      <t xml:space="preserve">2026-07-02</t>
    </r>
    <r>
      <rPr>
        <sz val="11"/>
        <color theme="1"/>
        <rFont val="Noto Sans CJK SC"/>
        <family val="2"/>
      </rPr>
      <t xml:space="preserve">聯合提案命令草案（當事人提出），非核准，</t>
    </r>
    <r>
      <rPr>
        <sz val="11"/>
        <color theme="1"/>
        <rFont val="Calibri"/>
        <family val="2"/>
        <charset val="1"/>
      </rPr>
      <t xml:space="preserve">7/23-24</t>
    </r>
    <r>
      <rPr>
        <sz val="11"/>
        <color theme="1"/>
        <rFont val="Noto Sans CJK SC"/>
        <family val="2"/>
      </rPr>
      <t xml:space="preserve">核准與</t>
    </r>
    <r>
      <rPr>
        <sz val="11"/>
        <color theme="1"/>
        <rFont val="Calibri"/>
        <family val="2"/>
        <charset val="1"/>
      </rPr>
      <t xml:space="preserve">2027-05</t>
    </r>
    <r>
      <rPr>
        <sz val="11"/>
        <color theme="1"/>
        <rFont val="Noto Sans CJK SC"/>
        <family val="2"/>
      </rPr>
      <t xml:space="preserve">通電皆未見；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應為利害關係人；「在建」與「全額削減」亦未見。</t>
    </r>
  </si>
  <si>
    <t xml:space="preserve">https://interchange.puc.texas.gov/Documents/59220_56_1662474.PDF</t>
  </si>
  <si>
    <t xml:space="preserve">S#184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</si>
  <si>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｜現場燃氣電廠（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台渦輪）｜規劃</t>
    </r>
  </si>
  <si>
    <t xml:space="preserve">933 MW</t>
  </si>
  <si>
    <r>
      <rPr>
        <sz val="11"/>
        <color theme="1"/>
        <rFont val="Calibri"/>
        <family val="2"/>
        <charset val="1"/>
      </rPr>
      <t xml:space="preserve">933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月許可申請、離網供兩棟、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未簽購電協議皆屬實。但「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台渦輪」、衛星影像與彙整站狀態不在此文；原文為「兩棟」非「至少兩棟」。不影響</t>
    </r>
    <r>
      <rPr>
        <sz val="11"/>
        <color theme="1"/>
        <rFont val="Calibri"/>
        <family val="2"/>
        <charset val="1"/>
      </rPr>
      <t xml:space="preserve">933 MW</t>
    </r>
    <r>
      <rPr>
        <sz val="11"/>
        <color theme="1"/>
        <rFont val="Noto Sans CJK SC"/>
        <family val="2"/>
      </rPr>
      <t xml:space="preserve">數值。</t>
    </r>
  </si>
  <si>
    <t xml:space="preserve">https://theenergymag.com/news/2026-09-29/crusoe-google-texas-ai-armstrong</t>
  </si>
  <si>
    <t xml:space="preserve">S#185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</si>
  <si>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（開發）→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Aterio </t>
    </r>
    <r>
      <rPr>
        <sz val="11"/>
        <color theme="1"/>
        <rFont val="Noto Sans CJK SC"/>
        <family val="2"/>
      </rPr>
      <t xml:space="preserve">估算 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棟）｜在建</t>
    </r>
  </si>
  <si>
    <t xml:space="preserve">530 MW</t>
  </si>
  <si>
    <r>
      <rPr>
        <sz val="11"/>
        <color theme="1"/>
        <rFont val="Calibri"/>
        <family val="2"/>
        <charset val="1"/>
      </rPr>
      <t xml:space="preserve">530MW </t>
    </r>
    <r>
      <rPr>
        <sz val="11"/>
        <color theme="1"/>
        <rFont val="Noto Sans CJK SC"/>
        <family val="2"/>
      </rPr>
      <t xml:space="preserve">與四棟屬實，但來源為 </t>
    </r>
    <r>
      <rPr>
        <sz val="11"/>
        <color theme="1"/>
        <rFont val="Calibri"/>
        <family val="2"/>
        <charset val="1"/>
      </rPr>
      <t xml:space="preserve">Aterio </t>
    </r>
    <r>
      <rPr>
        <sz val="11"/>
        <color theme="1"/>
        <rFont val="Noto Sans CJK SC"/>
        <family val="2"/>
      </rPr>
      <t xml:space="preserve">第三方估算，標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偏高。原文日期為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。原文未提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，也沒有縣府稱縮減為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棟、稅賦減免文件。「在建」亦與原文不完全一致。</t>
    </r>
  </si>
  <si>
    <t xml:space="preserve">https://www.datacenterdynamics.com/en/news/crusoe-files-for-two-more-data-centers-at-goodnight-campus-in-armstrong-county-texas/</t>
  </si>
  <si>
    <t xml:space="preserve">S#186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</si>
  <si>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（開發）→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Aterio </t>
    </r>
    <r>
      <rPr>
        <sz val="11"/>
        <color theme="1"/>
        <rFont val="Noto Sans CJK SC"/>
        <family val="2"/>
      </rPr>
      <t xml:space="preserve">估算 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棟）｜規劃</t>
    </r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</si>
  <si>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、三棟、總投資 </t>
    </r>
    <r>
      <rPr>
        <sz val="11"/>
        <color theme="1"/>
        <rFont val="Calibri"/>
        <family val="2"/>
        <charset val="1"/>
      </rPr>
      <t xml:space="preserve">290 </t>
    </r>
    <r>
      <rPr>
        <sz val="11"/>
        <color theme="1"/>
        <rFont val="Noto Sans CJK SC"/>
        <family val="2"/>
      </rPr>
      <t xml:space="preserve">億美元皆屬實，但為 </t>
    </r>
    <r>
      <rPr>
        <sz val="11"/>
        <color theme="1"/>
        <rFont val="Calibri"/>
        <family val="2"/>
        <charset val="1"/>
      </rPr>
      <t xml:space="preserve">Aterio </t>
    </r>
    <r>
      <rPr>
        <sz val="11"/>
        <color theme="1"/>
        <rFont val="Noto Sans CJK SC"/>
        <family val="2"/>
      </rPr>
      <t xml:space="preserve">估算，不宜標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。原文日期為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。原文未提縣府稱縮減，也未提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。</t>
    </r>
  </si>
  <si>
    <t xml:space="preserve">S#187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</si>
  <si>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Haskell County Campuses</t>
    </r>
    <r>
      <rPr>
        <sz val="11"/>
        <color theme="1"/>
        <rFont val="Noto Sans CJK SC"/>
        <family val="2"/>
      </rPr>
      <t xml:space="preserve">｜全園區｜在建</t>
    </r>
  </si>
  <si>
    <t xml:space="preserve">2026-06-04</t>
  </si>
  <si>
    <r>
      <rPr>
        <sz val="11"/>
        <color theme="1"/>
        <rFont val="Calibri"/>
        <family val="2"/>
        <charset val="1"/>
      </rPr>
      <t xml:space="preserve">2026-06-04 </t>
    </r>
    <r>
      <rPr>
        <sz val="11"/>
        <color theme="1"/>
        <rFont val="Noto Sans CJK SC"/>
        <family val="2"/>
      </rPr>
      <t xml:space="preserve">稱資料中心近期動工，與原文相符；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也未公開。但原文只提 </t>
    </r>
    <r>
      <rPr>
        <sz val="11"/>
        <color theme="1"/>
        <rFont val="Calibri"/>
        <family val="2"/>
        <charset val="1"/>
      </rPr>
      <t xml:space="preserve">Haskell </t>
    </r>
    <r>
      <rPr>
        <sz val="11"/>
        <color theme="1"/>
        <rFont val="Noto Sans CJK SC"/>
        <family val="2"/>
      </rPr>
      <t xml:space="preserve">一座，沒有「兩座園區」，也沒有 </t>
    </r>
    <r>
      <rPr>
        <sz val="11"/>
        <color theme="1"/>
        <rFont val="Calibri"/>
        <family val="2"/>
        <charset val="1"/>
      </rPr>
      <t xml:space="preserve">CoStar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完工目標，這些須由其他來源支持。</t>
    </r>
  </si>
  <si>
    <t xml:space="preserve">https://www.intersect.com/news/google-and-intersect-deepen-texas-roots-with-new-data-center-and-energy-investments-in-gray-and-roberts-counties</t>
  </si>
  <si>
    <t xml:space="preserve">S#188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</si>
  <si>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Haskell County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Thelma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Homebound Data Center</t>
    </r>
    <r>
      <rPr>
        <sz val="11"/>
        <color theme="1"/>
        <rFont val="Noto Sans CJK SC"/>
        <family val="2"/>
      </rPr>
      <t xml:space="preserve">）｜規劃</t>
    </r>
  </si>
  <si>
    <t xml:space="preserve">2025-06-24</t>
  </si>
  <si>
    <r>
      <rPr>
        <sz val="11"/>
        <color theme="1"/>
        <rFont val="Noto Sans CJK SC"/>
        <family val="2"/>
      </rPr>
      <t xml:space="preserve">協議名稱、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標註與日期</t>
    </r>
    <r>
      <rPr>
        <sz val="11"/>
        <color theme="1"/>
        <rFont val="Calibri"/>
        <family val="2"/>
        <charset val="1"/>
      </rPr>
      <t xml:space="preserve">2025-06-24</t>
    </r>
    <r>
      <rPr>
        <sz val="11"/>
        <color theme="1"/>
        <rFont val="Noto Sans CJK SC"/>
        <family val="2"/>
      </rPr>
      <t xml:space="preserve">屬實；頁面僅列連結，未載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「第三方機構」不準，實為郡政府官方頁面；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對日期可成立。</t>
    </r>
  </si>
  <si>
    <t xml:space="preserve">https://www.haskellcountytx.gov/page/haskell.Abatement</t>
  </si>
  <si>
    <t xml:space="preserve">S#189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</si>
  <si>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Haskell County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Ranger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Ascendant Site Solutions</t>
    </r>
    <r>
      <rPr>
        <sz val="11"/>
        <color theme="1"/>
        <rFont val="Noto Sans CJK SC"/>
        <family val="2"/>
      </rPr>
      <t xml:space="preserve">）｜規劃</t>
    </r>
  </si>
  <si>
    <t xml:space="preserve">2026-04-27</t>
  </si>
  <si>
    <r>
      <rPr>
        <sz val="11"/>
        <color theme="1"/>
        <rFont val="Calibri"/>
        <family val="2"/>
        <charset val="1"/>
      </rPr>
      <t xml:space="preserve">Ranger</t>
    </r>
    <r>
      <rPr>
        <sz val="11"/>
        <color theme="1"/>
        <rFont val="Noto Sans CJK SC"/>
        <family val="2"/>
      </rPr>
      <t xml:space="preserve">協議、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標註與日期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另案（</t>
    </r>
    <r>
      <rPr>
        <sz val="11"/>
        <color theme="1"/>
        <rFont val="Calibri"/>
        <family val="2"/>
        <charset val="1"/>
      </rPr>
      <t xml:space="preserve">Haskell DC Owner, June 23, 2026</t>
    </r>
    <r>
      <rPr>
        <sz val="11"/>
        <color theme="1"/>
        <rFont val="Noto Sans CJK SC"/>
        <family val="2"/>
      </rPr>
      <t xml:space="preserve">）亦屬實。未載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符合。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「第三方機構」應為郡政府頁面。</t>
    </r>
  </si>
  <si>
    <t xml:space="preserve">S#190</t>
  </si>
  <si>
    <r>
      <rPr>
        <sz val="11"/>
        <color theme="1"/>
        <rFont val="Calibri"/>
        <family val="2"/>
        <charset val="1"/>
      </rPr>
      <t xml:space="preserve">Intersect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2026-03 </t>
    </r>
    <r>
      <rPr>
        <sz val="11"/>
        <color theme="1"/>
        <rFont val="Noto Sans CJK SC"/>
        <family val="2"/>
      </rPr>
      <t xml:space="preserve">收購）</t>
    </r>
  </si>
  <si>
    <r>
      <rPr>
        <sz val="11"/>
        <color theme="1"/>
        <rFont val="Calibri"/>
        <family val="2"/>
        <charset val="1"/>
      </rPr>
      <t xml:space="preserve">Intersect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2026-03 </t>
    </r>
    <r>
      <rPr>
        <sz val="11"/>
        <color theme="1"/>
        <rFont val="Noto Sans CJK SC"/>
        <family val="2"/>
      </rPr>
      <t xml:space="preserve">收購）｜</t>
    </r>
    <r>
      <rPr>
        <sz val="11"/>
        <color theme="1"/>
        <rFont val="Calibri"/>
        <family val="2"/>
        <charset val="1"/>
      </rPr>
      <t xml:space="preserve">Google Haskell County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Quantum I/II </t>
    </r>
    <r>
      <rPr>
        <sz val="11"/>
        <color theme="1"/>
        <rFont val="Noto Sans CJK SC"/>
        <family val="2"/>
      </rPr>
      <t xml:space="preserve">配套電源（太陽能，非資料中心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）｜上線</t>
    </r>
  </si>
  <si>
    <t xml:space="preserve">640 MW</t>
  </si>
  <si>
    <t xml:space="preserve">2026-10-07</t>
  </si>
  <si>
    <r>
      <rPr>
        <sz val="11"/>
        <color theme="1"/>
        <rFont val="Calibri"/>
        <family val="2"/>
        <charset val="1"/>
      </rPr>
      <t xml:space="preserve">640 MW </t>
    </r>
    <r>
      <rPr>
        <sz val="11"/>
        <color theme="1"/>
        <rFont val="Noto Sans CJK SC"/>
        <family val="2"/>
      </rPr>
      <t xml:space="preserve">太陽能、</t>
    </r>
    <r>
      <rPr>
        <sz val="11"/>
        <color theme="1"/>
        <rFont val="Calibri"/>
        <family val="2"/>
        <charset val="1"/>
      </rPr>
      <t xml:space="preserve">1.3 GWh </t>
    </r>
    <r>
      <rPr>
        <sz val="11"/>
        <color theme="1"/>
        <rFont val="Noto Sans CJK SC"/>
        <family val="2"/>
      </rPr>
      <t xml:space="preserve">儲能屬實，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運轉亦屬實。但原文狀態欄寫 </t>
    </r>
    <r>
      <rPr>
        <sz val="11"/>
        <color theme="1"/>
        <rFont val="Calibri"/>
        <family val="2"/>
        <charset val="1"/>
      </rPr>
      <t xml:space="preserve">In Operation</t>
    </r>
    <r>
      <rPr>
        <sz val="11"/>
        <color theme="1"/>
        <rFont val="Noto Sans CJK SC"/>
        <family val="2"/>
      </rPr>
      <t xml:space="preserve">，並無「在建」矛盾；該說法不實。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資料中心才剛開工。</t>
    </r>
  </si>
  <si>
    <t xml:space="preserve">https://www.intersect.com/portfolio/quantum</t>
  </si>
  <si>
    <t xml:space="preserve">S#191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</si>
  <si>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Jupiter Star Holdings, LLC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</si>
  <si>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Jupiter Star Holdings,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Google Project Tembo (</t>
    </r>
    <r>
      <rPr>
        <sz val="11"/>
        <color theme="1"/>
        <rFont val="Noto Sans CJK SC"/>
        <family val="2"/>
      </rPr>
      <t xml:space="preserve">原 </t>
    </r>
    <r>
      <rPr>
        <sz val="11"/>
        <color theme="1"/>
        <rFont val="Calibri"/>
        <family val="2"/>
        <charset val="1"/>
      </rPr>
      <t xml:space="preserve">Project Jade)</t>
    </r>
    <r>
      <rPr>
        <sz val="11"/>
        <color theme="1"/>
        <rFont val="Noto Sans CJK SC"/>
        <family val="2"/>
      </rPr>
      <t xml:space="preserve">｜全園區｜規劃</t>
    </r>
  </si>
  <si>
    <t xml:space="preserve">2700 MW</t>
  </si>
  <si>
    <t xml:space="preserve">2026-07-14</t>
  </si>
  <si>
    <r>
      <rPr>
        <sz val="11"/>
        <color theme="1"/>
        <rFont val="Calibri"/>
        <family val="2"/>
        <charset val="1"/>
      </rPr>
      <t xml:space="preserve">2.7GW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座資料廳、</t>
    </r>
    <r>
      <rPr>
        <sz val="11"/>
        <color theme="1"/>
        <rFont val="Calibri"/>
        <family val="2"/>
        <charset val="1"/>
      </rPr>
      <t xml:space="preserve">2031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Jupiter Star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1.8GW/10GW </t>
    </r>
    <r>
      <rPr>
        <sz val="11"/>
        <color theme="1"/>
        <rFont val="Noto Sans CJK SC"/>
        <family val="2"/>
      </rPr>
      <t xml:space="preserve">皆屬實。但「縮減為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棟」「投資額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億至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億美元」原文找不到，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原文只說暫停並被取代。</t>
    </r>
  </si>
  <si>
    <t xml:space="preserve">https://www.datacenterdynamics.com/en/news/google-is-customer-behind-27gw-data-center-campus-near-cheyenne-wyoming/</t>
  </si>
  <si>
    <t xml:space="preserve">S#192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</si>
  <si>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Jupiter Star Holdings,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Google Project Tembo (</t>
    </r>
    <r>
      <rPr>
        <sz val="11"/>
        <color theme="1"/>
        <rFont val="Noto Sans CJK SC"/>
        <family val="2"/>
      </rPr>
      <t xml:space="preserve">原 </t>
    </r>
    <r>
      <rPr>
        <sz val="11"/>
        <color theme="1"/>
        <rFont val="Calibri"/>
        <family val="2"/>
        <charset val="1"/>
      </rPr>
      <t xml:space="preserve">Project Jade)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Black Hills </t>
    </r>
    <r>
      <rPr>
        <sz val="11"/>
        <color theme="1"/>
        <rFont val="Noto Sans CJK SC"/>
        <family val="2"/>
      </rPr>
      <t xml:space="preserve">電力服務合約（併網部分）｜簽約</t>
    </r>
  </si>
  <si>
    <t xml:space="preserve">590 MW</t>
  </si>
  <si>
    <t xml:space="preserve">https://fourweekmba.com/ai-black-hills-signs-google-power-deal-1-8b-gas-2-7-gw-mix/</t>
  </si>
  <si>
    <t xml:space="preserve">S#193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</si>
  <si>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West Memphis Campus</t>
    </r>
    <r>
      <rPr>
        <sz val="11"/>
        <color theme="1"/>
        <rFont val="Noto Sans CJK SC"/>
        <family val="2"/>
      </rPr>
      <t xml:space="preserve">｜第一階段（原契約，</t>
    </r>
    <r>
      <rPr>
        <sz val="11"/>
        <color theme="1"/>
        <rFont val="Calibri"/>
        <family val="2"/>
        <charset val="1"/>
      </rPr>
      <t xml:space="preserve">2025/12 PSC </t>
    </r>
    <r>
      <rPr>
        <sz val="11"/>
        <color theme="1"/>
        <rFont val="Noto Sans CJK SC"/>
        <family val="2"/>
      </rPr>
      <t xml:space="preserve">核准）｜在建</t>
    </r>
  </si>
  <si>
    <t xml:space="preserve">600 MW</t>
  </si>
  <si>
    <r>
      <rPr>
        <sz val="11"/>
        <color theme="1"/>
        <rFont val="Calibri"/>
        <family val="2"/>
        <charset val="1"/>
      </rPr>
      <t xml:space="preserve">600 MW </t>
    </r>
    <r>
      <rPr>
        <sz val="11"/>
        <color theme="1"/>
        <rFont val="Noto Sans CJK SC"/>
        <family val="2"/>
      </rPr>
      <t xml:space="preserve">為最大需量、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供電、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達滿載皆有；惟「在建」是否指此階段未說明。最低計費 </t>
    </r>
    <r>
      <rPr>
        <sz val="11"/>
        <color theme="1"/>
        <rFont val="Calibri"/>
        <family val="2"/>
        <charset val="1"/>
      </rPr>
      <t xml:space="preserve">40 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2027/02 </t>
    </r>
    <r>
      <rPr>
        <sz val="11"/>
        <color theme="1"/>
        <rFont val="Noto Sans CJK SC"/>
        <family val="2"/>
      </rPr>
      <t xml:space="preserve">不在原文，來自他處。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應偏 </t>
    </r>
    <r>
      <rPr>
        <sz val="11"/>
        <color theme="1"/>
        <rFont val="Calibri"/>
        <family val="2"/>
        <charset val="1"/>
      </rPr>
      <t xml:space="preserve">Interested-party/Derived</t>
    </r>
    <r>
      <rPr>
        <sz val="11"/>
        <color theme="1"/>
        <rFont val="Noto Sans CJK SC"/>
        <family val="2"/>
      </rPr>
      <t xml:space="preserve">。</t>
    </r>
  </si>
  <si>
    <t xml:space="preserve">https://www.arkansasonline.com/news/2026/oct/20/entergy-files-heavily-redacted-amended/</t>
  </si>
  <si>
    <t xml:space="preserve">S#194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</si>
  <si>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West Memphis Campus</t>
    </r>
    <r>
      <rPr>
        <sz val="11"/>
        <color theme="1"/>
        <rFont val="Noto Sans CJK SC"/>
        <family val="2"/>
      </rPr>
      <t xml:space="preserve">｜第二階段（</t>
    </r>
    <r>
      <rPr>
        <sz val="11"/>
        <color theme="1"/>
        <rFont val="Calibri"/>
        <family val="2"/>
        <charset val="1"/>
      </rPr>
      <t xml:space="preserve">Entergy 2026-10-19 </t>
    </r>
    <r>
      <rPr>
        <sz val="11"/>
        <color theme="1"/>
        <rFont val="Noto Sans CJK SC"/>
        <family val="2"/>
      </rPr>
      <t xml:space="preserve">公告，增加最大需量並加速爬升）｜規劃</t>
    </r>
  </si>
  <si>
    <r>
      <rPr>
        <sz val="11"/>
        <color theme="1"/>
        <rFont val="Noto Sans CJK SC"/>
        <family val="2"/>
      </rPr>
      <t xml:space="preserve">需量超過 </t>
    </r>
    <r>
      <rPr>
        <sz val="11"/>
        <color theme="1"/>
        <rFont val="Calibri"/>
        <family val="2"/>
        <charset val="1"/>
      </rPr>
      <t xml:space="preserve">600 MW </t>
    </r>
    <r>
      <rPr>
        <sz val="11"/>
        <color theme="1"/>
        <rFont val="Noto Sans CJK SC"/>
        <family val="2"/>
      </rPr>
      <t xml:space="preserve">且增幅遮蔽、</t>
    </r>
    <r>
      <rPr>
        <sz val="11"/>
        <color theme="1"/>
        <rFont val="Calibri"/>
        <family val="2"/>
        <charset val="1"/>
      </rPr>
      <t xml:space="preserve">Big Island 440 MW </t>
    </r>
    <r>
      <rPr>
        <sz val="11"/>
        <color theme="1"/>
        <rFont val="Noto Sans CJK SC"/>
        <family val="2"/>
      </rPr>
      <t xml:space="preserve">被駁回皆屬實。「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」非原文針對第二階段所述，原文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底指 </t>
    </r>
    <r>
      <rPr>
        <sz val="11"/>
        <color theme="1"/>
        <rFont val="Calibri"/>
        <family val="2"/>
        <charset val="1"/>
      </rPr>
      <t xml:space="preserve">Cypress Solar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引自 </t>
    </r>
    <r>
      <rPr>
        <sz val="11"/>
        <color theme="1"/>
        <rFont val="Calibri"/>
        <family val="2"/>
        <charset val="1"/>
      </rPr>
      <t xml:space="preserve">Credence</t>
    </r>
    <r>
      <rPr>
        <sz val="11"/>
        <color theme="1"/>
        <rFont val="Noto Sans CJK SC"/>
        <family val="2"/>
      </rPr>
      <t xml:space="preserve">，非本文。</t>
    </r>
  </si>
  <si>
    <t xml:space="preserve">S#195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</si>
  <si>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Council Bluffs Southlands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估算，標為 </t>
    </r>
    <r>
      <rPr>
        <sz val="11"/>
        <color theme="1"/>
        <rFont val="Calibri"/>
        <family val="2"/>
        <charset val="1"/>
      </rPr>
      <t xml:space="preserve">Council Bluffs (East)</t>
    </r>
    <r>
      <rPr>
        <sz val="11"/>
        <color theme="1"/>
        <rFont val="Noto Sans CJK SC"/>
        <family val="2"/>
      </rPr>
      <t xml:space="preserve">）｜上線</t>
    </r>
  </si>
  <si>
    <t xml:space="preserve">237 MW</t>
  </si>
  <si>
    <r>
      <rPr>
        <sz val="11"/>
        <color theme="1"/>
        <rFont val="Calibri"/>
        <family val="2"/>
        <charset val="1"/>
      </rPr>
      <t xml:space="preserve">237 MW IT </t>
    </r>
    <r>
      <rPr>
        <sz val="11"/>
        <color theme="1"/>
        <rFont val="Noto Sans CJK SC"/>
        <family val="2"/>
      </rPr>
      <t xml:space="preserve">屬實，</t>
    </r>
    <r>
      <rPr>
        <sz val="11"/>
        <color theme="1"/>
        <rFont val="Calibri"/>
        <family val="2"/>
        <charset val="1"/>
      </rPr>
      <t xml:space="preserve">Building 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2024-11 </t>
    </r>
    <r>
      <rPr>
        <sz val="11"/>
        <color theme="1"/>
        <rFont val="Noto Sans CJK SC"/>
        <family val="2"/>
      </rPr>
      <t xml:space="preserve">推測也屬實。但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自行估算，不是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，應標 </t>
    </r>
    <r>
      <rPr>
        <sz val="11"/>
        <color theme="1"/>
        <rFont val="Calibri"/>
        <family val="2"/>
        <charset val="1"/>
      </rPr>
      <t xml:space="preserve">[Analogy] </t>
    </r>
    <r>
      <rPr>
        <sz val="11"/>
        <color theme="1"/>
        <rFont val="Noto Sans CJK SC"/>
        <family val="2"/>
      </rPr>
      <t xml:space="preserve">或第三方估算；</t>
    </r>
    <r>
      <rPr>
        <sz val="11"/>
        <color theme="1"/>
        <rFont val="Calibri"/>
        <family val="2"/>
        <charset val="1"/>
      </rPr>
      <t xml:space="preserve">as_of 2026-09-03 </t>
    </r>
    <r>
      <rPr>
        <sz val="11"/>
        <color theme="1"/>
        <rFont val="Noto Sans CJK SC"/>
        <family val="2"/>
      </rPr>
      <t xml:space="preserve">是頁面更新日。「</t>
    </r>
    <r>
      <rPr>
        <sz val="11"/>
        <color theme="1"/>
        <rFont val="Calibri"/>
        <family val="2"/>
        <charset val="1"/>
      </rPr>
      <t xml:space="preserve">55 </t>
    </r>
    <r>
      <rPr>
        <sz val="11"/>
        <color theme="1"/>
        <rFont val="Noto Sans CJK SC"/>
        <family val="2"/>
      </rPr>
      <t xml:space="preserve">天前」原文找不到。</t>
    </r>
    <r>
      <rPr>
        <sz val="11"/>
        <color theme="1"/>
        <rFont val="Calibri"/>
        <family val="2"/>
        <charset val="1"/>
      </rPr>
      <t xml:space="preserve">Building 1 </t>
    </r>
    <r>
      <rPr>
        <sz val="11"/>
        <color theme="1"/>
        <rFont val="Noto Sans CJK SC"/>
        <family val="2"/>
      </rPr>
      <t xml:space="preserve">上線時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79 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237 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的數字，與 </t>
    </r>
    <r>
      <rPr>
        <sz val="11"/>
        <color theme="1"/>
        <rFont val="Calibri"/>
        <family val="2"/>
        <charset val="1"/>
      </rPr>
      <t xml:space="preserve">expected_online 2024-11 </t>
    </r>
    <r>
      <rPr>
        <sz val="11"/>
        <color theme="1"/>
        <rFont val="Noto Sans CJK SC"/>
        <family val="2"/>
      </rPr>
      <t xml:space="preserve">不對應。</t>
    </r>
  </si>
  <si>
    <t xml:space="preserve">https://epoch.ai/data/ai-data-centers/directory/google-council-bluffs-east</t>
  </si>
  <si>
    <t xml:space="preserve">S#196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</si>
  <si>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Council Bluffs Southlands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Cleanview </t>
    </r>
    <r>
      <rPr>
        <sz val="11"/>
        <color theme="1"/>
        <rFont val="Noto Sans CJK SC"/>
        <family val="2"/>
      </rPr>
      <t xml:space="preserve">營運中合計）｜上線</t>
    </r>
  </si>
  <si>
    <t xml:space="preserve">696 MW</t>
  </si>
  <si>
    <t xml:space="preserve">2026-09-09</t>
  </si>
  <si>
    <r>
      <rPr>
        <sz val="11"/>
        <color theme="1"/>
        <rFont val="Calibri"/>
        <family val="2"/>
        <charset val="1"/>
      </rPr>
      <t xml:space="preserve">696 MW </t>
    </r>
    <r>
      <rPr>
        <sz val="11"/>
        <color theme="1"/>
        <rFont val="Noto Sans CJK SC"/>
        <family val="2"/>
      </rPr>
      <t xml:space="preserve">屬實，但原文是 </t>
    </r>
    <r>
      <rPr>
        <sz val="11"/>
        <color theme="1"/>
        <rFont val="Calibri"/>
        <family val="2"/>
        <charset val="1"/>
      </rPr>
      <t xml:space="preserve">power capacity</t>
    </r>
    <r>
      <rPr>
        <sz val="11"/>
        <color theme="1"/>
        <rFont val="Noto Sans CJK SC"/>
        <family val="2"/>
      </rPr>
      <t xml:space="preserve">（電網取電，近設施口徑），非「未說明」。頁面更新日為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，找不到「</t>
    </r>
    <r>
      <rPr>
        <sz val="11"/>
        <color theme="1"/>
        <rFont val="Calibri"/>
        <family val="2"/>
        <charset val="1"/>
      </rPr>
      <t xml:space="preserve">49 </t>
    </r>
    <r>
      <rPr>
        <sz val="11"/>
        <color theme="1"/>
        <rFont val="Noto Sans CJK SC"/>
        <family val="2"/>
      </rPr>
      <t xml:space="preserve">天前」。</t>
    </r>
    <r>
      <rPr>
        <sz val="11"/>
        <color theme="1"/>
        <rFont val="Calibri"/>
        <family val="2"/>
        <charset val="1"/>
      </rPr>
      <t xml:space="preserve">2013 </t>
    </r>
    <r>
      <rPr>
        <sz val="11"/>
        <color theme="1"/>
        <rFont val="Noto Sans CJK SC"/>
        <family val="2"/>
      </rPr>
      <t xml:space="preserve">啟用年也不在原文。</t>
    </r>
  </si>
  <si>
    <t xml:space="preserve">https://cleanview.co/data-centers/us</t>
  </si>
  <si>
    <t xml:space="preserve">S#197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</si>
  <si>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Council Bluffs Southlands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7</t>
    </r>
    <r>
      <rPr>
        <sz val="11"/>
        <color theme="1"/>
        <rFont val="Noto Sans CJK SC"/>
        <family val="2"/>
      </rPr>
      <t xml:space="preserve">｜上線</t>
    </r>
  </si>
  <si>
    <t xml:space="preserve">94 MW</t>
  </si>
  <si>
    <r>
      <rPr>
        <sz val="11"/>
        <color theme="1"/>
        <rFont val="Noto Sans CJK SC"/>
        <family val="2"/>
      </rPr>
      <t xml:space="preserve">頁面只給園區級容量區間，未列 </t>
    </r>
    <r>
      <rPr>
        <sz val="11"/>
        <color theme="1"/>
        <rFont val="Calibri"/>
        <family val="2"/>
        <charset val="1"/>
      </rPr>
      <t xml:space="preserve">Building 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94 MW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年營運；逐棟數據需付費訂閱。頁面也無 </t>
    </r>
    <r>
      <rPr>
        <sz val="11"/>
        <color theme="1"/>
        <rFont val="Calibri"/>
        <family val="2"/>
        <charset val="1"/>
      </rPr>
      <t xml:space="preserve">Data Center Map </t>
    </r>
    <r>
      <rPr>
        <sz val="11"/>
        <color theme="1"/>
        <rFont val="Noto Sans CJK SC"/>
        <family val="2"/>
      </rPr>
      <t xml:space="preserve">對照，「來源頁未載日期」亦不符（有更新日期）。</t>
    </r>
  </si>
  <si>
    <t xml:space="preserve">https://cleanview.co/data-centers/iowa</t>
  </si>
  <si>
    <t xml:space="preserve">S#198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</si>
  <si>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Council Bluffs Southlands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Iowa 70 </t>
    </r>
    <r>
      <rPr>
        <sz val="11"/>
        <color theme="1"/>
        <rFont val="Noto Sans CJK SC"/>
        <family val="2"/>
      </rPr>
      <t xml:space="preserve">億美元擴建（含 </t>
    </r>
    <r>
      <rPr>
        <sz val="11"/>
        <color theme="1"/>
        <rFont val="Calibri"/>
        <family val="2"/>
        <charset val="1"/>
      </rPr>
      <t xml:space="preserve">Council Bluffs</t>
    </r>
    <r>
      <rPr>
        <sz val="11"/>
        <color theme="1"/>
        <rFont val="Noto Sans CJK SC"/>
        <family val="2"/>
      </rPr>
      <t xml:space="preserve">，未分期）｜規劃</t>
    </r>
  </si>
  <si>
    <t xml:space="preserve">2025-05-30</t>
  </si>
  <si>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億美元、兩年期、</t>
    </r>
    <r>
      <rPr>
        <sz val="11"/>
        <color theme="1"/>
        <rFont val="Calibri"/>
        <family val="2"/>
        <charset val="1"/>
      </rPr>
      <t xml:space="preserve">Cedar Rapids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Council Bluffs </t>
    </r>
    <r>
      <rPr>
        <sz val="11"/>
        <color theme="1"/>
        <rFont val="Noto Sans CJK SC"/>
        <family val="2"/>
      </rPr>
      <t xml:space="preserve">皆屬實；原文無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Southlands</t>
    </r>
    <r>
      <rPr>
        <sz val="11"/>
        <color theme="1"/>
        <rFont val="Noto Sans CJK SC"/>
        <family val="2"/>
      </rPr>
      <t xml:space="preserve">分額，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為推算已自述。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寫「公司本人」並非報導標題，</t>
    </r>
    <r>
      <rPr>
        <sz val="11"/>
        <color theme="1"/>
        <rFont val="Calibri"/>
        <family val="2"/>
        <charset val="1"/>
      </rPr>
      <t xml:space="preserve">tag [Interested-party] </t>
    </r>
    <r>
      <rPr>
        <sz val="11"/>
        <color theme="1"/>
        <rFont val="Noto Sans CJK SC"/>
        <family val="2"/>
      </rPr>
      <t xml:space="preserve">對公司表態尚可，但來源是媒體。</t>
    </r>
  </si>
  <si>
    <t xml:space="preserve">https://corridorbusiness.com/google-to-invest-another-7-billion-in-iowa-in-next-two-years/</t>
  </si>
  <si>
    <t xml:space="preserve">S#199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</si>
  <si>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Project Zodiac (Fort Wayne)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（首棟）｜上線</t>
    </r>
  </si>
  <si>
    <t xml:space="preserve">2026-02-17</t>
  </si>
  <si>
    <r>
      <rPr>
        <sz val="11"/>
        <color theme="1"/>
        <rFont val="Noto Sans CJK SC"/>
        <family val="2"/>
      </rPr>
      <t xml:space="preserve">原文僅稱 </t>
    </r>
    <r>
      <rPr>
        <sz val="11"/>
        <color theme="1"/>
        <rFont val="Calibri"/>
        <family val="2"/>
        <charset val="1"/>
      </rPr>
      <t xml:space="preserve">2025/12 </t>
    </r>
    <r>
      <rPr>
        <sz val="11"/>
        <color theme="1"/>
        <rFont val="Noto Sans CJK SC"/>
        <family val="2"/>
      </rPr>
      <t xml:space="preserve">開始運轉，屬記者陳述。未見 </t>
    </r>
    <r>
      <rPr>
        <sz val="11"/>
        <color theme="1"/>
        <rFont val="Calibri"/>
        <family val="2"/>
        <charset val="1"/>
      </rPr>
      <t xml:space="preserve">Maps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Gemini</t>
    </r>
    <r>
      <rPr>
        <sz val="11"/>
        <color theme="1"/>
        <rFont val="Noto Sans CJK SC"/>
        <family val="2"/>
      </rPr>
      <t xml:space="preserve">、雲端客戶、</t>
    </r>
    <r>
      <rPr>
        <sz val="11"/>
        <color theme="1"/>
        <rFont val="Calibri"/>
        <family val="2"/>
        <charset val="1"/>
      </rPr>
      <t xml:space="preserve">I&amp;M 2024-11 </t>
    </r>
    <r>
      <rPr>
        <sz val="11"/>
        <color theme="1"/>
        <rFont val="Noto Sans CJK SC"/>
        <family val="2"/>
      </rPr>
      <t xml:space="preserve">送電或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說法；亦非公司本人原話。</t>
    </r>
  </si>
  <si>
    <t xml:space="preserve">https://www.21alivenews.com/2026/02/17/google-creates-website-address-questions-concerns-about-fort-wayne-data-center/</t>
  </si>
  <si>
    <t xml:space="preserve">S#200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</si>
  <si>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Project Zodiac (Fort Wayne)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（五棟）｜在建</t>
    </r>
  </si>
  <si>
    <t xml:space="preserve">2025-09-22</t>
  </si>
  <si>
    <r>
      <rPr>
        <sz val="11"/>
        <color theme="1"/>
        <rFont val="Noto Sans CJK SC"/>
        <family val="2"/>
      </rPr>
      <t xml:space="preserve">原文只講 </t>
    </r>
    <r>
      <rPr>
        <sz val="11"/>
        <color theme="1"/>
        <rFont val="Calibri"/>
        <family val="2"/>
        <charset val="1"/>
      </rPr>
      <t xml:space="preserve">IDEM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9/16 </t>
    </r>
    <r>
      <rPr>
        <sz val="11"/>
        <color theme="1"/>
        <rFont val="Noto Sans CJK SC"/>
        <family val="2"/>
      </rPr>
      <t xml:space="preserve">核准填濕地蓋五棟，沒有任何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在建數字，總容量未知。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「在建」與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無依據。許可屬官方文件，經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與標題也不精確。</t>
    </r>
  </si>
  <si>
    <t xml:space="preserve">https://www.datacenterdynamics.com/en/news/indiana-approves-expanding-googles-fort-wayne-data-center-campus-onto-protected-wetlands-despite-local-opposition/</t>
  </si>
  <si>
    <t xml:space="preserve">S#201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</si>
  <si>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Project Zodiac (Fort Wayne)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</t>
    </r>
    <r>
      <rPr>
        <sz val="11"/>
        <color theme="1"/>
        <rFont val="Noto Sans CJK SC"/>
        <family val="2"/>
      </rPr>
      <t xml:space="preserve">（三棟）｜規劃</t>
    </r>
  </si>
  <si>
    <r>
      <rPr>
        <sz val="11"/>
        <color theme="1"/>
        <rFont val="Calibri"/>
        <family val="2"/>
        <charset val="1"/>
      </rPr>
      <t xml:space="preserve">2.13</t>
    </r>
    <r>
      <rPr>
        <sz val="11"/>
        <color theme="1"/>
        <rFont val="Noto Sans CJK SC"/>
        <family val="2"/>
      </rPr>
      <t xml:space="preserve">英畝、三棟、</t>
    </r>
    <r>
      <rPr>
        <sz val="11"/>
        <color theme="1"/>
        <rFont val="Calibri"/>
        <family val="2"/>
        <charset val="1"/>
      </rPr>
      <t xml:space="preserve">9/10</t>
    </r>
    <r>
      <rPr>
        <sz val="11"/>
        <color theme="1"/>
        <rFont val="Noto Sans CJK SC"/>
        <family val="2"/>
      </rPr>
      <t xml:space="preserve">核准、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月完工均屬實。但「</t>
    </r>
    <r>
      <rPr>
        <sz val="11"/>
        <color theme="1"/>
        <rFont val="Calibri"/>
        <family val="2"/>
        <charset val="1"/>
      </rPr>
      <t xml:space="preserve">867,435</t>
    </r>
    <r>
      <rPr>
        <sz val="11"/>
        <color theme="1"/>
        <rFont val="Noto Sans CJK SC"/>
        <family val="2"/>
      </rPr>
      <t xml:space="preserve">平方呎」和任何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數值原文都沒有，可能在</t>
    </r>
    <r>
      <rPr>
        <sz val="11"/>
        <color theme="1"/>
        <rFont val="Calibri"/>
        <family val="2"/>
        <charset val="1"/>
      </rPr>
      <t xml:space="preserve">IDEM</t>
    </r>
    <r>
      <rPr>
        <sz val="11"/>
        <color theme="1"/>
        <rFont val="Noto Sans CJK SC"/>
        <family val="2"/>
      </rPr>
      <t xml:space="preserve">附件中。</t>
    </r>
    <r>
      <rPr>
        <sz val="11"/>
        <color theme="1"/>
        <rFont val="Calibri"/>
        <family val="2"/>
        <charset val="1"/>
      </rPr>
      <t xml:space="preserve">2030-12</t>
    </r>
    <r>
      <rPr>
        <sz val="11"/>
        <color theme="1"/>
        <rFont val="Noto Sans CJK SC"/>
        <family val="2"/>
      </rPr>
      <t xml:space="preserve">是開發商自述，標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偏寬。</t>
    </r>
  </si>
  <si>
    <t xml:space="preserve">https://www.21alivenews.com/2026/09/11/idem-approves-googles-latest-request-fill-wetlands-fort-wayne-data-center-expansion/</t>
  </si>
  <si>
    <t xml:space="preserve">S#202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</si>
  <si>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Project Zodiac (Fort Wayne)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</si>
  <si>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Noto Sans CJK SC"/>
        <family val="2"/>
      </rPr>
      <t xml:space="preserve">原文為 </t>
    </r>
    <r>
      <rPr>
        <sz val="11"/>
        <color theme="1"/>
        <rFont val="Calibri"/>
        <family val="2"/>
        <charset val="1"/>
      </rPr>
      <t xml:space="preserve">892 </t>
    </r>
    <r>
      <rPr>
        <sz val="11"/>
        <color theme="1"/>
        <rFont val="Noto Sans CJK SC"/>
        <family val="2"/>
      </rPr>
      <t xml:space="preserve">英畝（非 </t>
    </r>
    <r>
      <rPr>
        <sz val="11"/>
        <color theme="1"/>
        <rFont val="Calibri"/>
        <family val="2"/>
        <charset val="1"/>
      </rPr>
      <t xml:space="preserve">858</t>
    </r>
    <r>
      <rPr>
        <sz val="11"/>
        <color theme="1"/>
        <rFont val="Noto Sans CJK SC"/>
        <family val="2"/>
      </rPr>
      <t xml:space="preserve">），未提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IURC </t>
    </r>
    <r>
      <rPr>
        <sz val="11"/>
        <color theme="1"/>
        <rFont val="Noto Sans CJK SC"/>
        <family val="2"/>
      </rPr>
      <t xml:space="preserve">或第三方 </t>
    </r>
    <r>
      <rPr>
        <sz val="11"/>
        <color theme="1"/>
        <rFont val="Calibri"/>
        <family val="2"/>
        <charset val="1"/>
      </rPr>
      <t xml:space="preserve">1,200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1,035 MW</t>
    </r>
    <r>
      <rPr>
        <sz val="11"/>
        <color theme="1"/>
        <rFont val="Noto Sans CJK SC"/>
        <family val="2"/>
      </rPr>
      <t xml:space="preserve">；內容為記者轉述，並非公司本人。</t>
    </r>
  </si>
  <si>
    <t xml:space="preserve">S#203</t>
  </si>
  <si>
    <t xml:space="preserve">Amazon (AWS)</t>
  </si>
  <si>
    <r>
      <rPr>
        <sz val="11"/>
        <color theme="1"/>
        <rFont val="Calibri"/>
        <family val="2"/>
        <charset val="1"/>
      </rPr>
      <t xml:space="preserve">Amazon (AWS)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Susquehanna Campus, Salem Township</t>
    </r>
    <r>
      <rPr>
        <sz val="11"/>
        <color theme="1"/>
        <rFont val="Noto Sans CJK SC"/>
        <family val="2"/>
      </rPr>
      <t xml:space="preserve">｜第一棟（</t>
    </r>
    <r>
      <rPr>
        <sz val="11"/>
        <color theme="1"/>
        <rFont val="Calibri"/>
        <family val="2"/>
        <charset val="1"/>
      </rPr>
      <t xml:space="preserve">Cumulus </t>
    </r>
    <r>
      <rPr>
        <sz val="11"/>
        <color theme="1"/>
        <rFont val="Noto Sans CJK SC"/>
        <family val="2"/>
      </rPr>
      <t xml:space="preserve">既有建物）｜上線</t>
    </r>
  </si>
  <si>
    <t xml:space="preserve">48 MW</t>
  </si>
  <si>
    <r>
      <rPr>
        <sz val="11"/>
        <color theme="1"/>
        <rFont val="Calibri"/>
        <family val="2"/>
        <charset val="1"/>
      </rPr>
      <t xml:space="preserve">48MW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萬平方呎、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年初（文章日期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日）皆吻合。但原文頁面有標日期，「未標日期」不正確。原文也未明說此為 </t>
    </r>
    <r>
      <rPr>
        <sz val="11"/>
        <color theme="1"/>
        <rFont val="Calibri"/>
        <family val="2"/>
        <charset val="1"/>
      </rPr>
      <t xml:space="preserve">Talen </t>
    </r>
    <r>
      <rPr>
        <sz val="11"/>
        <color theme="1"/>
        <rFont val="Noto Sans CJK SC"/>
        <family val="2"/>
      </rPr>
      <t xml:space="preserve">說法，</t>
    </r>
    <r>
      <rPr>
        <sz val="11"/>
        <color theme="1"/>
        <rFont val="Calibri"/>
        <family val="2"/>
        <charset val="1"/>
      </rPr>
      <t xml:space="preserve">Compute Atlas </t>
    </r>
    <r>
      <rPr>
        <sz val="11"/>
        <color theme="1"/>
        <rFont val="Noto Sans CJK SC"/>
        <family val="2"/>
      </rPr>
      <t xml:space="preserve">部分無法在此核對。</t>
    </r>
  </si>
  <si>
    <t xml:space="preserve">https://www.datacenterdynamics.com/en/news/aws-acquires-talens-nuclear-data-center-campus-in-pennsylvania/</t>
  </si>
  <si>
    <t xml:space="preserve">S#204</t>
  </si>
  <si>
    <r>
      <rPr>
        <sz val="11"/>
        <color theme="1"/>
        <rFont val="Calibri"/>
        <family val="2"/>
        <charset val="1"/>
      </rPr>
      <t xml:space="preserve">Amazon (AWS)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Susquehanna Campus, Salem Township</t>
    </r>
    <r>
      <rPr>
        <sz val="11"/>
        <color theme="1"/>
        <rFont val="Noto Sans CJK SC"/>
        <family val="2"/>
      </rPr>
      <t xml:space="preserve">｜全園區（原 </t>
    </r>
    <r>
      <rPr>
        <sz val="11"/>
        <color theme="1"/>
        <rFont val="Calibri"/>
        <family val="2"/>
        <charset val="1"/>
      </rPr>
      <t xml:space="preserve">Talen/AWS </t>
    </r>
    <r>
      <rPr>
        <sz val="11"/>
        <color theme="1"/>
        <rFont val="Noto Sans CJK SC"/>
        <family val="2"/>
      </rPr>
      <t xml:space="preserve">共置規模）｜規劃</t>
    </r>
  </si>
  <si>
    <t xml:space="preserve">960 MW</t>
  </si>
  <si>
    <t xml:space="preserve">https://www.sec.gov/Archives/edgar/data/1622536/000162253626000017/tln-20251231.htm</t>
  </si>
  <si>
    <t xml:space="preserve">S#205</t>
  </si>
  <si>
    <r>
      <rPr>
        <sz val="11"/>
        <color theme="1"/>
        <rFont val="Calibri"/>
        <family val="2"/>
        <charset val="1"/>
      </rPr>
      <t xml:space="preserve">Amazon (AWS)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Susquehanna Campus, Salem Township</t>
    </r>
    <r>
      <rPr>
        <sz val="11"/>
        <color theme="1"/>
        <rFont val="Noto Sans CJK SC"/>
        <family val="2"/>
      </rPr>
      <t xml:space="preserve">｜全園區（修訂 </t>
    </r>
    <r>
      <rPr>
        <sz val="11"/>
        <color theme="1"/>
        <rFont val="Calibri"/>
        <family val="2"/>
        <charset val="1"/>
      </rPr>
      <t xml:space="preserve">PPA </t>
    </r>
    <r>
      <rPr>
        <sz val="11"/>
        <color theme="1"/>
        <rFont val="Noto Sans CJK SC"/>
        <family val="2"/>
      </rPr>
      <t xml:space="preserve">合約電量）｜簽約</t>
    </r>
  </si>
  <si>
    <t xml:space="preserve">1920 MW</t>
  </si>
  <si>
    <t xml:space="preserve">S#206</t>
  </si>
  <si>
    <r>
      <rPr>
        <sz val="11"/>
        <color theme="1"/>
        <rFont val="Calibri"/>
        <family val="2"/>
        <charset val="1"/>
      </rPr>
      <t xml:space="preserve">Amazon (AWS)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Susquehanna Campus, Salem Township</t>
    </r>
    <r>
      <rPr>
        <sz val="11"/>
        <color theme="1"/>
        <rFont val="Noto Sans CJK SC"/>
        <family val="2"/>
      </rPr>
      <t xml:space="preserve">｜全園區（前表後轉換）｜上線</t>
    </r>
  </si>
  <si>
    <t xml:space="preserve">https://measuredai.substack.com/p/amazon-susquehanna-data-center-campus</t>
  </si>
  <si>
    <t xml:space="preserve">S#207</t>
  </si>
  <si>
    <r>
      <rPr>
        <sz val="11"/>
        <color theme="1"/>
        <rFont val="Calibri"/>
        <family val="2"/>
        <charset val="1"/>
      </rPr>
      <t xml:space="preserve">Amazon (AWS)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Susquehanna Campus, Salem Township</t>
    </r>
    <r>
      <rPr>
        <sz val="11"/>
        <color theme="1"/>
        <rFont val="Noto Sans CJK SC"/>
        <family val="2"/>
      </rPr>
      <t xml:space="preserve">｜擴建（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棟，約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年）｜規劃</t>
    </r>
  </si>
  <si>
    <r>
      <rPr>
        <sz val="11"/>
        <color theme="1"/>
        <rFont val="Calibri"/>
        <family val="2"/>
        <charset val="1"/>
      </rPr>
      <t xml:space="preserve">3-0</t>
    </r>
    <r>
      <rPr>
        <sz val="11"/>
        <color theme="1"/>
        <rFont val="Noto Sans CJK SC"/>
        <family val="2"/>
      </rPr>
      <t xml:space="preserve">、近</t>
    </r>
    <r>
      <rPr>
        <sz val="11"/>
        <color theme="1"/>
        <rFont val="Calibri"/>
        <family val="2"/>
        <charset val="1"/>
      </rPr>
      <t xml:space="preserve">1,600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稱十年內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棟皆屬實，無分棟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、上線時間亦符。但「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Noto Sans CJK SC"/>
        <family val="2"/>
      </rPr>
      <t xml:space="preserve">稱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棟」不在本文；原文是「</t>
    </r>
    <r>
      <rPr>
        <sz val="11"/>
        <color theme="1"/>
        <rFont val="Calibri"/>
        <family val="2"/>
        <charset val="1"/>
      </rPr>
      <t xml:space="preserve">nearly 1,600 acres</t>
    </r>
    <r>
      <rPr>
        <sz val="11"/>
        <color theme="1"/>
        <rFont val="Noto Sans CJK SC"/>
        <family val="2"/>
      </rPr>
      <t xml:space="preserve">」，且是 </t>
    </r>
    <r>
      <rPr>
        <sz val="11"/>
        <color theme="1"/>
        <rFont val="Calibri"/>
        <family val="2"/>
        <charset val="1"/>
      </rPr>
      <t xml:space="preserve">Citizen Voice </t>
    </r>
    <r>
      <rPr>
        <sz val="11"/>
        <color theme="1"/>
        <rFont val="Noto Sans CJK SC"/>
        <family val="2"/>
      </rPr>
      <t xml:space="preserve">首報、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略偏。</t>
    </r>
  </si>
  <si>
    <t xml:space="preserve">https://www.datacenterdynamics.com/en/news/aws-granted-1600-acre-rezoning-request-plans-15-building-campus-at-pennsylvania-nuclear-site/</t>
  </si>
  <si>
    <t xml:space="preserve">S#208</t>
  </si>
  <si>
    <t xml:space="preserve">Amazon (Amazon Data Services)</t>
  </si>
  <si>
    <r>
      <rPr>
        <sz val="11"/>
        <color theme="1"/>
        <rFont val="Calibri"/>
        <family val="2"/>
        <charset val="1"/>
      </rPr>
      <t xml:space="preserve">Amazon (Amazon Data Services)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Hobart Campus</t>
    </r>
    <r>
      <rPr>
        <sz val="11"/>
        <color theme="1"/>
        <rFont val="Noto Sans CJK SC"/>
        <family val="2"/>
      </rPr>
      <t xml:space="preserve">｜全園區｜在建</t>
    </r>
  </si>
  <si>
    <t xml:space="preserve">2026-07-27</t>
  </si>
  <si>
    <t xml:space="preserve">https://hobartdatacenters.org/full-public-record/</t>
  </si>
  <si>
    <t xml:space="preserve">S#209</t>
  </si>
  <si>
    <r>
      <rPr>
        <sz val="11"/>
        <color theme="1"/>
        <rFont val="Calibri"/>
        <family val="2"/>
        <charset val="1"/>
      </rPr>
      <t xml:space="preserve">Amazon (Amazon Data Services)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Hobart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Hobart Tech Park</t>
    </r>
    <r>
      <rPr>
        <sz val="11"/>
        <color theme="1"/>
        <rFont val="Noto Sans CJK SC"/>
        <family val="2"/>
      </rPr>
      <t xml:space="preserve">（約</t>
    </r>
    <r>
      <rPr>
        <sz val="11"/>
        <color theme="1"/>
        <rFont val="Calibri"/>
        <family val="2"/>
        <charset val="1"/>
      </rPr>
      <t xml:space="preserve">555</t>
    </r>
    <r>
      <rPr>
        <sz val="11"/>
        <color theme="1"/>
        <rFont val="Noto Sans CJK SC"/>
        <family val="2"/>
      </rPr>
      <t xml:space="preserve">英畝）｜在建</t>
    </r>
  </si>
  <si>
    <r>
      <rPr>
        <sz val="11"/>
        <color theme="1"/>
        <rFont val="Calibri"/>
        <family val="2"/>
        <charset val="1"/>
      </rPr>
      <t xml:space="preserve">555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持有、訴訟與禁制令皆屬實，原文也無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。但原文沒有 </t>
    </r>
    <r>
      <rPr>
        <sz val="11"/>
        <color theme="1"/>
        <rFont val="Calibri"/>
        <family val="2"/>
        <charset val="1"/>
      </rPr>
      <t xml:space="preserve">Baxtel </t>
    </r>
    <r>
      <rPr>
        <sz val="11"/>
        <color theme="1"/>
        <rFont val="Noto Sans CJK SC"/>
        <family val="2"/>
      </rPr>
      <t xml:space="preserve">規劃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；「在建」只有整地持續進行的依據。</t>
    </r>
  </si>
  <si>
    <t xml:space="preserve">https://savrn.com/blog/data-center-capital-atlas-update-2026-09-30</t>
  </si>
  <si>
    <t xml:space="preserve">S#210</t>
  </si>
  <si>
    <r>
      <rPr>
        <sz val="11"/>
        <color theme="1"/>
        <rFont val="Calibri"/>
        <family val="2"/>
        <charset val="1"/>
      </rPr>
      <t xml:space="preserve">Amazon (Amazon Data Services)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Hobart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Ewen Farm</t>
    </r>
    <r>
      <rPr>
        <sz val="11"/>
        <color theme="1"/>
        <rFont val="Noto Sans CJK SC"/>
        <family val="2"/>
      </rPr>
      <t xml:space="preserve">（約</t>
    </r>
    <r>
      <rPr>
        <sz val="11"/>
        <color theme="1"/>
        <rFont val="Calibri"/>
        <family val="2"/>
        <charset val="1"/>
      </rPr>
      <t xml:space="preserve">168</t>
    </r>
    <r>
      <rPr>
        <sz val="11"/>
        <color theme="1"/>
        <rFont val="Noto Sans CJK SC"/>
        <family val="2"/>
      </rPr>
      <t xml:space="preserve">英畝）｜規劃</t>
    </r>
  </si>
  <si>
    <r>
      <rPr>
        <sz val="11"/>
        <color theme="1"/>
        <rFont val="Calibri"/>
        <family val="2"/>
        <charset val="1"/>
      </rPr>
      <t xml:space="preserve">168</t>
    </r>
    <r>
      <rPr>
        <sz val="11"/>
        <color theme="1"/>
        <rFont val="Noto Sans CJK SC"/>
        <family val="2"/>
      </rPr>
      <t xml:space="preserve">英畝、租用、無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屬實。但原文是「</t>
    </r>
    <r>
      <rPr>
        <sz val="11"/>
        <color theme="1"/>
        <rFont val="Calibri"/>
        <family val="2"/>
        <charset val="1"/>
      </rPr>
      <t xml:space="preserve">to be leased</t>
    </r>
    <r>
      <rPr>
        <sz val="11"/>
        <color theme="1"/>
        <rFont val="Noto Sans CJK SC"/>
        <family val="2"/>
      </rPr>
      <t xml:space="preserve">」（將租用），不是已承租；原文也沒提「兩分期」，只說兩塊地。規劃狀態為推論。</t>
    </r>
  </si>
  <si>
    <t xml:space="preserve">S#211</t>
  </si>
  <si>
    <r>
      <rPr>
        <sz val="11"/>
        <color theme="1"/>
        <rFont val="Calibri"/>
        <family val="2"/>
        <charset val="1"/>
      </rPr>
      <t xml:space="preserve">Amazon (Amazon Data Services)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Hobart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MISO </t>
    </r>
    <r>
      <rPr>
        <sz val="11"/>
        <color theme="1"/>
        <rFont val="Noto Sans CJK SC"/>
        <family val="2"/>
      </rPr>
      <t xml:space="preserve">負載新增案（</t>
    </r>
    <r>
      <rPr>
        <sz val="11"/>
        <color theme="1"/>
        <rFont val="Calibri"/>
        <family val="2"/>
        <charset val="1"/>
      </rPr>
      <t xml:space="preserve">Project 51141</t>
    </r>
    <r>
      <rPr>
        <sz val="11"/>
        <color theme="1"/>
        <rFont val="Noto Sans CJK SC"/>
        <family val="2"/>
      </rPr>
      <t xml:space="preserve">，客戶未點名）｜規劃</t>
    </r>
  </si>
  <si>
    <t xml:space="preserve">https://hobartdatacenters.org/public-documents/</t>
  </si>
  <si>
    <t xml:space="preserve">S#212</t>
  </si>
  <si>
    <r>
      <rPr>
        <sz val="11"/>
        <color theme="1"/>
        <rFont val="Calibri"/>
        <family val="2"/>
        <charset val="1"/>
      </rPr>
      <t xml:space="preserve">Amazon (Amazon Data Services)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Hobart Campus</t>
    </r>
    <r>
      <rPr>
        <sz val="11"/>
        <color theme="1"/>
        <rFont val="Noto Sans CJK SC"/>
        <family val="2"/>
      </rPr>
      <t xml:space="preserve">｜北印州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合約總量（含 </t>
    </r>
    <r>
      <rPr>
        <sz val="11"/>
        <color theme="1"/>
        <rFont val="Calibri"/>
        <family val="2"/>
        <charset val="1"/>
      </rPr>
      <t xml:space="preserve">Hobart</t>
    </r>
    <r>
      <rPr>
        <sz val="11"/>
        <color theme="1"/>
        <rFont val="Noto Sans CJK SC"/>
        <family val="2"/>
      </rPr>
      <t xml:space="preserve">，非單獨）｜簽約</t>
    </r>
  </si>
  <si>
    <t xml:space="preserve">2400 MW</t>
  </si>
  <si>
    <t xml:space="preserve">2026-06-17</t>
  </si>
  <si>
    <r>
      <rPr>
        <sz val="11"/>
        <color theme="1"/>
        <rFont val="Calibri"/>
        <family val="2"/>
        <charset val="1"/>
      </rPr>
      <t xml:space="preserve">2,400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2027/1/1 </t>
    </r>
    <r>
      <rPr>
        <sz val="11"/>
        <color theme="1"/>
        <rFont val="Noto Sans CJK SC"/>
        <family val="2"/>
      </rPr>
      <t xml:space="preserve">起供電、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年底達標、</t>
    </r>
    <r>
      <rPr>
        <sz val="11"/>
        <color theme="1"/>
        <rFont val="Calibri"/>
        <family val="2"/>
        <charset val="1"/>
      </rPr>
      <t xml:space="preserve">2026/6/17 </t>
    </r>
    <r>
      <rPr>
        <sz val="11"/>
        <color theme="1"/>
        <rFont val="Noto Sans CJK SC"/>
        <family val="2"/>
      </rPr>
      <t xml:space="preserve">核准皆屬實。但原文（所見部分）未提 </t>
    </r>
    <r>
      <rPr>
        <sz val="11"/>
        <color theme="1"/>
        <rFont val="Calibri"/>
        <family val="2"/>
        <charset val="1"/>
      </rPr>
      <t xml:space="preserve">Hobart</t>
    </r>
    <r>
      <rPr>
        <sz val="11"/>
        <color theme="1"/>
        <rFont val="Noto Sans CJK SC"/>
        <family val="2"/>
      </rPr>
      <t xml:space="preserve">，也未提 </t>
    </r>
    <r>
      <rPr>
        <sz val="11"/>
        <color theme="1"/>
        <rFont val="Calibri"/>
        <family val="2"/>
        <charset val="1"/>
      </rPr>
      <t xml:space="preserve">2029/3 </t>
    </r>
    <r>
      <rPr>
        <sz val="11"/>
        <color theme="1"/>
        <rFont val="Noto Sans CJK SC"/>
        <family val="2"/>
      </rPr>
      <t xml:space="preserve">前可減 </t>
    </r>
    <r>
      <rPr>
        <sz val="11"/>
        <color theme="1"/>
        <rFont val="Calibri"/>
        <family val="2"/>
        <charset val="1"/>
      </rPr>
      <t xml:space="preserve">1,200 MW</t>
    </r>
    <r>
      <rPr>
        <sz val="11"/>
        <color theme="1"/>
        <rFont val="Noto Sans CJK SC"/>
        <family val="2"/>
      </rPr>
      <t xml:space="preserve">，後者為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公告說法，非本原文。</t>
    </r>
  </si>
  <si>
    <t xml:space="preserve">https://secure.in.gov/iurc/files/ord_46322_061726.pdf</t>
  </si>
  <si>
    <t xml:space="preserve">S#213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</si>
  <si>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North Creek Technology Campus (NCTC)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棟，</t>
    </r>
    <r>
      <rPr>
        <sz val="11"/>
        <color theme="1"/>
        <rFont val="Calibri"/>
        <family val="2"/>
        <charset val="1"/>
      </rPr>
      <t xml:space="preserve">3.82M sq ft</t>
    </r>
    <r>
      <rPr>
        <sz val="11"/>
        <color theme="1"/>
        <rFont val="Noto Sans CJK SC"/>
        <family val="2"/>
      </rPr>
      <t xml:space="preserve">）｜在建</t>
    </r>
  </si>
  <si>
    <t xml:space="preserve">https://tammypurcell.substack.com/p/supes-set-to-greenlight-aws-infrastructure</t>
  </si>
  <si>
    <t xml:space="preserve">S#214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</si>
  <si>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North Creek Technology Campus (NCTC)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</si>
  <si>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完工與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月動工屬實。但原文寫 </t>
    </r>
    <r>
      <rPr>
        <sz val="11"/>
        <color theme="1"/>
        <rFont val="Calibri"/>
        <family val="2"/>
        <charset val="1"/>
      </rPr>
      <t xml:space="preserve">Northeast Creek </t>
    </r>
    <r>
      <rPr>
        <sz val="11"/>
        <color theme="1"/>
        <rFont val="Noto Sans CJK SC"/>
        <family val="2"/>
      </rPr>
      <t xml:space="preserve">技術重疊區，沒有 </t>
    </r>
    <r>
      <rPr>
        <sz val="11"/>
        <color theme="1"/>
        <rFont val="Calibri"/>
        <family val="2"/>
        <charset val="1"/>
      </rPr>
      <t xml:space="preserve">NCTC </t>
    </r>
    <r>
      <rPr>
        <sz val="11"/>
        <color theme="1"/>
        <rFont val="Noto Sans CJK SC"/>
        <family val="2"/>
      </rPr>
      <t xml:space="preserve">名稱；第三方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數字也不在原文；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並非實際標題。</t>
    </r>
  </si>
  <si>
    <t xml:space="preserve">https://virginiamercury.com/2026/07/28/brown-water-dust-and-loud-noises-louisa-homeowner-sues-amazon-over-data-center-construction/</t>
  </si>
  <si>
    <t xml:space="preserve">S#215</t>
  </si>
  <si>
    <r>
      <rPr>
        <sz val="11"/>
        <color theme="1"/>
        <rFont val="Calibri"/>
        <family val="2"/>
        <charset val="1"/>
      </rPr>
      <t xml:space="preserve">Amazon Web Services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Amazon Data Services</t>
    </r>
  </si>
  <si>
    <r>
      <rPr>
        <sz val="11"/>
        <color theme="1"/>
        <rFont val="Calibri"/>
        <family val="2"/>
        <charset val="1"/>
      </rPr>
      <t xml:space="preserve">Amazon Web Services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Galaxy</t>
    </r>
    <r>
      <rPr>
        <sz val="11"/>
        <color theme="1"/>
        <rFont val="Noto Sans CJK SC"/>
        <family val="2"/>
      </rPr>
      <t xml:space="preserve">｜全園區｜在建</t>
    </r>
  </si>
  <si>
    <t xml:space="preserve">2025-10-31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</si>
  <si>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月動工、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完工（</t>
    </r>
    <r>
      <rPr>
        <sz val="11"/>
        <color theme="1"/>
        <rFont val="Calibri"/>
        <family val="2"/>
        <charset val="1"/>
      </rPr>
      <t xml:space="preserve">reportedly</t>
    </r>
    <r>
      <rPr>
        <sz val="11"/>
        <color theme="1"/>
        <rFont val="Noto Sans CJK SC"/>
        <family val="2"/>
      </rPr>
      <t xml:space="preserve">）屬實，原文也無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數字。但「共七棟分期建」原文找不到；當時尚未動工，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「在建」也偏早。</t>
    </r>
  </si>
  <si>
    <t xml:space="preserve">https://www.datacenterdynamics.com/en/news/amazon-secures-tax-break-for-3bn-data-center-campus-in-sidney-ohio/</t>
  </si>
  <si>
    <t xml:space="preserve">S#216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</si>
  <si>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</si>
  <si>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Amazon Pecos County Campus (GW Ranch)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</si>
  <si>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未公布總投資與規模、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月完工、</t>
    </r>
    <r>
      <rPr>
        <sz val="11"/>
        <color theme="1"/>
        <rFont val="Calibri"/>
        <family val="2"/>
        <charset val="1"/>
      </rPr>
      <t xml:space="preserve">7.65GW </t>
    </r>
    <r>
      <rPr>
        <sz val="11"/>
        <color theme="1"/>
        <rFont val="Noto Sans CJK SC"/>
        <family val="2"/>
      </rPr>
      <t xml:space="preserve">皆屬實。但文章標示日期為 </t>
    </r>
    <r>
      <rPr>
        <sz val="11"/>
        <color theme="1"/>
        <rFont val="Calibri"/>
        <family val="2"/>
        <charset val="1"/>
      </rPr>
      <t xml:space="preserve">8/11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8/31 </t>
    </r>
    <r>
      <rPr>
        <sz val="11"/>
        <color theme="1"/>
        <rFont val="Noto Sans CJK SC"/>
        <family val="2"/>
      </rPr>
      <t xml:space="preserve">不符（列內已註明約略）。發電許可屬 </t>
    </r>
    <r>
      <rPr>
        <sz val="11"/>
        <color theme="1"/>
        <rFont val="Calibri"/>
        <family val="2"/>
        <charset val="1"/>
      </rPr>
      <t xml:space="preserve">Pacifico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稍偏。</t>
    </r>
  </si>
  <si>
    <t xml:space="preserve">https://www.enr.com/articles/63464-amazon-discloses-ownership-of-gw-ranch-giant-texas-data-center-gas-power-complex</t>
  </si>
  <si>
    <t xml:space="preserve">S#217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</si>
  <si>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Amazon Pecos County Campus (GW Ranch)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Buildings A–C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TDLR </t>
    </r>
    <r>
      <rPr>
        <sz val="11"/>
        <color theme="1"/>
        <rFont val="Noto Sans CJK SC"/>
        <family val="2"/>
      </rPr>
      <t xml:space="preserve">登記）｜在建</t>
    </r>
  </si>
  <si>
    <r>
      <rPr>
        <sz val="11"/>
        <color theme="1"/>
        <rFont val="Noto Sans CJK SC"/>
        <family val="2"/>
      </rPr>
      <t xml:space="preserve">面積、造價、施工期間與原文一致，且正確標示未公布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。但文章日期為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08-04</t>
    </r>
    <r>
      <rPr>
        <sz val="11"/>
        <color theme="1"/>
        <rFont val="Noto Sans CJK SC"/>
        <family val="2"/>
      </rPr>
      <t xml:space="preserve">；原文未載 </t>
    </r>
    <r>
      <rPr>
        <sz val="11"/>
        <color theme="1"/>
        <rFont val="Calibri"/>
        <family val="2"/>
        <charset val="1"/>
      </rPr>
      <t xml:space="preserve">TDLR </t>
    </r>
    <r>
      <rPr>
        <sz val="11"/>
        <color theme="1"/>
        <rFont val="Noto Sans CJK SC"/>
        <family val="2"/>
      </rPr>
      <t xml:space="preserve">登記日。「在建」與 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上線屬推論，原文僅寫施工期至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月。</t>
    </r>
  </si>
  <si>
    <t xml:space="preserve">https://www.datacenterdynamics.com/en/news/amazon-files-to-develop-two-new-data-center-campuses-in-texas/</t>
  </si>
  <si>
    <t xml:space="preserve">S#218</t>
  </si>
  <si>
    <r>
      <rPr>
        <sz val="11"/>
        <color theme="1"/>
        <rFont val="Calibri"/>
        <family val="2"/>
        <charset val="1"/>
      </rPr>
      <t xml:space="preserve">Pacifico Energy</t>
    </r>
    <r>
      <rPr>
        <sz val="11"/>
        <color theme="1"/>
        <rFont val="Noto Sans CJK SC"/>
        <family val="2"/>
      </rPr>
      <t xml:space="preserve">（發電）</t>
    </r>
  </si>
  <si>
    <r>
      <rPr>
        <sz val="11"/>
        <color theme="1"/>
        <rFont val="Calibri"/>
        <family val="2"/>
        <charset val="1"/>
      </rPr>
      <t xml:space="preserve">Pacifico Energy</t>
    </r>
    <r>
      <rPr>
        <sz val="11"/>
        <color theme="1"/>
        <rFont val="Noto Sans CJK SC"/>
        <family val="2"/>
      </rPr>
      <t xml:space="preserve">（發電）｜</t>
    </r>
    <r>
      <rPr>
        <sz val="11"/>
        <color theme="1"/>
        <rFont val="Calibri"/>
        <family val="2"/>
        <charset val="1"/>
      </rPr>
      <t xml:space="preserve">Amazon Pecos County Campus (GW Ranch)</t>
    </r>
    <r>
      <rPr>
        <sz val="11"/>
        <color theme="1"/>
        <rFont val="Noto Sans CJK SC"/>
        <family val="2"/>
      </rPr>
      <t xml:space="preserve">｜發電配套 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Pacifico</t>
    </r>
    <r>
      <rPr>
        <sz val="11"/>
        <color theme="1"/>
        <rFont val="Noto Sans CJK SC"/>
        <family val="2"/>
      </rPr>
      <t xml:space="preserve">）｜在建</t>
    </r>
  </si>
  <si>
    <t xml:space="preserve">2026-01-26</t>
  </si>
  <si>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上半年首電屬實，且是公司說法。但原文只說許可核准興建、專案為規劃中，未說「在建」。原文日期為 </t>
    </r>
    <r>
      <rPr>
        <sz val="11"/>
        <color theme="1"/>
        <rFont val="Calibri"/>
        <family val="2"/>
        <charset val="1"/>
      </rPr>
      <t xml:space="preserve">1/27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1/26 </t>
    </r>
    <r>
      <rPr>
        <sz val="11"/>
        <color theme="1"/>
        <rFont val="Noto Sans CJK SC"/>
        <family val="2"/>
      </rPr>
      <t xml:space="preserve">無法從原文核實。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填「公司本人」不是文章標題。</t>
    </r>
  </si>
  <si>
    <t xml:space="preserve">https://www.datacenterdynamics.com/en/news/pacifico-secures-765gw-air-permit-for-gw-ranch-project-in-west-texas/</t>
  </si>
  <si>
    <t xml:space="preserve">S#219</t>
  </si>
  <si>
    <r>
      <rPr>
        <sz val="11"/>
        <color theme="1"/>
        <rFont val="Calibri"/>
        <family val="2"/>
        <charset val="1"/>
      </rPr>
      <t xml:space="preserve">Pacifico Energy</t>
    </r>
    <r>
      <rPr>
        <sz val="11"/>
        <color theme="1"/>
        <rFont val="Noto Sans CJK SC"/>
        <family val="2"/>
      </rPr>
      <t xml:space="preserve">（發電）｜</t>
    </r>
    <r>
      <rPr>
        <sz val="11"/>
        <color theme="1"/>
        <rFont val="Calibri"/>
        <family val="2"/>
        <charset val="1"/>
      </rPr>
      <t xml:space="preserve">Amazon Pecos County Campus (GW Ranch)</t>
    </r>
    <r>
      <rPr>
        <sz val="11"/>
        <color theme="1"/>
        <rFont val="Noto Sans CJK SC"/>
        <family val="2"/>
      </rPr>
      <t xml:space="preserve">｜發電配套 全期（</t>
    </r>
    <r>
      <rPr>
        <sz val="11"/>
        <color theme="1"/>
        <rFont val="Calibri"/>
        <family val="2"/>
        <charset val="1"/>
      </rPr>
      <t xml:space="preserve">TCEQ </t>
    </r>
    <r>
      <rPr>
        <sz val="11"/>
        <color theme="1"/>
        <rFont val="Noto Sans CJK SC"/>
        <family val="2"/>
      </rPr>
      <t xml:space="preserve">許可）｜規劃</t>
    </r>
  </si>
  <si>
    <t xml:space="preserve">7650 MW</t>
  </si>
  <si>
    <r>
      <rPr>
        <sz val="11"/>
        <color theme="1"/>
        <rFont val="Calibri"/>
        <family val="2"/>
        <charset val="1"/>
      </rPr>
      <t xml:space="preserve">7650MW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部渦輪、</t>
    </r>
    <r>
      <rPr>
        <sz val="11"/>
        <color theme="1"/>
        <rFont val="Calibri"/>
        <family val="2"/>
        <charset val="1"/>
      </rPr>
      <t xml:space="preserve">1.8GW</t>
    </r>
    <r>
      <rPr>
        <sz val="11"/>
        <color theme="1"/>
        <rFont val="Noto Sans CJK SC"/>
        <family val="2"/>
      </rPr>
      <t xml:space="preserve">電池、</t>
    </r>
    <r>
      <rPr>
        <sz val="11"/>
        <color theme="1"/>
        <rFont val="Calibri"/>
        <family val="2"/>
        <charset val="1"/>
      </rPr>
      <t xml:space="preserve">750MW</t>
    </r>
    <r>
      <rPr>
        <sz val="11"/>
        <color theme="1"/>
        <rFont val="Noto Sans CJK SC"/>
        <family val="2"/>
      </rPr>
      <t xml:space="preserve">太陽能皆屬實。但「</t>
    </r>
    <r>
      <rPr>
        <sz val="11"/>
        <color theme="1"/>
        <rFont val="Calibri"/>
        <family val="2"/>
        <charset val="1"/>
      </rPr>
      <t xml:space="preserve">Pacifico</t>
    </r>
    <r>
      <rPr>
        <sz val="11"/>
        <color theme="1"/>
        <rFont val="Noto Sans CJK SC"/>
        <family val="2"/>
      </rPr>
      <t xml:space="preserve">稱可穩定供電超過</t>
    </r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」與預計上線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在原文找不到。</t>
    </r>
  </si>
  <si>
    <t xml:space="preserve">https://www.datacenterdynamics.com/en/news/amazon-acquires-8000-acre-site-in-pecos-texas-for-natural-gas-powered-behind-the-meter-data-center-report/</t>
  </si>
  <si>
    <t xml:space="preserve">S#220</t>
  </si>
  <si>
    <t xml:space="preserve">Amazon Data Services</t>
  </si>
  <si>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Spectrum / Comanche Peak</t>
    </r>
    <r>
      <rPr>
        <sz val="11"/>
        <color theme="1"/>
        <rFont val="Noto Sans CJK SC"/>
        <family val="2"/>
      </rPr>
      <t xml:space="preserve">｜電力合約（</t>
    </r>
    <r>
      <rPr>
        <sz val="11"/>
        <color theme="1"/>
        <rFont val="Calibri"/>
        <family val="2"/>
        <charset val="1"/>
      </rPr>
      <t xml:space="preserve">PPA</t>
    </r>
    <r>
      <rPr>
        <sz val="11"/>
        <color theme="1"/>
        <rFont val="Noto Sans CJK SC"/>
        <family val="2"/>
      </rPr>
      <t xml:space="preserve">，非園區容量）｜簽約</t>
    </r>
  </si>
  <si>
    <t xml:space="preserve">https://www.sec.gov/Archives/edgar/data/0001692819/000169281926000019/vistra-20260630.htm</t>
  </si>
  <si>
    <t xml:space="preserve">S#221</t>
  </si>
  <si>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Spectrum / Comanche Peak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Somervell County </t>
    </r>
    <r>
      <rPr>
        <sz val="11"/>
        <color theme="1"/>
        <rFont val="Noto Sans CJK SC"/>
        <family val="2"/>
      </rPr>
      <t xml:space="preserve">園區（</t>
    </r>
    <r>
      <rPr>
        <sz val="11"/>
        <color theme="1"/>
        <rFont val="Calibri"/>
        <family val="2"/>
        <charset val="1"/>
      </rPr>
      <t xml:space="preserve">Comanche Peak </t>
    </r>
    <r>
      <rPr>
        <sz val="11"/>
        <color theme="1"/>
        <rFont val="Noto Sans CJK SC"/>
        <family val="2"/>
      </rPr>
      <t xml:space="preserve">旁，</t>
    </r>
    <r>
      <rPr>
        <sz val="11"/>
        <color theme="1"/>
        <rFont val="Calibri"/>
        <family val="2"/>
        <charset val="1"/>
      </rPr>
      <t xml:space="preserve">Vistra </t>
    </r>
    <r>
      <rPr>
        <sz val="11"/>
        <color theme="1"/>
        <rFont val="Noto Sans CJK SC"/>
        <family val="2"/>
      </rPr>
      <t xml:space="preserve">土地）｜規劃</t>
    </r>
  </si>
  <si>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435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PUCT 59399</t>
    </r>
    <r>
      <rPr>
        <sz val="11"/>
        <color theme="1"/>
        <rFont val="Noto Sans CJK SC"/>
        <family val="2"/>
      </rPr>
      <t xml:space="preserve">皆屬實，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規劃也有。但原文無「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動工」，只寫 </t>
    </r>
    <r>
      <rPr>
        <sz val="11"/>
        <color theme="1"/>
        <rFont val="Calibri"/>
        <family val="2"/>
        <charset val="1"/>
      </rPr>
      <t xml:space="preserve">site planned for 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為查詢日，非原文日期；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標利害關係人偏差，第三方彙整較接近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。</t>
    </r>
  </si>
  <si>
    <t xml:space="preserve">https://baxtel.com/data-center/amazon-comanche-peak</t>
  </si>
  <si>
    <t xml:space="preserve">S#222</t>
  </si>
  <si>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Spectrum / Comanche Peak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Hood County </t>
    </r>
    <r>
      <rPr>
        <sz val="11"/>
        <color theme="1"/>
        <rFont val="Noto Sans CJK SC"/>
        <family val="2"/>
      </rPr>
      <t xml:space="preserve">原案（</t>
    </r>
    <r>
      <rPr>
        <sz val="11"/>
        <color theme="1"/>
        <rFont val="Calibri"/>
        <family val="2"/>
        <charset val="1"/>
      </rPr>
      <t xml:space="preserve">Coates Rd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棟</t>
    </r>
    <r>
      <rPr>
        <sz val="11"/>
        <color theme="1"/>
        <rFont val="Calibri"/>
        <family val="2"/>
        <charset val="1"/>
      </rPr>
      <t xml:space="preserve">/1,265</t>
    </r>
    <r>
      <rPr>
        <sz val="11"/>
        <color theme="1"/>
        <rFont val="Noto Sans CJK SC"/>
        <family val="2"/>
      </rPr>
      <t xml:space="preserve">英畝）｜規劃</t>
    </r>
  </si>
  <si>
    <r>
      <rPr>
        <sz val="11"/>
        <color theme="1"/>
        <rFont val="Noto Sans CJK SC"/>
        <family val="2"/>
      </rPr>
      <t xml:space="preserve">原文確認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1,265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2026-05-26 Hood</t>
    </r>
    <r>
      <rPr>
        <sz val="11"/>
        <color theme="1"/>
        <rFont val="Noto Sans CJK SC"/>
        <family val="2"/>
      </rPr>
      <t xml:space="preserve">縣</t>
    </r>
    <r>
      <rPr>
        <sz val="11"/>
        <color theme="1"/>
        <rFont val="Calibri"/>
        <family val="2"/>
        <charset val="1"/>
      </rPr>
      <t xml:space="preserve">3-0</t>
    </r>
    <r>
      <rPr>
        <sz val="11"/>
        <color theme="1"/>
        <rFont val="Noto Sans CJK SC"/>
        <family val="2"/>
      </rPr>
      <t xml:space="preserve">接受。但原文無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規劃值，且未提</t>
    </r>
    <r>
      <rPr>
        <sz val="11"/>
        <color theme="1"/>
        <rFont val="Calibri"/>
        <family val="2"/>
        <charset val="1"/>
      </rPr>
      <t xml:space="preserve">Baxtel</t>
    </r>
    <r>
      <rPr>
        <sz val="11"/>
        <color theme="1"/>
        <rFont val="Noto Sans CJK SC"/>
        <family val="2"/>
      </rPr>
      <t xml:space="preserve">或</t>
    </r>
    <r>
      <rPr>
        <sz val="11"/>
        <color theme="1"/>
        <rFont val="Calibri"/>
        <family val="2"/>
        <charset val="1"/>
      </rPr>
      <t xml:space="preserve">Amazon 2026-09</t>
    </r>
    <r>
      <rPr>
        <sz val="11"/>
        <color theme="1"/>
        <rFont val="Noto Sans CJK SC"/>
        <family val="2"/>
      </rPr>
      <t xml:space="preserve">表態，只說某追蹤站列為撤回。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應為第三方或未證實。原文也未稱「概念圖核准」為本人說。</t>
    </r>
  </si>
  <si>
    <t xml:space="preserve">https://nearbydatacenters.org/projects/tx-hood-aws-project-spectrum/</t>
  </si>
  <si>
    <t xml:space="preserve">S#223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</si>
  <si>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Pecos Data Center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</si>
  <si>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原文為「約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」，列中寫</t>
    </r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是換算，精確度稍高；未說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或設施、五至七年皆屬實；公司本人說法標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尚可。「</t>
    </r>
    <r>
      <rPr>
        <sz val="11"/>
        <color theme="1"/>
        <rFont val="Calibri"/>
        <family val="2"/>
        <charset val="1"/>
      </rPr>
      <t xml:space="preserve">2,595MW</t>
    </r>
    <r>
      <rPr>
        <sz val="11"/>
        <color theme="1"/>
        <rFont val="Noto Sans CJK SC"/>
        <family val="2"/>
      </rPr>
      <t xml:space="preserve">」第三方說法不在原文中，但已註明為他源。</t>
    </r>
  </si>
  <si>
    <t xml:space="preserve">https://blogs.microsoft.com/blog/2026/06/22/powering-the-next-wave-of-ai-expanding-capacity-with-our-new-datacenter-in-pecos/</t>
  </si>
  <si>
    <t xml:space="preserve">S#224</t>
  </si>
  <si>
    <r>
      <rPr>
        <sz val="11"/>
        <color theme="1"/>
        <rFont val="Calibri"/>
        <family val="2"/>
        <charset val="1"/>
      </rPr>
      <t xml:space="preserve">Chevron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Energy Forge One LLC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Engine No. 1 </t>
    </r>
    <r>
      <rPr>
        <sz val="11"/>
        <color theme="1"/>
        <rFont val="Noto Sans CJK SC"/>
        <family val="2"/>
      </rPr>
      <t xml:space="preserve">旗下 </t>
    </r>
    <r>
      <rPr>
        <sz val="11"/>
        <color theme="1"/>
        <rFont val="Calibri"/>
        <family val="2"/>
        <charset val="1"/>
      </rPr>
      <t xml:space="preserve">Joulent</t>
    </r>
    <r>
      <rPr>
        <sz val="11"/>
        <color theme="1"/>
        <rFont val="Noto Sans CJK SC"/>
        <family val="2"/>
      </rPr>
      <t xml:space="preserve">（持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選擇權）</t>
    </r>
  </si>
  <si>
    <r>
      <rPr>
        <sz val="11"/>
        <color theme="1"/>
        <rFont val="Calibri"/>
        <family val="2"/>
        <charset val="1"/>
      </rPr>
      <t xml:space="preserve">Chevron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Energy Forge One LLC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Engine No. 1 </t>
    </r>
    <r>
      <rPr>
        <sz val="11"/>
        <color theme="1"/>
        <rFont val="Noto Sans CJK SC"/>
        <family val="2"/>
      </rPr>
      <t xml:space="preserve">旗下 </t>
    </r>
    <r>
      <rPr>
        <sz val="11"/>
        <color theme="1"/>
        <rFont val="Calibri"/>
        <family val="2"/>
        <charset val="1"/>
      </rPr>
      <t xml:space="preserve">Joulent</t>
    </r>
    <r>
      <rPr>
        <sz val="11"/>
        <color theme="1"/>
        <rFont val="Noto Sans CJK SC"/>
        <family val="2"/>
      </rPr>
      <t xml:space="preserve">（持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選擇權）｜</t>
    </r>
    <r>
      <rPr>
        <sz val="11"/>
        <color theme="1"/>
        <rFont val="Calibri"/>
        <family val="2"/>
        <charset val="1"/>
      </rPr>
      <t xml:space="preserve">Microsoft Pecos Data Center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Kilby </t>
    </r>
    <r>
      <rPr>
        <sz val="11"/>
        <color theme="1"/>
        <rFont val="Noto Sans CJK SC"/>
        <family val="2"/>
      </rPr>
      <t xml:space="preserve">配套燃氣電廠（發電容量，非資料中心容量）｜簽約</t>
    </r>
  </si>
  <si>
    <t xml:space="preserve">2670 MW</t>
  </si>
  <si>
    <r>
      <rPr>
        <sz val="11"/>
        <color theme="1"/>
        <rFont val="Calibri"/>
        <family val="2"/>
        <charset val="1"/>
      </rPr>
      <t xml:space="preserve">2.67GW=2670MW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PPA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首次供電、</t>
    </r>
    <r>
      <rPr>
        <sz val="11"/>
        <color theme="1"/>
        <rFont val="Calibri"/>
        <family val="2"/>
        <charset val="1"/>
      </rPr>
      <t xml:space="preserve">FID</t>
    </r>
    <r>
      <rPr>
        <sz val="11"/>
        <color theme="1"/>
        <rFont val="Noto Sans CJK SC"/>
        <family val="2"/>
      </rPr>
      <t xml:space="preserve">延至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皆屬實。但原文發表於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，只說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月簽約，無</t>
    </r>
    <r>
      <rPr>
        <sz val="11"/>
        <color theme="1"/>
        <rFont val="Calibri"/>
        <family val="2"/>
        <charset val="1"/>
      </rPr>
      <t xml:space="preserve">6/24</t>
    </r>
    <r>
      <rPr>
        <sz val="11"/>
        <color theme="1"/>
        <rFont val="Noto Sans CJK SC"/>
        <family val="2"/>
      </rPr>
      <t xml:space="preserve">；「持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選擇權」原文是</t>
    </r>
    <r>
      <rPr>
        <sz val="11"/>
        <color theme="1"/>
        <rFont val="Calibri"/>
        <family val="2"/>
        <charset val="1"/>
      </rPr>
      <t xml:space="preserve">50/50</t>
    </r>
    <r>
      <rPr>
        <sz val="11"/>
        <color theme="1"/>
        <rFont val="Noto Sans CJK SC"/>
        <family val="2"/>
      </rPr>
      <t xml:space="preserve">合資；來源標題「公司本人」不是原文標題。</t>
    </r>
  </si>
  <si>
    <t xml:space="preserve">https://thenextweb.com/news/texas-politics-delay-chevron-microsoft-data-centre</t>
  </si>
  <si>
    <t xml:space="preserve">S#225</t>
  </si>
  <si>
    <t xml:space="preserve">Poolside AI</t>
  </si>
  <si>
    <r>
      <rPr>
        <sz val="11"/>
        <color theme="1"/>
        <rFont val="Calibri"/>
        <family val="2"/>
        <charset val="1"/>
      </rPr>
      <t xml:space="preserve">Poolside 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Poolside Project Horizon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</si>
  <si>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568 </t>
    </r>
    <r>
      <rPr>
        <sz val="11"/>
        <color theme="1"/>
        <rFont val="Noto Sans CJK SC"/>
        <family val="2"/>
      </rPr>
      <t xml:space="preserve">英畝、八期各 </t>
    </r>
    <r>
      <rPr>
        <sz val="11"/>
        <color theme="1"/>
        <rFont val="Calibri"/>
        <family val="2"/>
        <charset val="1"/>
      </rPr>
      <t xml:space="preserve">250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2025-10-15 </t>
    </r>
    <r>
      <rPr>
        <sz val="11"/>
        <color theme="1"/>
        <rFont val="Noto Sans CJK SC"/>
        <family val="2"/>
      </rPr>
      <t xml:space="preserve">均與原文一致，為公司本人說法。</t>
    </r>
    <r>
      <rPr>
        <sz val="11"/>
        <color theme="1"/>
        <rFont val="Calibri"/>
        <family val="2"/>
        <charset val="1"/>
      </rPr>
      <t xml:space="preserve">delay_note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退出等內容不在本文，須由其他列驗證。</t>
    </r>
  </si>
  <si>
    <t xml:space="preserve">https://www.publicpower.org/periodical/article/plans-unveiled-2-gw-artificial-intelligence-campus-west-texas</t>
  </si>
  <si>
    <t xml:space="preserve">S#226</t>
  </si>
  <si>
    <r>
      <rPr>
        <sz val="11"/>
        <color theme="1"/>
        <rFont val="Calibri"/>
        <family val="2"/>
        <charset val="1"/>
      </rPr>
      <t xml:space="preserve">Poolside 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Poolside Project Horizon</t>
    </r>
    <r>
      <rPr>
        <sz val="11"/>
        <color theme="1"/>
        <rFont val="Noto Sans CJK SC"/>
        <family val="2"/>
      </rPr>
      <t xml:space="preserve">｜第一期（原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錨定期）｜規劃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</si>
  <si>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年租約屬實。但原文無「</t>
    </r>
    <r>
      <rPr>
        <sz val="11"/>
        <color theme="1"/>
        <rFont val="Calibri"/>
        <family val="2"/>
        <charset val="1"/>
      </rPr>
      <t xml:space="preserve">gross power</t>
    </r>
    <r>
      <rPr>
        <sz val="11"/>
        <color theme="1"/>
        <rFont val="Noto Sans CJK SC"/>
        <family val="2"/>
      </rPr>
      <t xml:space="preserve">」，口徑未說明，標設施屬推論。</t>
    </r>
    <r>
      <rPr>
        <sz val="11"/>
        <color theme="1"/>
        <rFont val="Calibri"/>
        <family val="2"/>
        <charset val="1"/>
      </rPr>
      <t xml:space="preserve">Bloomberg 2026</t>
    </r>
    <r>
      <rPr>
        <sz val="11"/>
        <color theme="1"/>
        <rFont val="Noto Sans CJK SC"/>
        <family val="2"/>
      </rPr>
      <t xml:space="preserve">年底上線及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退出等內容原文找不到。</t>
    </r>
  </si>
  <si>
    <t xml:space="preserve">https://www.datacenterdynamics.com/en/news/ai-startup-poolside-teams-up-with-coreweave-on-2gw-data-center-in-texas/</t>
  </si>
  <si>
    <t xml:space="preserve">S#227</t>
  </si>
  <si>
    <r>
      <rPr>
        <sz val="11"/>
        <color theme="1"/>
        <rFont val="Calibri"/>
        <family val="2"/>
        <charset val="1"/>
      </rPr>
      <t xml:space="preserve">Poolside 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Poolside Project Horizon</t>
    </r>
    <r>
      <rPr>
        <sz val="11"/>
        <color theme="1"/>
        <rFont val="Noto Sans CJK SC"/>
        <family val="2"/>
      </rPr>
      <t xml:space="preserve">｜縮小重啟方案（約 </t>
    </r>
    <r>
      <rPr>
        <sz val="11"/>
        <color theme="1"/>
        <rFont val="Calibri"/>
        <family val="2"/>
        <charset val="1"/>
      </rPr>
      <t xml:space="preserve">400 MW</t>
    </r>
    <r>
      <rPr>
        <sz val="11"/>
        <color theme="1"/>
        <rFont val="Noto Sans CJK SC"/>
        <family val="2"/>
      </rPr>
      <t xml:space="preserve">）｜規劃</t>
    </r>
  </si>
  <si>
    <t xml:space="preserve">2026-04-04</t>
  </si>
  <si>
    <r>
      <rPr>
        <sz val="11"/>
        <color theme="1"/>
        <rFont val="Calibri"/>
        <family val="2"/>
        <charset val="1"/>
      </rPr>
      <t xml:space="preserve">400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已不在洽談中皆屬實，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亦符。但原文是在洽談取得承諾以支撐最多 </t>
    </r>
    <r>
      <rPr>
        <sz val="11"/>
        <color theme="1"/>
        <rFont val="Calibri"/>
        <family val="2"/>
        <charset val="1"/>
      </rPr>
      <t xml:space="preserve">400MW </t>
    </r>
    <r>
      <rPr>
        <sz val="11"/>
        <color theme="1"/>
        <rFont val="Noto Sans CJK SC"/>
        <family val="2"/>
      </rPr>
      <t xml:space="preserve">容量，並未稱「縮小重啟方案」；「記者推論」標示也稍偏，來源實為轉述 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Noto Sans CJK SC"/>
        <family val="2"/>
      </rPr>
      <t xml:space="preserve">報導。</t>
    </r>
  </si>
  <si>
    <t xml:space="preserve">https://baxtel.com/news/poolside-pursues-new-partners-for-texas-data-center-following-coreweave-deal-breakdown</t>
  </si>
  <si>
    <t xml:space="preserve">S#228</t>
  </si>
  <si>
    <r>
      <rPr>
        <sz val="11"/>
        <color theme="1"/>
        <rFont val="Calibri"/>
        <family val="2"/>
        <charset val="1"/>
      </rPr>
      <t xml:space="preserve">Poolside LF Phase 2 DC Ops LLC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Poolside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</si>
  <si>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Poolside LF Phase 2 DC Ops LLC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Poolside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Poolside Project Horizon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Poolside LF Phase 2 DC Ops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TCEQ </t>
    </r>
    <r>
      <rPr>
        <sz val="11"/>
        <color theme="1"/>
        <rFont val="Noto Sans CJK SC"/>
        <family val="2"/>
      </rPr>
      <t xml:space="preserve">許可 </t>
    </r>
    <r>
      <rPr>
        <sz val="11"/>
        <color theme="1"/>
        <rFont val="Calibri"/>
        <family val="2"/>
        <charset val="1"/>
      </rPr>
      <t xml:space="preserve">183235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Puckett Road </t>
    </r>
    <r>
      <rPr>
        <sz val="11"/>
        <color theme="1"/>
        <rFont val="Noto Sans CJK SC"/>
        <family val="2"/>
      </rPr>
      <t xml:space="preserve">場址）｜規劃</t>
    </r>
  </si>
  <si>
    <r>
      <rPr>
        <sz val="11"/>
        <color theme="1"/>
        <rFont val="Noto Sans CJK SC"/>
        <family val="2"/>
      </rPr>
      <t xml:space="preserve">提出日 </t>
    </r>
    <r>
      <rPr>
        <sz val="11"/>
        <color theme="1"/>
        <rFont val="Calibri"/>
        <family val="2"/>
        <charset val="1"/>
      </rPr>
      <t xml:space="preserve">2026-03-09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Puckett Rd</t>
    </r>
    <r>
      <rPr>
        <sz val="11"/>
        <color theme="1"/>
        <rFont val="Noto Sans CJK SC"/>
        <family val="2"/>
      </rPr>
      <t xml:space="preserve">、電力設備（</t>
    </r>
    <r>
      <rPr>
        <sz val="11"/>
        <color theme="1"/>
        <rFont val="Calibri"/>
        <family val="2"/>
        <charset val="1"/>
      </rPr>
      <t xml:space="preserve">EGU</t>
    </r>
    <r>
      <rPr>
        <sz val="11"/>
        <color theme="1"/>
        <rFont val="Noto Sans CJK SC"/>
        <family val="2"/>
      </rPr>
      <t xml:space="preserve">）且無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皆符。但原文只有參考號 </t>
    </r>
    <r>
      <rPr>
        <sz val="11"/>
        <color theme="1"/>
        <rFont val="Calibri"/>
        <family val="2"/>
        <charset val="1"/>
      </rPr>
      <t xml:space="preserve">905510</t>
    </r>
    <r>
      <rPr>
        <sz val="11"/>
        <color theme="1"/>
        <rFont val="Noto Sans CJK SC"/>
        <family val="2"/>
      </rPr>
      <t xml:space="preserve">，找不到許可號 </t>
    </r>
    <r>
      <rPr>
        <sz val="11"/>
        <color theme="1"/>
        <rFont val="Calibri"/>
        <family val="2"/>
        <charset val="1"/>
      </rPr>
      <t xml:space="preserve">183235</t>
    </r>
    <r>
      <rPr>
        <sz val="11"/>
        <color theme="1"/>
        <rFont val="Noto Sans CJK SC"/>
        <family val="2"/>
      </rPr>
      <t xml:space="preserve">。來源標題寫成 </t>
    </r>
    <r>
      <rPr>
        <sz val="11"/>
        <color theme="1"/>
        <rFont val="Calibri"/>
        <family val="2"/>
        <charset val="1"/>
      </rPr>
      <t xml:space="preserve">Substack </t>
    </r>
    <r>
      <rPr>
        <sz val="11"/>
        <color theme="1"/>
        <rFont val="Noto Sans CJK SC"/>
        <family val="2"/>
      </rPr>
      <t xml:space="preserve">轉述，實為 </t>
    </r>
    <r>
      <rPr>
        <sz val="11"/>
        <color theme="1"/>
        <rFont val="Calibri"/>
        <family val="2"/>
        <charset val="1"/>
      </rPr>
      <t xml:space="preserve">TCEQ </t>
    </r>
    <r>
      <rPr>
        <sz val="11"/>
        <color theme="1"/>
        <rFont val="Noto Sans CJK SC"/>
        <family val="2"/>
      </rPr>
      <t xml:space="preserve">申請原件。</t>
    </r>
  </si>
  <si>
    <t xml:space="preserve">https://records.tceq.texas.gov/cs/idcplg?IdcService=GET_FILE&amp;allowInterrupt=1&amp;dDocName=8294578&amp;dID=9580276</t>
  </si>
  <si>
    <t xml:space="preserve">S#229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</si>
  <si>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Victoria AI Factory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</si>
  <si>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1.5GW </t>
    </r>
    <r>
      <rPr>
        <sz val="11"/>
        <color theme="1"/>
        <rFont val="Noto Sans CJK SC"/>
        <family val="2"/>
      </rPr>
      <t xml:space="preserve">是核電廠上限，園區僅稱 </t>
    </r>
    <r>
      <rPr>
        <sz val="11"/>
        <color theme="1"/>
        <rFont val="Calibri"/>
        <family val="2"/>
        <charset val="1"/>
      </rPr>
      <t xml:space="preserve">gigawatt-scale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卻放在「全園區」。日期、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Calhoun </t>
    </r>
    <r>
      <rPr>
        <sz val="11"/>
        <color theme="1"/>
        <rFont val="Noto Sans CJK SC"/>
        <family val="2"/>
      </rPr>
      <t xml:space="preserve">更正屬實；「縣府審議中」原文找不到。</t>
    </r>
  </si>
  <si>
    <t xml:space="preserve">https://www.crusoe.ai/resources/newsroom/blue-energy-and-crusoe-partner-to-develop-nuclear-powered-ai-data-center</t>
  </si>
  <si>
    <t xml:space="preserve">S#230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</si>
  <si>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Pecos AI Campus</t>
    </r>
    <r>
      <rPr>
        <sz val="11"/>
        <color theme="1"/>
        <rFont val="Noto Sans CJK SC"/>
        <family val="2"/>
      </rPr>
      <t xml:space="preserve">｜既有比特幣礦場（改造為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用途中）｜上線</t>
    </r>
  </si>
  <si>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挖礦容量與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年啟用屬實，但來源是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記者報導，非公司本人直接說法；標題「公司本人」不準；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「上線」亦非原文用語。</t>
    </r>
  </si>
  <si>
    <t xml:space="preserve">https://www.datacenterdynamics.com/en/news/core-scientific-secures-300mw-capacity-at-pecos-data-center-in-texas-looks-to-behind-the-meter-power/</t>
  </si>
  <si>
    <t xml:space="preserve">S#231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</si>
  <si>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Pecos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直租首期（</t>
    </r>
    <r>
      <rPr>
        <sz val="11"/>
        <color theme="1"/>
        <rFont val="Calibri"/>
        <family val="2"/>
        <charset val="1"/>
      </rPr>
      <t xml:space="preserve">Pecos </t>
    </r>
    <r>
      <rPr>
        <sz val="11"/>
        <color theme="1"/>
        <rFont val="Noto Sans CJK SC"/>
        <family val="2"/>
      </rPr>
      <t xml:space="preserve">分配量）｜簽約</t>
    </r>
  </si>
  <si>
    <t xml:space="preserve">185 MW</t>
  </si>
  <si>
    <t xml:space="preserve">https://www.sec.gov/Archives/edgar/data/0001839341/000183934126000013/q2fy26earningsdeck728am.htm</t>
  </si>
  <si>
    <t xml:space="preserve">S#232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</si>
  <si>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Pecos AI Campus</t>
    </r>
    <r>
      <rPr>
        <sz val="11"/>
        <color theme="1"/>
        <rFont val="Noto Sans CJK SC"/>
        <family val="2"/>
      </rPr>
      <t xml:space="preserve">｜新增公用電網電力（已與電力商簽約）｜簽約</t>
    </r>
  </si>
  <si>
    <r>
      <rPr>
        <sz val="11"/>
        <color theme="1"/>
        <rFont val="Calibri"/>
        <family val="2"/>
        <charset val="1"/>
      </rPr>
      <t xml:space="preserve">300MW gross</t>
    </r>
    <r>
      <rPr>
        <sz val="11"/>
        <color theme="1"/>
        <rFont val="Noto Sans CJK SC"/>
        <family val="2"/>
      </rPr>
      <t xml:space="preserve">、與電力商簽約、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初上線皆屬實；原文是「</t>
    </r>
    <r>
      <rPr>
        <sz val="11"/>
        <color theme="1"/>
        <rFont val="Calibri"/>
        <family val="2"/>
        <charset val="1"/>
      </rPr>
      <t xml:space="preserve">incremental</t>
    </r>
    <r>
      <rPr>
        <sz val="11"/>
        <color theme="1"/>
        <rFont val="Noto Sans CJK SC"/>
        <family val="2"/>
      </rPr>
      <t xml:space="preserve">」新增，故與既有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不重疊。來源標題標「公司本人」不準，實為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報導。</t>
    </r>
  </si>
  <si>
    <t xml:space="preserve">S#233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</si>
  <si>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Pecos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擴充機會（負載研究／</t>
    </r>
    <r>
      <rPr>
        <sz val="11"/>
        <color theme="1"/>
        <rFont val="Calibri"/>
        <family val="2"/>
        <charset val="1"/>
      </rPr>
      <t xml:space="preserve">BTM </t>
    </r>
    <r>
      <rPr>
        <sz val="11"/>
        <color theme="1"/>
        <rFont val="Noto Sans CJK SC"/>
        <family val="2"/>
      </rPr>
      <t xml:space="preserve">自備電力）｜規劃</t>
    </r>
  </si>
  <si>
    <t xml:space="preserve">815 MW</t>
  </si>
  <si>
    <t xml:space="preserve">S#234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</si>
  <si>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Pecos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</si>
  <si>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1.5GW</t>
    </r>
    <r>
      <rPr>
        <sz val="11"/>
        <color theme="1"/>
        <rFont val="Noto Sans CJK SC"/>
        <family val="2"/>
      </rPr>
      <t xml:space="preserve">總電力、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可出租、逾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英畝皆屬實；原文未提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user</t>
    </r>
    <r>
      <rPr>
        <sz val="11"/>
        <color theme="1"/>
        <rFont val="Noto Sans CJK SC"/>
        <family val="2"/>
      </rPr>
      <t xml:space="preserve">欄無法由此來源支持，來源標題「公司本人」亦不準。</t>
    </r>
  </si>
  <si>
    <t xml:space="preserve">S#235</t>
  </si>
  <si>
    <t xml:space="preserve">Cloverleaf Infrastructure</t>
  </si>
  <si>
    <r>
      <rPr>
        <sz val="11"/>
        <color theme="1"/>
        <rFont val="Calibri"/>
        <family val="2"/>
        <charset val="1"/>
      </rPr>
      <t xml:space="preserve">Cloverleaf Infrastructure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Cloverleaf Project Open Sky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</si>
  <si>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與公司代表說法一致，數值無誤。但第五次延後、</t>
    </r>
    <r>
      <rPr>
        <sz val="11"/>
        <color theme="1"/>
        <rFont val="Calibri"/>
        <family val="2"/>
        <charset val="1"/>
      </rPr>
      <t xml:space="preserve">10/22 </t>
    </r>
    <r>
      <rPr>
        <sz val="11"/>
        <color theme="1"/>
        <rFont val="Noto Sans CJK SC"/>
        <family val="2"/>
      </rPr>
      <t xml:space="preserve">表決、</t>
    </r>
    <r>
      <rPr>
        <sz val="11"/>
        <color theme="1"/>
        <rFont val="Calibri"/>
        <family val="2"/>
        <charset val="1"/>
      </rPr>
      <t xml:space="preserve">Nov. 12 </t>
    </r>
    <r>
      <rPr>
        <sz val="11"/>
        <color theme="1"/>
        <rFont val="Noto Sans CJK SC"/>
        <family val="2"/>
      </rPr>
      <t xml:space="preserve">聽證、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口徑，原文均找不到。</t>
    </r>
  </si>
  <si>
    <t xml:space="preserve">https://okcfox.com/news/local/piedmont-city-council-delays-cloverleaf-data-center-plan-sends-land-use-map-back-cloverleaf-project-open-sky-hyperscale-campus-pud-future-land-use-map-study-zoning-and-planning-commission</t>
  </si>
  <si>
    <t xml:space="preserve">S#236</t>
  </si>
  <si>
    <r>
      <rPr>
        <sz val="11"/>
        <color theme="1"/>
        <rFont val="Calibri"/>
        <family val="2"/>
        <charset val="1"/>
      </rPr>
      <t xml:space="preserve">Cloverleaf Infrastructure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Cloverleaf Project Open Sky</t>
    </r>
    <r>
      <rPr>
        <sz val="11"/>
        <color theme="1"/>
        <rFont val="Noto Sans CJK SC"/>
        <family val="2"/>
      </rPr>
      <t xml:space="preserve">｜全園區（總電力需求）｜規劃</t>
    </r>
  </si>
  <si>
    <r>
      <rPr>
        <sz val="11"/>
        <color theme="1"/>
        <rFont val="Calibri"/>
        <family val="2"/>
        <charset val="1"/>
      </rPr>
      <t xml:space="preserve">1,400MW </t>
    </r>
    <r>
      <rPr>
        <sz val="11"/>
        <color theme="1"/>
        <rFont val="Noto Sans CJK SC"/>
        <family val="2"/>
      </rPr>
      <t xml:space="preserve">為公司代表所稱，數值、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皆吻合。第五次延後、</t>
    </r>
    <r>
      <rPr>
        <sz val="11"/>
        <color theme="1"/>
        <rFont val="Calibri"/>
        <family val="2"/>
        <charset val="1"/>
      </rPr>
      <t xml:space="preserve">10/22 </t>
    </r>
    <r>
      <rPr>
        <sz val="11"/>
        <color theme="1"/>
        <rFont val="Noto Sans CJK SC"/>
        <family val="2"/>
      </rPr>
      <t xml:space="preserve">通過、</t>
    </r>
    <r>
      <rPr>
        <sz val="11"/>
        <color theme="1"/>
        <rFont val="Calibri"/>
        <family val="2"/>
        <charset val="1"/>
      </rPr>
      <t xml:space="preserve">NPM </t>
    </r>
    <r>
      <rPr>
        <sz val="11"/>
        <color theme="1"/>
        <rFont val="Noto Sans CJK SC"/>
        <family val="2"/>
      </rPr>
      <t xml:space="preserve">訪談無最終用戶等說法，原文找不到。</t>
    </r>
  </si>
  <si>
    <t xml:space="preserve">S#237</t>
  </si>
  <si>
    <t xml:space="preserve">O'Leary Digital</t>
  </si>
  <si>
    <r>
      <rPr>
        <sz val="11"/>
        <color theme="1"/>
        <rFont val="Calibri"/>
        <family val="2"/>
        <charset val="1"/>
      </rPr>
      <t xml:space="preserve">O'Leary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Stratos AI Data Center Campus</t>
    </r>
    <r>
      <rPr>
        <sz val="11"/>
        <color theme="1"/>
        <rFont val="Noto Sans CJK SC"/>
        <family val="2"/>
      </rPr>
      <t xml:space="preserve">｜全園區｜規劃</t>
    </r>
  </si>
  <si>
    <t xml:space="preserve">7500 MW</t>
  </si>
  <si>
    <r>
      <rPr>
        <sz val="11"/>
        <color theme="1"/>
        <rFont val="Calibri"/>
        <family val="2"/>
        <charset val="1"/>
      </rPr>
      <t xml:space="preserve">7.5GW </t>
    </r>
    <r>
      <rPr>
        <sz val="11"/>
        <color theme="1"/>
        <rFont val="Noto Sans CJK SC"/>
        <family val="2"/>
      </rPr>
      <t xml:space="preserve">是申請書所列發電設施，不是資料中心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不應寫「未說明」。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9GW</t>
    </r>
    <r>
      <rPr>
        <sz val="11"/>
        <color theme="1"/>
        <rFont val="Noto Sans CJK SC"/>
        <family val="2"/>
      </rPr>
      <t xml:space="preserve">、面積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萬縮至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萬英畝，原文均找不到。原文另稱園區約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萬英畝。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也不是文章標題。</t>
    </r>
  </si>
  <si>
    <t xml:space="preserve">https://www.ksl.com/article/51637099/stratos-project-water-application-reveals-new-details-on-massive-data-center</t>
  </si>
  <si>
    <t xml:space="preserve">S#238</t>
  </si>
  <si>
    <r>
      <rPr>
        <sz val="11"/>
        <color theme="1"/>
        <rFont val="Calibri"/>
        <family val="2"/>
        <charset val="1"/>
      </rPr>
      <t xml:space="preserve">O'Leary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Stratos AI Data Center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</si>
  <si>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3GW</t>
    </r>
    <r>
      <rPr>
        <sz val="11"/>
        <color theme="1"/>
        <rFont val="Noto Sans CJK SC"/>
        <family val="2"/>
      </rPr>
      <t xml:space="preserve">為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發電容量、核准日</t>
    </r>
    <r>
      <rPr>
        <sz val="11"/>
        <color theme="1"/>
        <rFont val="Calibri"/>
        <family val="2"/>
        <charset val="1"/>
      </rPr>
      <t xml:space="preserve">2026-04-24</t>
    </r>
    <r>
      <rPr>
        <sz val="11"/>
        <color theme="1"/>
        <rFont val="Noto Sans CJK SC"/>
        <family val="2"/>
      </rPr>
      <t xml:space="preserve">（週五）屬實。但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上線、訴訟與空氣許可、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月與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月數字皆不在本文；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「記者推論」並非文章標題。</t>
    </r>
  </si>
  <si>
    <t xml:space="preserve">https://www.tomshardware.com/tech-industry/kevin-o-learys-9-gw-utah-data-center-campus-approved</t>
  </si>
  <si>
    <t xml:space="preserve">S#239</t>
  </si>
  <si>
    <r>
      <rPr>
        <sz val="11"/>
        <color theme="1"/>
        <rFont val="Calibri"/>
        <family val="2"/>
        <charset val="1"/>
      </rPr>
      <t xml:space="preserve">Homer City Redevelopment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Homer City Generation</t>
    </r>
  </si>
  <si>
    <r>
      <rPr>
        <sz val="11"/>
        <color theme="1"/>
        <rFont val="Calibri"/>
        <family val="2"/>
        <charset val="1"/>
      </rPr>
      <t xml:space="preserve">Homer City Redevelopment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Homer City Generation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Homer City Energy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HCG </t>
    </r>
    <r>
      <rPr>
        <sz val="11"/>
        <color theme="1"/>
        <rFont val="Noto Sans CJK SC"/>
        <family val="2"/>
      </rPr>
      <t xml:space="preserve">燃氣電廠）｜在建</t>
    </r>
  </si>
  <si>
    <t xml:space="preserve">4400 MW</t>
  </si>
  <si>
    <t xml:space="preserve">2025-11-20</t>
  </si>
  <si>
    <t xml:space="preserve">https://www.businesswire.com/news/home/20251120696816/en</t>
  </si>
  <si>
    <t xml:space="preserve">S#240</t>
  </si>
  <si>
    <r>
      <rPr>
        <sz val="11"/>
        <color theme="1"/>
        <rFont val="Calibri"/>
        <family val="2"/>
        <charset val="1"/>
      </rPr>
      <t xml:space="preserve">Amazon Data Services, Inc.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</si>
  <si>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 Data Services, Inc.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Homer City Energy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PIT100 Masterplan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棟，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個基地）｜規劃</t>
    </r>
  </si>
  <si>
    <r>
      <rPr>
        <sz val="11"/>
        <color theme="1"/>
        <rFont val="Noto Sans CJK SC"/>
        <family val="2"/>
      </rPr>
      <t xml:space="preserve">四階段、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月起、</t>
    </r>
    <r>
      <rPr>
        <sz val="11"/>
        <color theme="1"/>
        <rFont val="Calibri"/>
        <family val="2"/>
        <charset val="1"/>
      </rPr>
      <t xml:space="preserve">2032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月末期屬實，且未公布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。但「</t>
    </r>
    <r>
      <rPr>
        <sz val="11"/>
        <color theme="1"/>
        <rFont val="Calibri"/>
        <family val="2"/>
        <charset val="1"/>
      </rPr>
      <t xml:space="preserve">8/28</t>
    </r>
    <r>
      <rPr>
        <sz val="11"/>
        <color theme="1"/>
        <rFont val="Noto Sans CJK SC"/>
        <family val="2"/>
      </rPr>
      <t xml:space="preserve">提交」日期與「尚無最終協議」原文都沒有，只寫「</t>
    </r>
    <r>
      <rPr>
        <sz val="11"/>
        <color theme="1"/>
        <rFont val="Calibri"/>
        <family val="2"/>
        <charset val="1"/>
      </rPr>
      <t xml:space="preserve">in discussions</t>
    </r>
    <r>
      <rPr>
        <sz val="11"/>
        <color theme="1"/>
        <rFont val="Noto Sans CJK SC"/>
        <family val="2"/>
      </rPr>
      <t xml:space="preserve">」。</t>
    </r>
  </si>
  <si>
    <t xml:space="preserve">https://www.datacenterdynamics.com/en/news/aws-plans-36-building-data-center-campus-in-indiana-county-pennsylvania/</t>
  </si>
  <si>
    <t xml:space="preserve">S#241</t>
  </si>
  <si>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主導的 </t>
    </r>
    <r>
      <rPr>
        <sz val="11"/>
        <color theme="1"/>
        <rFont val="Calibri"/>
        <family val="2"/>
        <charset val="1"/>
      </rPr>
      <t xml:space="preserve">Abernathy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TeraWulf </t>
    </r>
    <r>
      <rPr>
        <sz val="11"/>
        <color theme="1"/>
        <rFont val="Noto Sans CJK SC"/>
        <family val="2"/>
      </rPr>
      <t xml:space="preserve">持 </t>
    </r>
    <r>
      <rPr>
        <sz val="11"/>
        <color theme="1"/>
        <rFont val="Calibri"/>
        <family val="2"/>
        <charset val="1"/>
      </rPr>
      <t xml:space="preserve">50.1%</t>
    </r>
    <r>
      <rPr>
        <sz val="11"/>
        <color theme="1"/>
        <rFont val="Noto Sans CJK SC"/>
        <family val="2"/>
      </rPr>
      <t xml:space="preserve">，已簽約出售給 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領投的投資團）</t>
    </r>
  </si>
  <si>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主導的 </t>
    </r>
    <r>
      <rPr>
        <sz val="11"/>
        <color theme="1"/>
        <rFont val="Calibri"/>
        <family val="2"/>
        <charset val="1"/>
      </rPr>
      <t xml:space="preserve">Abernathy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TeraWulf </t>
    </r>
    <r>
      <rPr>
        <sz val="11"/>
        <color theme="1"/>
        <rFont val="Noto Sans CJK SC"/>
        <family val="2"/>
      </rPr>
      <t xml:space="preserve">持 </t>
    </r>
    <r>
      <rPr>
        <sz val="11"/>
        <color theme="1"/>
        <rFont val="Calibri"/>
        <family val="2"/>
        <charset val="1"/>
      </rPr>
      <t xml:space="preserve">50.1%</t>
    </r>
    <r>
      <rPr>
        <sz val="11"/>
        <color theme="1"/>
        <rFont val="Noto Sans CJK SC"/>
        <family val="2"/>
      </rPr>
      <t xml:space="preserve">，已簽約出售給 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領投的投資團）｜</t>
    </r>
    <r>
      <rPr>
        <sz val="11"/>
        <color theme="1"/>
        <rFont val="Calibri"/>
        <family val="2"/>
        <charset val="1"/>
      </rPr>
      <t xml:space="preserve">TeraWulf/Fluidstack Abernathy Campus</t>
    </r>
    <r>
      <rPr>
        <sz val="11"/>
        <color theme="1"/>
        <rFont val="Noto Sans CJK SC"/>
        <family val="2"/>
      </rPr>
      <t xml:space="preserve">｜全園區｜在建</t>
    </r>
  </si>
  <si>
    <t xml:space="preserve">https://www.sec.gov/Archives/edgar/data/0001083301/000110465926080583/tm2619468d1_ex99-1.htm</t>
  </si>
  <si>
    <t xml:space="preserve">S#242</t>
  </si>
  <si>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主導的 </t>
    </r>
    <r>
      <rPr>
        <sz val="11"/>
        <color theme="1"/>
        <rFont val="Calibri"/>
        <family val="2"/>
        <charset val="1"/>
      </rPr>
      <t xml:space="preserve">Abernathy JV</t>
    </r>
  </si>
  <si>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主導的 </t>
    </r>
    <r>
      <rPr>
        <sz val="11"/>
        <color theme="1"/>
        <rFont val="Calibri"/>
        <family val="2"/>
        <charset val="1"/>
      </rPr>
      <t xml:space="preserve">Abernathy JV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TeraWulf/Fluidstack Abernathy Campus</t>
    </r>
    <r>
      <rPr>
        <sz val="11"/>
        <color theme="1"/>
        <rFont val="Noto Sans CJK SC"/>
        <family val="2"/>
      </rPr>
      <t xml:space="preserve">｜全園區（總電力需求）｜在建</t>
    </r>
  </si>
  <si>
    <t xml:space="preserve">240 MW</t>
  </si>
  <si>
    <r>
      <rPr>
        <sz val="11"/>
        <color theme="1"/>
        <rFont val="Noto Sans CJK SC"/>
        <family val="2"/>
      </rPr>
      <t xml:space="preserve">原文有 </t>
    </r>
    <r>
      <rPr>
        <sz val="11"/>
        <color theme="1"/>
        <rFont val="Calibri"/>
        <family val="2"/>
        <charset val="1"/>
      </rPr>
      <t xml:space="preserve">240MW gross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168MW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下半年交付，日期屬實。但 </t>
    </r>
    <r>
      <rPr>
        <sz val="11"/>
        <color theme="1"/>
        <rFont val="Calibri"/>
        <family val="2"/>
        <charset val="1"/>
      </rPr>
      <t xml:space="preserve">240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gross </t>
    </r>
    <r>
      <rPr>
        <sz val="11"/>
        <color theme="1"/>
        <rFont val="Noto Sans CJK SC"/>
        <family val="2"/>
      </rPr>
      <t xml:space="preserve">而非確認的「設施」口徑，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標為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且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寫「記者推論」皆不貼切；該數字出自公司公告（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轉述）。</t>
    </r>
  </si>
  <si>
    <t xml:space="preserve">https://www.datacenterdynamics.com/en/news/terawulf-and-fluidstack-to-develop-texas-data-center-in-google-backed-deal/</t>
  </si>
  <si>
    <t xml:space="preserve">S#243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</si>
  <si>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Barber Lake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（初始 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租約）｜在建</t>
    </r>
  </si>
  <si>
    <t xml:space="preserve">https://www.sec.gov/Archives/edgar/data/1819989/000181998925000110/ciphermining_businessupd.htm</t>
  </si>
  <si>
    <t xml:space="preserve">S#244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</si>
  <si>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Barber Lake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II</t>
    </r>
    <r>
      <rPr>
        <sz val="11"/>
        <color theme="1"/>
        <rFont val="Noto Sans CJK SC"/>
        <family val="2"/>
      </rPr>
      <t xml:space="preserve">（追加 </t>
    </r>
    <r>
      <rPr>
        <sz val="11"/>
        <color theme="1"/>
        <rFont val="Calibri"/>
        <family val="2"/>
        <charset val="1"/>
      </rPr>
      <t xml:space="preserve">39 MW</t>
    </r>
    <r>
      <rPr>
        <sz val="11"/>
        <color theme="1"/>
        <rFont val="Noto Sans CJK SC"/>
        <family val="2"/>
      </rPr>
      <t xml:space="preserve">）｜在建</t>
    </r>
  </si>
  <si>
    <t xml:space="preserve">39 MW</t>
  </si>
  <si>
    <t xml:space="preserve">https://investors.cipherdigital.com/news-releases/news-release-details/cipher-mining-signs-additional-56-mw-10-year-ai-hosting</t>
  </si>
  <si>
    <t xml:space="preserve">S#245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</si>
  <si>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Barber Lake Campus</t>
    </r>
    <r>
      <rPr>
        <sz val="11"/>
        <color theme="1"/>
        <rFont val="Noto Sans CJK SC"/>
        <family val="2"/>
      </rPr>
      <t xml:space="preserve">｜全園區｜在建</t>
    </r>
  </si>
  <si>
    <t xml:space="preserve">2026-10-10</t>
  </si>
  <si>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207MW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168+39</t>
    </r>
    <r>
      <rPr>
        <sz val="11"/>
        <color theme="1"/>
        <rFont val="Noto Sans CJK SC"/>
        <family val="2"/>
      </rPr>
      <t xml:space="preserve">）、逾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Q1 2027 </t>
    </r>
    <r>
      <rPr>
        <sz val="11"/>
        <color theme="1"/>
        <rFont val="Noto Sans CJK SC"/>
        <family val="2"/>
      </rPr>
      <t xml:space="preserve">均與原文一致。但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寫「記者推論」並非文章標題；原文只說 </t>
    </r>
    <r>
      <rPr>
        <sz val="11"/>
        <color theme="1"/>
        <rFont val="Calibri"/>
        <family val="2"/>
        <charset val="1"/>
      </rPr>
      <t xml:space="preserve">capacity</t>
    </r>
    <r>
      <rPr>
        <sz val="11"/>
        <color theme="1"/>
        <rFont val="Noto Sans CJK SC"/>
        <family val="2"/>
      </rPr>
      <t xml:space="preserve">，沒寫「在建」；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不在原文中。</t>
    </r>
  </si>
  <si>
    <t xml:space="preserve">https://www.datacenterdynamics.com/en/news/cipher-extends-barber-lake-data-center-lease-commitments-to-20-years/</t>
  </si>
  <si>
    <t xml:space="preserve">S#246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</si>
  <si>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2</t>
    </r>
    <r>
      <rPr>
        <sz val="11"/>
        <color theme="1"/>
        <rFont val="Noto Sans CJK SC"/>
        <family val="2"/>
      </rPr>
      <t xml:space="preserve">｜全園區｜在建</t>
    </r>
  </si>
  <si>
    <t xml:space="preserve">280 MW</t>
  </si>
  <si>
    <t xml:space="preserve">2025-08-18</t>
  </si>
  <si>
    <r>
      <rPr>
        <sz val="11"/>
        <color theme="1"/>
        <rFont val="Calibri"/>
        <family val="2"/>
        <charset val="1"/>
      </rPr>
      <t xml:space="preserve">280MW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2025-08-18</t>
    </r>
    <r>
      <rPr>
        <sz val="11"/>
        <color theme="1"/>
        <rFont val="Noto Sans CJK SC"/>
        <family val="2"/>
      </rPr>
      <t xml:space="preserve">、公司本人說法皆屬實。但原文是「規劃」而非「在建」（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月才動工），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稍偏；原文也未說明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／設施口徑。引述中「後續財報」「</t>
    </r>
    <r>
      <rPr>
        <sz val="11"/>
        <color theme="1"/>
        <rFont val="Calibri"/>
        <family val="2"/>
        <charset val="1"/>
      </rPr>
      <t xml:space="preserve">B. Riley</t>
    </r>
    <r>
      <rPr>
        <sz val="11"/>
        <color theme="1"/>
        <rFont val="Noto Sans CJK SC"/>
        <family val="2"/>
      </rPr>
      <t xml:space="preserve">」「最新稱」等不在此來源內。</t>
    </r>
  </si>
  <si>
    <t xml:space="preserve">https://ir.applieddigital.com/news-events/press-releases/detail/127/applied-digital-to-break-ground-on-3-billion-polaris-forge</t>
  </si>
  <si>
    <t xml:space="preserve">S#247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</si>
  <si>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｜在建</t>
    </r>
  </si>
  <si>
    <t xml:space="preserve">2025-10-22</t>
  </si>
  <si>
    <t xml:space="preserve">https://www.sec.gov/Archives/edgar/data/1144879/000114487925000076/apld_invxfinalpresentati.htm</t>
  </si>
  <si>
    <t xml:space="preserve">S#248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</si>
  <si>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2</t>
    </r>
    <r>
      <rPr>
        <sz val="11"/>
        <color theme="1"/>
        <rFont val="Noto Sans CJK SC"/>
        <family val="2"/>
      </rPr>
      <t xml:space="preserve">｜在建</t>
    </r>
  </si>
  <si>
    <t xml:space="preserve">S#249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</si>
  <si>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2</t>
    </r>
    <r>
      <rPr>
        <sz val="11"/>
        <color theme="1"/>
        <rFont val="Noto Sans CJK SC"/>
        <family val="2"/>
      </rPr>
      <t xml:space="preserve">｜已簽租約（</t>
    </r>
    <r>
      <rPr>
        <sz val="11"/>
        <color theme="1"/>
        <rFont val="Calibri"/>
        <family val="2"/>
        <charset val="1"/>
      </rPr>
      <t xml:space="preserve">Building 1/2 </t>
    </r>
    <r>
      <rPr>
        <sz val="11"/>
        <color theme="1"/>
        <rFont val="Noto Sans CJK SC"/>
        <family val="2"/>
      </rPr>
      <t xml:space="preserve">合計，非加總）｜簽約</t>
    </r>
  </si>
  <si>
    <r>
      <rPr>
        <sz val="11"/>
        <color theme="1"/>
        <rFont val="Calibri"/>
        <family val="2"/>
        <charset val="1"/>
      </rPr>
      <t xml:space="preserve">200 MW IT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億美元、約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2025-10-22</t>
    </r>
    <r>
      <rPr>
        <sz val="11"/>
        <color theme="1"/>
        <rFont val="Noto Sans CJK SC"/>
        <family val="2"/>
      </rPr>
      <t xml:space="preserve">、兩棟樓、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年達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、承租方未具名，均與原文一致。</t>
    </r>
    <r>
      <rPr>
        <sz val="11"/>
        <color theme="1"/>
        <rFont val="Calibri"/>
        <family val="2"/>
        <charset val="1"/>
      </rPr>
      <t xml:space="preserve">Valley News Live </t>
    </r>
    <r>
      <rPr>
        <sz val="11"/>
        <color theme="1"/>
        <rFont val="Noto Sans CJK SC"/>
        <family val="2"/>
      </rPr>
      <t xml:space="preserve">報導為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一事不在本原文，但列中已註明公司未證實。</t>
    </r>
  </si>
  <si>
    <t xml:space="preserve">https://ir.applieddigital.com/news-events/press-releases/detail/132/applied-digital-announces-5-billion-ai-factory-lease-with</t>
  </si>
  <si>
    <t xml:space="preserve">S#250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</si>
  <si>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（已退出）</t>
    </r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</si>
  <si>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（已退出）｜</t>
    </r>
    <r>
      <rPr>
        <sz val="11"/>
        <color theme="1"/>
        <rFont val="Calibri"/>
        <family val="2"/>
        <charset val="1"/>
      </rPr>
      <t xml:space="preserve">Crusoe–Tallgrass Cheyenne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Jade</t>
    </r>
    <r>
      <rPr>
        <sz val="11"/>
        <color theme="1"/>
        <rFont val="Noto Sans CJK SC"/>
        <family val="2"/>
      </rPr>
      <t xml:space="preserve">）｜初期（原公告）｜規劃</t>
    </r>
  </si>
  <si>
    <t xml:space="preserve">1800 MW</t>
  </si>
  <si>
    <t xml:space="preserve">2025-07-29</t>
  </si>
  <si>
    <r>
      <rPr>
        <sz val="11"/>
        <color theme="1"/>
        <rFont val="Calibri"/>
        <family val="2"/>
        <charset val="1"/>
      </rPr>
      <t xml:space="preserve">1.8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2025-07-29 </t>
    </r>
    <r>
      <rPr>
        <sz val="11"/>
        <color theme="1"/>
        <rFont val="Noto Sans CJK SC"/>
        <family val="2"/>
      </rPr>
      <t xml:space="preserve">與公司公告屬實，未說明口徑也合理。但原文沒有 </t>
    </r>
    <r>
      <rPr>
        <sz val="11"/>
        <color theme="1"/>
        <rFont val="Calibri"/>
        <family val="2"/>
        <charset val="1"/>
      </rPr>
      <t xml:space="preserve">2027 Q4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Project Jade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1.6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寫「公司本人」，並非報導標題。</t>
    </r>
  </si>
  <si>
    <t xml:space="preserve">https://cowboystatedaily.com/2025/07/29/cheyenne-to-get-massive-ai-data-center-powered-by-gas-and-carbon-capture/</t>
  </si>
  <si>
    <t xml:space="preserve">S#251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</si>
  <si>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Jupiter Star Holdings LLC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</si>
  <si>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Jupiter Star Holdings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Crusoe–Tallgrass Cheyenne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Jade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Project Tembo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接手）｜規劃</t>
    </r>
  </si>
  <si>
    <r>
      <rPr>
        <sz val="11"/>
        <color theme="1"/>
        <rFont val="Calibri"/>
        <family val="2"/>
        <charset val="1"/>
      </rPr>
      <t xml:space="preserve">2.7 GW </t>
    </r>
    <r>
      <rPr>
        <sz val="11"/>
        <color theme="1"/>
        <rFont val="Noto Sans CJK SC"/>
        <family val="2"/>
      </rPr>
      <t xml:space="preserve">是記者對設施的描述，不在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存檔文件內，標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公司本人有誤。原文也未說 </t>
    </r>
    <r>
      <rPr>
        <sz val="11"/>
        <color theme="1"/>
        <rFont val="Calibri"/>
        <family val="2"/>
        <charset val="1"/>
      </rPr>
      <t xml:space="preserve">2.7 GW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Tallgrass </t>
    </r>
    <r>
      <rPr>
        <sz val="11"/>
        <color theme="1"/>
        <rFont val="Noto Sans CJK SC"/>
        <family val="2"/>
      </rPr>
      <t xml:space="preserve">電力容量。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完工、四棟 </t>
    </r>
    <r>
      <rPr>
        <sz val="11"/>
        <color theme="1"/>
        <rFont val="Calibri"/>
        <family val="2"/>
        <charset val="1"/>
      </rPr>
      <t xml:space="preserve">halls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Jupiter Star </t>
    </r>
    <r>
      <rPr>
        <sz val="11"/>
        <color theme="1"/>
        <rFont val="Noto Sans CJK SC"/>
        <family val="2"/>
      </rPr>
      <t xml:space="preserve">取代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屬實。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等延遲說明在本文找不到。</t>
    </r>
  </si>
  <si>
    <t xml:space="preserve">https://cowboystatedaily.com/2026/07/08/google-revealed-as-owner-of-wyomings-largest-data-center-now-project-tembo/</t>
  </si>
  <si>
    <t xml:space="preserve">S#252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</si>
  <si>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Jupiter Star Holdings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Crusoe–Tallgrass Cheyenne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Jade</t>
    </r>
    <r>
      <rPr>
        <sz val="11"/>
        <color theme="1"/>
        <rFont val="Noto Sans CJK SC"/>
        <family val="2"/>
      </rPr>
      <t xml:space="preserve">）｜遠期擴充上限｜規劃</t>
    </r>
  </si>
  <si>
    <t xml:space="preserve">2026-01-08</t>
  </si>
  <si>
    <r>
      <rPr>
        <sz val="11"/>
        <color theme="1"/>
        <rFont val="Calibri"/>
        <family val="2"/>
        <charset val="1"/>
      </rPr>
      <t xml:space="preserve">10GW </t>
    </r>
    <r>
      <rPr>
        <sz val="11"/>
        <color theme="1"/>
        <rFont val="Noto Sans CJK SC"/>
        <family val="2"/>
      </rPr>
      <t xml:space="preserve">上限、</t>
    </r>
    <r>
      <rPr>
        <sz val="11"/>
        <color theme="1"/>
        <rFont val="Calibri"/>
        <family val="2"/>
        <charset val="1"/>
      </rPr>
      <t xml:space="preserve">2.7GW </t>
    </r>
    <r>
      <rPr>
        <sz val="11"/>
        <color theme="1"/>
        <rFont val="Noto Sans CJK SC"/>
        <family val="2"/>
      </rPr>
      <t xml:space="preserve">電廠、日期皆屬實。但原文未提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Jupiter Star</t>
    </r>
    <r>
      <rPr>
        <sz val="11"/>
        <color theme="1"/>
        <rFont val="Noto Sans CJK SC"/>
        <family val="2"/>
      </rPr>
      <t xml:space="preserve">，也無 </t>
    </r>
    <r>
      <rPr>
        <sz val="11"/>
        <color theme="1"/>
        <rFont val="Calibri"/>
        <family val="2"/>
        <charset val="1"/>
      </rPr>
      <t xml:space="preserve">2031</t>
    </r>
    <r>
      <rPr>
        <sz val="11"/>
        <color theme="1"/>
        <rFont val="Noto Sans CJK SC"/>
        <family val="2"/>
      </rPr>
      <t xml:space="preserve">（僅說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首批通電）。</t>
    </r>
    <r>
      <rPr>
        <sz val="11"/>
        <color theme="1"/>
        <rFont val="Calibri"/>
        <family val="2"/>
        <charset val="1"/>
      </rPr>
      <t xml:space="preserve">10GW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記者陳述，非公司本人說法，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與來源標示偏誤。</t>
    </r>
  </si>
  <si>
    <t xml:space="preserve">https://www.datacenterdynamics.com/en/news/crusoe-gets-go-ahead-for-18gw-data-center-campus-and-power-plant-in-cheyenne-wyoming/</t>
  </si>
  <si>
    <t xml:space="preserve">S#253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</si>
  <si>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暫停並退出）</t>
    </r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</si>
  <si>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暫停並退出）｜</t>
    </r>
    <r>
      <rPr>
        <sz val="11"/>
        <color theme="1"/>
        <rFont val="Calibri"/>
        <family val="2"/>
        <charset val="1"/>
      </rPr>
      <t xml:space="preserve">Crusoe–Tallgrass Cheyenne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Jade</t>
    </r>
    <r>
      <rPr>
        <sz val="11"/>
        <color theme="1"/>
        <rFont val="Noto Sans CJK SC"/>
        <family val="2"/>
      </rPr>
      <t xml:space="preserve">）｜全園區（狀態更新）｜規劃</t>
    </r>
  </si>
  <si>
    <r>
      <rPr>
        <sz val="11"/>
        <color theme="1"/>
        <rFont val="Noto Sans CJK SC"/>
        <family val="2"/>
      </rPr>
      <t xml:space="preserve">原文只支持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應客戶要求暫停、</t>
    </r>
    <r>
      <rPr>
        <sz val="11"/>
        <color theme="1"/>
        <rFont val="Calibri"/>
        <family val="2"/>
        <charset val="1"/>
      </rPr>
      <t xml:space="preserve">1.8GW </t>
    </r>
    <r>
      <rPr>
        <sz val="11"/>
        <color theme="1"/>
        <rFont val="Noto Sans CJK SC"/>
        <family val="2"/>
      </rPr>
      <t xml:space="preserve">規模與 </t>
    </r>
    <r>
      <rPr>
        <sz val="11"/>
        <color theme="1"/>
        <rFont val="Calibri"/>
        <family val="2"/>
        <charset val="1"/>
      </rPr>
      <t xml:space="preserve">2026-06-10 </t>
    </r>
    <r>
      <rPr>
        <sz val="11"/>
        <color theme="1"/>
        <rFont val="Noto Sans CJK SC"/>
        <family val="2"/>
      </rPr>
      <t xml:space="preserve">日期。</t>
    </r>
    <r>
      <rPr>
        <sz val="11"/>
        <color theme="1"/>
        <rFont val="Calibri"/>
        <family val="2"/>
        <charset val="1"/>
      </rPr>
      <t xml:space="preserve">Tallgrass </t>
    </r>
    <r>
      <rPr>
        <sz val="11"/>
        <color theme="1"/>
        <rFont val="Noto Sans CJK SC"/>
        <family val="2"/>
      </rPr>
      <t xml:space="preserve">照進度、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非營運者、</t>
    </r>
    <r>
      <rPr>
        <sz val="11"/>
        <color theme="1"/>
        <rFont val="Calibri"/>
        <family val="2"/>
        <charset val="1"/>
      </rPr>
      <t xml:space="preserve">Enverus </t>
    </r>
    <r>
      <rPr>
        <sz val="11"/>
        <color theme="1"/>
        <rFont val="Noto Sans CJK SC"/>
        <family val="2"/>
      </rPr>
      <t xml:space="preserve">說法、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Q4 </t>
    </r>
    <r>
      <rPr>
        <sz val="11"/>
        <color theme="1"/>
        <rFont val="Noto Sans CJK SC"/>
        <family val="2"/>
      </rPr>
      <t xml:space="preserve">皆未出現。</t>
    </r>
  </si>
  <si>
    <t xml:space="preserve">https://www.datacenterdynamics.com/en/news/crusoe-pauses-work-on-18gw-cheyenne-wyoming-data-center-at-the-request-of-our-customer/</t>
  </si>
  <si>
    <t xml:space="preserve">S#254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</si>
  <si>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Monarch Compute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</si>
  <si>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2026-03-16</t>
  </si>
  <si>
    <r>
      <rPr>
        <sz val="11"/>
        <color theme="1"/>
        <rFont val="Noto Sans CJK SC"/>
        <family val="2"/>
      </rPr>
      <t xml:space="preserve">原文有 </t>
    </r>
    <r>
      <rPr>
        <sz val="11"/>
        <color theme="1"/>
        <rFont val="Calibri"/>
        <family val="2"/>
        <charset val="1"/>
      </rPr>
      <t xml:space="preserve">2GW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上半年上線、約 </t>
    </r>
    <r>
      <rPr>
        <sz val="11"/>
        <color theme="1"/>
        <rFont val="Calibri"/>
        <family val="2"/>
        <charset val="1"/>
      </rPr>
      <t xml:space="preserve">8GW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擴建、</t>
    </r>
    <r>
      <rPr>
        <sz val="11"/>
        <color theme="1"/>
        <rFont val="Calibri"/>
        <family val="2"/>
        <charset val="1"/>
      </rPr>
      <t xml:space="preserve">up to 2,250 acres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8000 MW </t>
    </r>
    <r>
      <rPr>
        <sz val="11"/>
        <color theme="1"/>
        <rFont val="Noto Sans CJK SC"/>
        <family val="2"/>
      </rPr>
      <t xml:space="preserve">即 </t>
    </r>
    <r>
      <rPr>
        <sz val="11"/>
        <color theme="1"/>
        <rFont val="Calibri"/>
        <family val="2"/>
        <charset val="1"/>
      </rPr>
      <t xml:space="preserve">8GW</t>
    </r>
    <r>
      <rPr>
        <sz val="11"/>
        <color theme="1"/>
        <rFont val="Noto Sans CJK SC"/>
        <family val="2"/>
      </rPr>
      <t xml:space="preserve">，約數；公司本人稿件，標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合理；口徑未說明亦符合。</t>
    </r>
  </si>
  <si>
    <t xml:space="preserve">https://www.nscale.com/press-releases/nscale-acquires-american-intelligence-power-corporation</t>
  </si>
  <si>
    <t xml:space="preserve">S#255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</si>
  <si>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Monarch Compute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</si>
  <si>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1350 MW</t>
  </si>
  <si>
    <r>
      <rPr>
        <sz val="11"/>
        <color theme="1"/>
        <rFont val="Calibri"/>
        <family val="2"/>
        <charset val="1"/>
      </rPr>
      <t xml:space="preserve">1.35GW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年初交付屬實，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作為公司自述也合理。但頁面沒有日期標示，「約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天前」和「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月已動土」都找不到，「在建」也無明文，原文只說 </t>
    </r>
    <r>
      <rPr>
        <sz val="11"/>
        <color theme="1"/>
        <rFont val="Calibri"/>
        <family val="2"/>
        <charset val="1"/>
      </rPr>
      <t xml:space="preserve">engineered to host</t>
    </r>
    <r>
      <rPr>
        <sz val="11"/>
        <color theme="1"/>
        <rFont val="Noto Sans CJK SC"/>
        <family val="2"/>
      </rPr>
      <t xml:space="preserve">。</t>
    </r>
  </si>
  <si>
    <t xml:space="preserve">https://www.nscale.com/ai-infrastructure</t>
  </si>
  <si>
    <t xml:space="preserve">S#256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</si>
  <si>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Monarch Compute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租用）｜簽約</t>
    </r>
  </si>
  <si>
    <r>
      <rPr>
        <sz val="11"/>
        <color theme="1"/>
        <rFont val="Calibri"/>
        <family val="2"/>
        <charset val="1"/>
      </rPr>
      <t xml:space="preserve">460MW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8/25</t>
    </r>
    <r>
      <rPr>
        <sz val="11"/>
        <color theme="1"/>
        <rFont val="Noto Sans CJK SC"/>
        <family val="2"/>
      </rPr>
      <t xml:space="preserve">簽約、最高</t>
    </r>
    <r>
      <rPr>
        <sz val="11"/>
        <color theme="1"/>
        <rFont val="Calibri"/>
        <family val="2"/>
        <charset val="1"/>
      </rPr>
      <t xml:space="preserve">446</t>
    </r>
    <r>
      <rPr>
        <sz val="11"/>
        <color theme="1"/>
        <rFont val="Noto Sans CJK SC"/>
        <family val="2"/>
      </rPr>
      <t xml:space="preserve">億美元皆屬實。但「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年底上線」與「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」原文均無。來源是</t>
    </r>
    <r>
      <rPr>
        <sz val="11"/>
        <color theme="1"/>
        <rFont val="Calibri"/>
        <family val="2"/>
        <charset val="1"/>
      </rPr>
      <t xml:space="preserve">Crypto Briefing</t>
    </r>
    <r>
      <rPr>
        <sz val="11"/>
        <color theme="1"/>
        <rFont val="Noto Sans CJK SC"/>
        <family val="2"/>
      </rPr>
      <t xml:space="preserve">轉述</t>
    </r>
    <r>
      <rPr>
        <sz val="11"/>
        <color theme="1"/>
        <rFont val="Calibri"/>
        <family val="2"/>
        <charset val="1"/>
      </rPr>
      <t xml:space="preserve">S-1</t>
    </r>
    <r>
      <rPr>
        <sz val="11"/>
        <color theme="1"/>
        <rFont val="Noto Sans CJK SC"/>
        <family val="2"/>
      </rPr>
      <t xml:space="preserve">，並非公司本人。</t>
    </r>
  </si>
  <si>
    <t xml:space="preserve">https://cryptobriefing.com/nscale-103-billion-data-center-contracts-ipo/</t>
  </si>
  <si>
    <t xml:space="preserve">S#257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</si>
  <si>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Monarch Compute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2</t>
    </r>
    <r>
      <rPr>
        <sz val="11"/>
        <color theme="1"/>
        <rFont val="Noto Sans CJK SC"/>
        <family val="2"/>
      </rPr>
      <t xml:space="preserve">（洽談中）｜規劃</t>
    </r>
  </si>
  <si>
    <r>
      <rPr>
        <sz val="11"/>
        <color theme="1"/>
        <rFont val="Noto Sans CJK SC"/>
        <family val="2"/>
      </rPr>
      <t xml:space="preserve">原文無「</t>
    </r>
    <r>
      <rPr>
        <sz val="11"/>
        <color theme="1"/>
        <rFont val="Calibri"/>
        <family val="2"/>
        <charset val="1"/>
      </rPr>
      <t xml:space="preserve">460 MW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Building 2 </t>
    </r>
    <r>
      <rPr>
        <sz val="11"/>
        <color theme="1"/>
        <rFont val="Noto Sans CJK SC"/>
        <family val="2"/>
      </rPr>
      <t xml:space="preserve">規模、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上線，也沒有第三棟優先議購權。只有 </t>
    </r>
    <r>
      <rPr>
        <sz val="11"/>
        <color theme="1"/>
        <rFont val="Calibri"/>
        <family val="2"/>
        <charset val="1"/>
      </rPr>
      <t xml:space="preserve">446 </t>
    </r>
    <r>
      <rPr>
        <sz val="11"/>
        <color theme="1"/>
        <rFont val="Noto Sans CJK SC"/>
        <family val="2"/>
      </rPr>
      <t xml:space="preserve">億美元交易與第二座設施，園區首期為 </t>
    </r>
    <r>
      <rPr>
        <sz val="11"/>
        <color theme="1"/>
        <rFont val="Calibri"/>
        <family val="2"/>
        <charset val="1"/>
      </rPr>
      <t xml:space="preserve">1.35 GW</t>
    </r>
    <r>
      <rPr>
        <sz val="11"/>
        <color theme="1"/>
        <rFont val="Noto Sans CJK SC"/>
        <family val="2"/>
      </rPr>
      <t xml:space="preserve">。此外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標為利害關係人，與「記者推論」的標題也不一致。</t>
    </r>
  </si>
  <si>
    <t xml:space="preserve">https://w.media/nscale-shops-second-anthropic-deal-at-monarch-data-center-campus-report/</t>
  </si>
  <si>
    <t xml:space="preserve">S#258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</si>
  <si>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Sweetwater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</si>
  <si>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2026-09-08</t>
  </si>
  <si>
    <t xml:space="preserve">https://www.stocktitan.net/news/IREN/iren-s-2gw-sweetwater-hub-included-as-base-load-in-ercot-batch-cy6xg3ubvfes.html</t>
  </si>
  <si>
    <t xml:space="preserve">S#259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</si>
  <si>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Sweetwater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Sweetwater 1</t>
    </r>
    <r>
      <rPr>
        <sz val="11"/>
        <color theme="1"/>
        <rFont val="Noto Sans CJK SC"/>
        <family val="2"/>
      </rPr>
      <t xml:space="preserve">（變電站／電力）｜在建</t>
    </r>
  </si>
  <si>
    <t xml:space="preserve">2026-05-04</t>
  </si>
  <si>
    <r>
      <rPr>
        <sz val="11"/>
        <color theme="1"/>
        <rFont val="Calibri"/>
        <family val="2"/>
        <charset val="1"/>
      </rPr>
      <t xml:space="preserve">1.4GW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5/1 </t>
    </r>
    <r>
      <rPr>
        <sz val="11"/>
        <color theme="1"/>
        <rFont val="Noto Sans CJK SC"/>
        <family val="2"/>
      </rPr>
      <t xml:space="preserve">併入 </t>
    </r>
    <r>
      <rPr>
        <sz val="11"/>
        <color theme="1"/>
        <rFont val="Calibri"/>
        <family val="2"/>
        <charset val="1"/>
      </rPr>
      <t xml:space="preserve">ERCOT</t>
    </r>
    <r>
      <rPr>
        <sz val="11"/>
        <color theme="1"/>
        <rFont val="Noto Sans CJK SC"/>
        <family val="2"/>
      </rPr>
      <t xml:space="preserve">、如期、電力逐步爬升均屬實。但「原目標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月、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為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」原文找不到，來源是媒體報導而非公司本人。</t>
    </r>
  </si>
  <si>
    <t xml:space="preserve">https://www.theenergymag.com/news/2026-05-04/iren-ai-sweetwater</t>
  </si>
  <si>
    <t xml:space="preserve">S#260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</si>
  <si>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Sweetwater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Sweetwater 1 </t>
    </r>
    <r>
      <rPr>
        <sz val="11"/>
        <color theme="1"/>
        <rFont val="Noto Sans CJK SC"/>
        <family val="2"/>
      </rPr>
      <t xml:space="preserve">首期資料中心（</t>
    </r>
    <r>
      <rPr>
        <sz val="11"/>
        <color theme="1"/>
        <rFont val="Calibri"/>
        <family val="2"/>
        <charset val="1"/>
      </rPr>
      <t xml:space="preserve">300MW gross</t>
    </r>
    <r>
      <rPr>
        <sz val="11"/>
        <color theme="1"/>
        <rFont val="Noto Sans CJK SC"/>
        <family val="2"/>
      </rPr>
      <t xml:space="preserve">）｜在建</t>
    </r>
  </si>
  <si>
    <t xml:space="preserve">S#261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</si>
  <si>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Sweetwater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Sweetwater 2</t>
    </r>
    <r>
      <rPr>
        <sz val="11"/>
        <color theme="1"/>
        <rFont val="Noto Sans CJK SC"/>
        <family val="2"/>
      </rPr>
      <t xml:space="preserve">｜簽約</t>
    </r>
  </si>
  <si>
    <t xml:space="preserve">https://irisenergy.gcs-web.com/news-releases/news-release-details/iren-reports-q1-fy26-results</t>
  </si>
  <si>
    <t xml:space="preserve">S#262</t>
  </si>
  <si>
    <r>
      <rPr>
        <sz val="11"/>
        <color theme="1"/>
        <rFont val="Calibri"/>
        <family val="2"/>
        <charset val="1"/>
      </rPr>
      <t xml:space="preserve">O'Leary Digital Limited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O'Leary Ventures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</si>
  <si>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O'Leary Digital Limited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O'Leary Ventures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Wonder Valley AI Data Center Park</t>
    </r>
    <r>
      <rPr>
        <sz val="11"/>
        <color theme="1"/>
        <rFont val="Noto Sans CJK SC"/>
        <family val="2"/>
      </rPr>
      <t xml:space="preserve">｜全園區｜規劃</t>
    </r>
  </si>
  <si>
    <t xml:space="preserve">9000 MW</t>
  </si>
  <si>
    <t xml:space="preserve">2026-06-03</t>
  </si>
  <si>
    <t xml:space="preserve">https://www.cbc.ca/news/canada/edmonton/wonder-valley-newsletter-open-house-9.7217459</t>
  </si>
  <si>
    <t xml:space="preserve">S#263</t>
  </si>
  <si>
    <r>
      <rPr>
        <sz val="11"/>
        <color theme="1"/>
        <rFont val="Calibri"/>
        <family val="2"/>
        <charset val="1"/>
      </rPr>
      <t xml:space="preserve">O'Leary Digital Limited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O'Leary Ventures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Wonder Valley AI Data Center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</si>
  <si>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平方公里、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年分期開發、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年僅許可、前期預期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完成，皆屬實。但「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年首期 </t>
    </r>
    <r>
      <rPr>
        <sz val="11"/>
        <color theme="1"/>
        <rFont val="Calibri"/>
        <family val="2"/>
        <charset val="1"/>
      </rPr>
      <t xml:space="preserve">1.4 GW</t>
    </r>
    <r>
      <rPr>
        <sz val="11"/>
        <color theme="1"/>
        <rFont val="Noto Sans CJK SC"/>
        <family val="2"/>
      </rPr>
      <t xml:space="preserve">」原文找不到。來源是 </t>
    </r>
    <r>
      <rPr>
        <sz val="11"/>
        <color theme="1"/>
        <rFont val="Calibri"/>
        <family val="2"/>
        <charset val="1"/>
      </rPr>
      <t xml:space="preserve">CBC </t>
    </r>
    <r>
      <rPr>
        <sz val="11"/>
        <color theme="1"/>
        <rFont val="Noto Sans CJK SC"/>
        <family val="2"/>
      </rPr>
      <t xml:space="preserve">轉述公司通訊，並非公司本人。</t>
    </r>
  </si>
  <si>
    <t xml:space="preserve">https://ca.news.yahoo.com/updated-water-timelines-proposed-wonder-175429222.html</t>
  </si>
  <si>
    <t xml:space="preserve">S#264</t>
  </si>
  <si>
    <t xml:space="preserve">Bell Canada</t>
  </si>
  <si>
    <r>
      <rPr>
        <sz val="11"/>
        <color theme="1"/>
        <rFont val="Calibri"/>
        <family val="2"/>
        <charset val="1"/>
      </rPr>
      <t xml:space="preserve">Bell Canada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Kamloops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Kamloops </t>
    </r>
    <r>
      <rPr>
        <sz val="11"/>
        <color theme="1"/>
        <rFont val="Noto Sans CJK SC"/>
        <family val="2"/>
      </rPr>
      <t xml:space="preserve">一期（</t>
    </r>
    <r>
      <rPr>
        <sz val="11"/>
        <color theme="1"/>
        <rFont val="Calibri"/>
        <family val="2"/>
        <charset val="1"/>
      </rPr>
      <t xml:space="preserve">Groq LPU </t>
    </r>
    <r>
      <rPr>
        <sz val="11"/>
        <color theme="1"/>
        <rFont val="Noto Sans CJK SC"/>
        <family val="2"/>
      </rPr>
      <t xml:space="preserve">推論，前 </t>
    </r>
    <r>
      <rPr>
        <sz val="11"/>
        <color theme="1"/>
        <rFont val="Calibri"/>
        <family val="2"/>
        <charset val="1"/>
      </rPr>
      <t xml:space="preserve">Weyerhaeuser </t>
    </r>
    <r>
      <rPr>
        <sz val="11"/>
        <color theme="1"/>
        <rFont val="Noto Sans CJK SC"/>
        <family val="2"/>
      </rPr>
      <t xml:space="preserve">總部）｜上線</t>
    </r>
  </si>
  <si>
    <t xml:space="preserve">7 MW</t>
  </si>
  <si>
    <r>
      <rPr>
        <sz val="11"/>
        <color theme="1"/>
        <rFont val="Calibri"/>
        <family val="2"/>
        <charset val="1"/>
      </rPr>
      <t xml:space="preserve">7MW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月上線、發布日</t>
    </r>
    <r>
      <rPr>
        <sz val="11"/>
        <color theme="1"/>
        <rFont val="Calibri"/>
        <family val="2"/>
        <charset val="1"/>
      </rPr>
      <t xml:space="preserve">2025-05-28 </t>
    </r>
    <r>
      <rPr>
        <sz val="11"/>
        <color theme="1"/>
        <rFont val="Noto Sans CJK SC"/>
        <family val="2"/>
      </rPr>
      <t xml:space="preserve">均與原文一致。口徑未說明，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為公司本人說法，標示正確。前 </t>
    </r>
    <r>
      <rPr>
        <sz val="11"/>
        <color theme="1"/>
        <rFont val="Calibri"/>
        <family val="2"/>
        <charset val="1"/>
      </rPr>
      <t xml:space="preserve">Weyerhaeuser </t>
    </r>
    <r>
      <rPr>
        <sz val="11"/>
        <color theme="1"/>
        <rFont val="Noto Sans CJK SC"/>
        <family val="2"/>
      </rPr>
      <t xml:space="preserve">總部及後段第三方資訊不在原文，屬他源補充。</t>
    </r>
  </si>
  <si>
    <t xml:space="preserve">https://www.newswire.ca/news-releases/bell-canada-increases-sovereign-ai-capacity-with-bell-ai-fabric-875549746.html</t>
  </si>
  <si>
    <t xml:space="preserve">S#265</t>
  </si>
  <si>
    <r>
      <rPr>
        <sz val="11"/>
        <color theme="1"/>
        <rFont val="Calibri"/>
        <family val="2"/>
        <charset val="1"/>
      </rPr>
      <t xml:space="preserve">Bell Canada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Kamloops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TRU </t>
    </r>
    <r>
      <rPr>
        <sz val="11"/>
        <color theme="1"/>
        <rFont val="Noto Sans CJK SC"/>
        <family val="2"/>
      </rPr>
      <t xml:space="preserve">校園 </t>
    </r>
    <r>
      <rPr>
        <sz val="11"/>
        <color theme="1"/>
        <rFont val="Calibri"/>
        <family val="2"/>
        <charset val="1"/>
      </rPr>
      <t xml:space="preserve">26MW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1452 McGill Rd</t>
    </r>
    <r>
      <rPr>
        <sz val="11"/>
        <color theme="1"/>
        <rFont val="Noto Sans CJK SC"/>
        <family val="2"/>
      </rPr>
      <t xml:space="preserve">，二期）｜在建</t>
    </r>
  </si>
  <si>
    <t xml:space="preserve">26 MW</t>
  </si>
  <si>
    <r>
      <rPr>
        <sz val="11"/>
        <color theme="1"/>
        <rFont val="Noto Sans CJK SC"/>
        <family val="2"/>
      </rPr>
      <t xml:space="preserve">原文沒有 </t>
    </r>
    <r>
      <rPr>
        <sz val="11"/>
        <color theme="1"/>
        <rFont val="Calibri"/>
        <family val="2"/>
        <charset val="1"/>
      </rPr>
      <t xml:space="preserve">26MW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1452 McGill Rd</t>
    </r>
    <r>
      <rPr>
        <sz val="11"/>
        <color theme="1"/>
        <rFont val="Noto Sans CJK SC"/>
        <family val="2"/>
      </rPr>
      <t xml:space="preserve">、二期、</t>
    </r>
    <r>
      <rPr>
        <sz val="11"/>
        <color theme="1"/>
        <rFont val="Calibri"/>
        <family val="2"/>
        <charset val="1"/>
      </rPr>
      <t xml:space="preserve">TRU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BCNET </t>
    </r>
    <r>
      <rPr>
        <sz val="11"/>
        <color theme="1"/>
        <rFont val="Noto Sans CJK SC"/>
        <family val="2"/>
      </rPr>
      <t xml:space="preserve">學術使用，也沒提原定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上線。只有動工、</t>
    </r>
    <r>
      <rPr>
        <sz val="11"/>
        <color theme="1"/>
        <rFont val="Calibri"/>
        <family val="2"/>
        <charset val="1"/>
      </rPr>
      <t xml:space="preserve">TrueNorth </t>
    </r>
    <r>
      <rPr>
        <sz val="11"/>
        <color theme="1"/>
        <rFont val="Noto Sans CJK SC"/>
        <family val="2"/>
      </rPr>
      <t xml:space="preserve">開發、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年底完工與 </t>
    </r>
    <r>
      <rPr>
        <sz val="11"/>
        <color theme="1"/>
        <rFont val="Calibri"/>
        <family val="2"/>
        <charset val="1"/>
      </rPr>
      <t xml:space="preserve">2026-04-23 </t>
    </r>
    <r>
      <rPr>
        <sz val="11"/>
        <color theme="1"/>
        <rFont val="Noto Sans CJK SC"/>
        <family val="2"/>
      </rPr>
      <t xml:space="preserve">日期相符。</t>
    </r>
    <r>
      <rPr>
        <sz val="11"/>
        <color theme="1"/>
        <rFont val="Calibri"/>
        <family val="2"/>
        <charset val="1"/>
      </rPr>
      <t xml:space="preserve">26MW </t>
    </r>
    <r>
      <rPr>
        <sz val="11"/>
        <color theme="1"/>
        <rFont val="Noto Sans CJK SC"/>
        <family val="2"/>
      </rPr>
      <t xml:space="preserve">取自另一份新聞稿。</t>
    </r>
  </si>
  <si>
    <t xml:space="preserve">https://businessexaminer.ca/thompson-okanagan-articles/item/bell-ai-fabric-data-centre-construction-starts/</t>
  </si>
  <si>
    <t xml:space="preserve">S#266</t>
  </si>
  <si>
    <r>
      <rPr>
        <sz val="11"/>
        <color theme="1"/>
        <rFont val="Calibri"/>
        <family val="2"/>
        <charset val="1"/>
      </rPr>
      <t xml:space="preserve">Bell Canada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Kamloops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Kamloops </t>
    </r>
    <r>
      <rPr>
        <sz val="11"/>
        <color theme="1"/>
        <rFont val="Noto Sans CJK SC"/>
        <family val="2"/>
      </rPr>
      <t xml:space="preserve">第二座 </t>
    </r>
    <r>
      <rPr>
        <sz val="11"/>
        <color theme="1"/>
        <rFont val="Calibri"/>
        <family val="2"/>
        <charset val="1"/>
      </rPr>
      <t xml:space="preserve">26MW</t>
    </r>
    <r>
      <rPr>
        <sz val="11"/>
        <color theme="1"/>
        <rFont val="Noto Sans CJK SC"/>
        <family val="2"/>
      </rPr>
      <t xml:space="preserve">（三期）｜規劃</t>
    </r>
  </si>
  <si>
    <r>
      <rPr>
        <sz val="11"/>
        <color theme="1"/>
        <rFont val="Noto Sans CJK SC"/>
        <family val="2"/>
      </rPr>
      <t xml:space="preserve">第二座</t>
    </r>
    <r>
      <rPr>
        <sz val="11"/>
        <color theme="1"/>
        <rFont val="Calibri"/>
        <family val="2"/>
        <charset val="1"/>
      </rPr>
      <t xml:space="preserve">26MW Kamloops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年均與原文一致。</t>
    </r>
    <r>
      <rPr>
        <sz val="11"/>
        <color theme="1"/>
        <rFont val="Calibri"/>
        <family val="2"/>
        <charset val="1"/>
      </rPr>
      <t xml:space="preserve">user </t>
    </r>
    <r>
      <rPr>
        <sz val="11"/>
        <color theme="1"/>
        <rFont val="Noto Sans CJK SC"/>
        <family val="2"/>
      </rPr>
      <t xml:space="preserve">未揭露合理，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為公司本人說法。「三期」為模型分類，近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個月查無新資訊屬調查敘述，與原文不衝突。</t>
    </r>
  </si>
  <si>
    <t xml:space="preserve">S#267</t>
  </si>
  <si>
    <t xml:space="preserve">Khazna Data Centers (G42)</t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</si>
  <si>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Khazna Ajman AI Data Center (QAJ1)</t>
    </r>
    <r>
      <rPr>
        <sz val="11"/>
        <color theme="1"/>
        <rFont val="Noto Sans CJK SC"/>
        <family val="2"/>
      </rPr>
      <t xml:space="preserve">｜全園區｜在建</t>
    </r>
  </si>
  <si>
    <t xml:space="preserve">2026-02-24</t>
  </si>
  <si>
    <t xml:space="preserve">https://www.businesswire.com/news/home/20260224185771/en/Khazna-Awarded-Uptime-Tier-III-Certification-of-Design-Documents-for-Ajman-UAE-Facility-Largest-in-Companys-Portfolio</t>
  </si>
  <si>
    <t xml:space="preserve">S#268</t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</si>
  <si>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Khazna Ajman AI Data Center (QAJ1)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（初期階段）｜在建</t>
    </r>
  </si>
  <si>
    <t xml:space="preserve">30 MW</t>
  </si>
  <si>
    <r>
      <rPr>
        <sz val="11"/>
        <color theme="1"/>
        <rFont val="Calibri"/>
        <family val="2"/>
        <charset val="1"/>
      </rPr>
      <t xml:space="preserve">30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口徑、原訂 </t>
    </r>
    <r>
      <rPr>
        <sz val="11"/>
        <color theme="1"/>
        <rFont val="Calibri"/>
        <family val="2"/>
        <charset val="1"/>
      </rPr>
      <t xml:space="preserve">Q3 2025</t>
    </r>
    <r>
      <rPr>
        <sz val="11"/>
        <color theme="1"/>
        <rFont val="Noto Sans CJK SC"/>
        <family val="2"/>
      </rPr>
      <t xml:space="preserve">、預計 </t>
    </r>
    <r>
      <rPr>
        <sz val="11"/>
        <color theme="1"/>
        <rFont val="Calibri"/>
        <family val="2"/>
        <charset val="1"/>
      </rPr>
      <t xml:space="preserve">2026-12</t>
    </r>
    <r>
      <rPr>
        <sz val="11"/>
        <color theme="1"/>
        <rFont val="Noto Sans CJK SC"/>
        <family val="2"/>
      </rPr>
      <t xml:space="preserve">、更新日 </t>
    </r>
    <r>
      <rPr>
        <sz val="11"/>
        <color theme="1"/>
        <rFont val="Calibri"/>
        <family val="2"/>
        <charset val="1"/>
      </rPr>
      <t xml:space="preserve">2026-04-30 </t>
    </r>
    <r>
      <rPr>
        <sz val="11"/>
        <color theme="1"/>
        <rFont val="Noto Sans CJK SC"/>
        <family val="2"/>
      </rPr>
      <t xml:space="preserve">均與原文一致。但這是第三方明載的數字，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偏離，且日期並非推估。</t>
    </r>
  </si>
  <si>
    <t xml:space="preserve">https://www.blackridgeresearch.com/project-profiles/ajman-data-center-project-khazna-location-cost-contractors-current-status-latest-updates</t>
  </si>
  <si>
    <t xml:space="preserve">S#269</t>
  </si>
  <si>
    <t xml:space="preserve">DataVolt</t>
  </si>
  <si>
    <r>
      <rPr>
        <sz val="11"/>
        <color theme="1"/>
        <rFont val="Calibri"/>
        <family val="2"/>
        <charset val="1"/>
      </rPr>
      <t xml:space="preserve">DataVolt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DataVolt Oxagon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</si>
  <si>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1.5GW</t>
    </r>
    <r>
      <rPr>
        <sz val="11"/>
        <color theme="1"/>
        <rFont val="Noto Sans CJK SC"/>
        <family val="2"/>
      </rPr>
      <t xml:space="preserve">、未說明口徑、日期皆符。但原文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僅指首批 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，不是整個首期，備註寫「僅指首期」不準確。</t>
    </r>
  </si>
  <si>
    <t xml:space="preserve">https://www.neom.com/en-us/newsroom/HUMAIN-and-DataVolt-to-develop-AI-data-center-in-NEOM</t>
  </si>
  <si>
    <t xml:space="preserve">S#270</t>
  </si>
  <si>
    <r>
      <rPr>
        <sz val="11"/>
        <color theme="1"/>
        <rFont val="Calibri"/>
        <family val="2"/>
        <charset val="1"/>
      </rPr>
      <t xml:space="preserve">DataVolt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DataVolt Oxagon AI Campus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</si>
  <si>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360MW </t>
    </r>
    <r>
      <rPr>
        <sz val="11"/>
        <color theme="1"/>
        <rFont val="Noto Sans CJK SC"/>
        <family val="2"/>
      </rPr>
      <t xml:space="preserve">首期與動工屬實。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只是首批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的可用時點，原文未說 </t>
    </r>
    <r>
      <rPr>
        <sz val="11"/>
        <color theme="1"/>
        <rFont val="Calibri"/>
        <family val="2"/>
        <charset val="1"/>
      </rPr>
      <t xml:space="preserve">360MW </t>
    </r>
    <r>
      <rPr>
        <sz val="11"/>
        <color theme="1"/>
        <rFont val="Noto Sans CJK SC"/>
        <family val="2"/>
      </rPr>
      <t xml:space="preserve">全期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上線。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的說法原文未提。</t>
    </r>
  </si>
  <si>
    <t xml:space="preserve">S#271</t>
  </si>
  <si>
    <r>
      <rPr>
        <sz val="11"/>
        <color theme="1"/>
        <rFont val="Calibri"/>
        <family val="2"/>
        <charset val="1"/>
      </rPr>
      <t xml:space="preserve">DataVolt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DataVolt Oxagon AI Campus</t>
    </r>
    <r>
      <rPr>
        <sz val="11"/>
        <color theme="1"/>
        <rFont val="Noto Sans CJK SC"/>
        <family val="2"/>
      </rPr>
      <t xml:space="preserve">｜首期內 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合作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區塊｜在建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</si>
  <si>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PIF </t>
    </r>
    <r>
      <rPr>
        <sz val="11"/>
        <color theme="1"/>
        <rFont val="Noto Sans CJK SC"/>
        <family val="2"/>
      </rPr>
      <t xml:space="preserve">公司皆符。但原文未提 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為使用者，</t>
    </r>
    <r>
      <rPr>
        <sz val="11"/>
        <color theme="1"/>
        <rFont val="Calibri"/>
        <family val="2"/>
        <charset val="1"/>
      </rPr>
      <t xml:space="preserve">Semafor 13 </t>
    </r>
    <r>
      <rPr>
        <sz val="11"/>
        <color theme="1"/>
        <rFont val="Noto Sans CJK SC"/>
        <family val="2"/>
      </rPr>
      <t xml:space="preserve">個月的說法也不在原文。</t>
    </r>
  </si>
  <si>
    <t xml:space="preserve">S#272</t>
  </si>
  <si>
    <r>
      <rPr>
        <sz val="11"/>
        <color theme="1"/>
        <rFont val="Calibri"/>
        <family val="2"/>
        <charset val="1"/>
      </rPr>
      <t xml:space="preserve">DataVolt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DataVolt Oxagon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承租容量（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區塊內）｜簽約</t>
    </r>
  </si>
  <si>
    <t xml:space="preserve">2026-10-22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</si>
  <si>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的一半、</t>
    </r>
    <r>
      <rPr>
        <sz val="11"/>
        <color theme="1"/>
        <rFont val="Calibri"/>
        <family val="2"/>
        <charset val="1"/>
      </rPr>
      <t xml:space="preserve">2027 Q4 </t>
    </r>
    <r>
      <rPr>
        <sz val="11"/>
        <color theme="1"/>
        <rFont val="Noto Sans CJK SC"/>
        <family val="2"/>
      </rPr>
      <t xml:space="preserve">分階段上線、日期皆屬實。但原文是 </t>
    </r>
    <r>
      <rPr>
        <sz val="11"/>
        <color theme="1"/>
        <rFont val="Calibri"/>
        <family val="2"/>
        <charset val="1"/>
      </rPr>
      <t xml:space="preserve">'an anchor customer'</t>
    </r>
    <r>
      <rPr>
        <sz val="11"/>
        <color theme="1"/>
        <rFont val="Noto Sans CJK SC"/>
        <family val="2"/>
      </rPr>
      <t xml:space="preserve">，沒說『首家』；『比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目標早』原文找不到；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寫『公司本人』，實為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報導。</t>
    </r>
  </si>
  <si>
    <t xml:space="preserve">https://www.datacenterdynamics.com/en/news/nebius-signs-on-for-50mw-at-neoms-oxagon-data-center-in-saudi-arabia/</t>
  </si>
  <si>
    <t xml:space="preserve">S#273</t>
  </si>
  <si>
    <r>
      <rPr>
        <sz val="11"/>
        <color theme="1"/>
        <rFont val="Calibri"/>
        <family val="2"/>
        <charset val="1"/>
      </rPr>
      <t xml:space="preserve">Qai–Brookfield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Brookfield </t>
    </r>
    <r>
      <rPr>
        <sz val="11"/>
        <color theme="1"/>
        <rFont val="Noto Sans CJK SC"/>
        <family val="2"/>
      </rPr>
      <t xml:space="preserve">透過 </t>
    </r>
    <r>
      <rPr>
        <sz val="11"/>
        <color theme="1"/>
        <rFont val="Calibri"/>
        <family val="2"/>
        <charset val="1"/>
      </rPr>
      <t xml:space="preserve">AI Infrastructure Fund </t>
    </r>
    <r>
      <rPr>
        <sz val="11"/>
        <color theme="1"/>
        <rFont val="Noto Sans CJK SC"/>
        <family val="2"/>
      </rPr>
      <t xml:space="preserve">投資）</t>
    </r>
  </si>
  <si>
    <r>
      <rPr>
        <sz val="11"/>
        <color theme="1"/>
        <rFont val="Calibri"/>
        <family val="2"/>
        <charset val="1"/>
      </rPr>
      <t xml:space="preserve">Qai–Brookfield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Brookfield </t>
    </r>
    <r>
      <rPr>
        <sz val="11"/>
        <color theme="1"/>
        <rFont val="Noto Sans CJK SC"/>
        <family val="2"/>
      </rPr>
      <t xml:space="preserve">透過 </t>
    </r>
    <r>
      <rPr>
        <sz val="11"/>
        <color theme="1"/>
        <rFont val="Calibri"/>
        <family val="2"/>
        <charset val="1"/>
      </rPr>
      <t xml:space="preserve">AI Infrastructure Fund </t>
    </r>
    <r>
      <rPr>
        <sz val="11"/>
        <color theme="1"/>
        <rFont val="Noto Sans CJK SC"/>
        <family val="2"/>
      </rPr>
      <t xml:space="preserve">投資）｜</t>
    </r>
    <r>
      <rPr>
        <sz val="11"/>
        <color theme="1"/>
        <rFont val="Calibri"/>
        <family val="2"/>
        <charset val="1"/>
      </rPr>
      <t xml:space="preserve">Qai–Brookfield Qatar AI Compute Center</t>
    </r>
    <r>
      <rPr>
        <sz val="11"/>
        <color theme="1"/>
        <rFont val="Noto Sans CJK SC"/>
        <family val="2"/>
      </rPr>
      <t xml:space="preserve">｜全園區｜規劃</t>
    </r>
  </si>
  <si>
    <t xml:space="preserve">2025-12-09</t>
  </si>
  <si>
    <r>
      <rPr>
        <sz val="11"/>
        <color theme="1"/>
        <rFont val="Noto Sans CJK SC"/>
        <family val="2"/>
      </rPr>
      <t xml:space="preserve">原文確實只講</t>
    </r>
    <r>
      <rPr>
        <sz val="11"/>
        <color theme="1"/>
        <rFont val="Calibri"/>
        <family val="2"/>
        <charset val="1"/>
      </rPr>
      <t xml:space="preserve">$200</t>
    </r>
    <r>
      <rPr>
        <sz val="11"/>
        <color theme="1"/>
        <rFont val="Noto Sans CJK SC"/>
        <family val="2"/>
      </rPr>
      <t xml:space="preserve">億</t>
    </r>
    <r>
      <rPr>
        <sz val="11"/>
        <color theme="1"/>
        <rFont val="Calibri"/>
        <family val="2"/>
        <charset val="1"/>
      </rPr>
      <t xml:space="preserve">JV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Integrated Compute center</t>
    </r>
    <r>
      <rPr>
        <sz val="11"/>
        <color theme="1"/>
        <rFont val="Noto Sans CJK SC"/>
        <family val="2"/>
      </rPr>
      <t xml:space="preserve">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、站址、時程；「</t>
    </r>
    <r>
      <rPr>
        <sz val="11"/>
        <color theme="1"/>
        <rFont val="Calibri"/>
        <family val="2"/>
        <charset val="1"/>
      </rPr>
      <t xml:space="preserve">$200</t>
    </r>
    <r>
      <rPr>
        <sz val="11"/>
        <color theme="1"/>
        <rFont val="Noto Sans CJK SC"/>
        <family val="2"/>
      </rPr>
      <t xml:space="preserve">億」應為</t>
    </r>
    <r>
      <rPr>
        <sz val="11"/>
        <color theme="1"/>
        <rFont val="Calibri"/>
        <family val="2"/>
        <charset val="1"/>
      </rPr>
      <t xml:space="preserve">$20 billion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$200</t>
    </r>
    <r>
      <rPr>
        <sz val="11"/>
        <color theme="1"/>
        <rFont val="Noto Sans CJK SC"/>
        <family val="2"/>
      </rPr>
      <t xml:space="preserve">億</t>
    </r>
    <r>
      <rPr>
        <sz val="11"/>
        <color theme="1"/>
        <rFont val="Calibri"/>
        <family val="2"/>
        <charset val="1"/>
      </rPr>
      <t xml:space="preserve">=20B</t>
    </r>
    <r>
      <rPr>
        <sz val="11"/>
        <color theme="1"/>
        <rFont val="Noto Sans CJK SC"/>
        <family val="2"/>
      </rPr>
      <t xml:space="preserve">，其實正確）。但 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「公司本人」非標題，且稱「</t>
    </r>
    <r>
      <rPr>
        <sz val="11"/>
        <color theme="1"/>
        <rFont val="Calibri"/>
        <family val="2"/>
        <charset val="1"/>
      </rPr>
      <t xml:space="preserve">Qatar AI Compute Center</t>
    </r>
    <r>
      <rPr>
        <sz val="11"/>
        <color theme="1"/>
        <rFont val="Noto Sans CJK SC"/>
        <family val="2"/>
      </rPr>
      <t xml:space="preserve">」名稱原文未見；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合理。「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」第三方說法原文無法核對。</t>
    </r>
  </si>
  <si>
    <t xml:space="preserve">https://www.qia.qa/en/Newsroom/Pages/Brookfield-and-Qai-Form-$20-Billion-Strategic-Investment-Partnership-for-AI-Infrastructure.aspx</t>
  </si>
  <si>
    <t xml:space="preserve">S#274</t>
  </si>
  <si>
    <t xml:space="preserve">MEEZA</t>
  </si>
  <si>
    <r>
      <rPr>
        <sz val="11"/>
        <color theme="1"/>
        <rFont val="Calibri"/>
        <family val="2"/>
        <charset val="1"/>
      </rPr>
      <t xml:space="preserve">MEEZA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Qai–Brookfield Qatar AI Compute Center</t>
    </r>
    <r>
      <rPr>
        <sz val="11"/>
        <color theme="1"/>
        <rFont val="Noto Sans CJK SC"/>
        <family val="2"/>
      </rPr>
      <t xml:space="preserve">｜初期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MEEZA</t>
    </r>
    <r>
      <rPr>
        <sz val="11"/>
        <color theme="1"/>
        <rFont val="Noto Sans CJK SC"/>
        <family val="2"/>
      </rPr>
      <t xml:space="preserve">託管，與</t>
    </r>
    <r>
      <rPr>
        <sz val="11"/>
        <color theme="1"/>
        <rFont val="Calibri"/>
        <family val="2"/>
        <charset val="1"/>
      </rPr>
      <t xml:space="preserve">JV</t>
    </r>
    <r>
      <rPr>
        <sz val="11"/>
        <color theme="1"/>
        <rFont val="Noto Sans CJK SC"/>
        <family val="2"/>
      </rPr>
      <t xml:space="preserve">園區關係未明）｜在建</t>
    </r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</si>
  <si>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Qai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MEEZA </t>
    </r>
    <r>
      <rPr>
        <sz val="11"/>
        <color theme="1"/>
        <rFont val="Noto Sans CJK SC"/>
        <family val="2"/>
      </rPr>
      <t xml:space="preserve">杜哈機房部署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，日期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，未揭露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數量或金額，也未提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。「既有」為合理推斷。新聞稿屬公司自述，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</t>
    </r>
  </si>
  <si>
    <t xml:space="preserve">https://www.meeza.net/qai-and-meeza-to-deliver-ai-infrastructure-services/</t>
  </si>
  <si>
    <t xml:space="preserve">S#275</t>
  </si>
  <si>
    <r>
      <rPr>
        <sz val="11"/>
        <color theme="1"/>
        <rFont val="Calibri"/>
        <family val="2"/>
        <charset val="1"/>
      </rPr>
      <t xml:space="preserve">Data4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Brookfield </t>
    </r>
    <r>
      <rPr>
        <sz val="11"/>
        <color theme="1"/>
        <rFont val="Noto Sans CJK SC"/>
        <family val="2"/>
      </rPr>
      <t xml:space="preserve">旗下）</t>
    </r>
  </si>
  <si>
    <r>
      <rPr>
        <sz val="11"/>
        <color theme="1"/>
        <rFont val="Calibri"/>
        <family val="2"/>
        <charset val="1"/>
      </rPr>
      <t xml:space="preserve">Data4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Brookfield </t>
    </r>
    <r>
      <rPr>
        <sz val="11"/>
        <color theme="1"/>
        <rFont val="Noto Sans CJK SC"/>
        <family val="2"/>
      </rPr>
      <t xml:space="preserve">旗下）｜</t>
    </r>
    <r>
      <rPr>
        <sz val="11"/>
        <color theme="1"/>
        <rFont val="Calibri"/>
        <family val="2"/>
        <charset val="1"/>
      </rPr>
      <t xml:space="preserve">Brookfield Cambrai AI Campus (Data4 e-Valley)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</si>
  <si>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原文是記者（</t>
    </r>
    <r>
      <rPr>
        <sz val="11"/>
        <color theme="1"/>
        <rFont val="Calibri"/>
        <family val="2"/>
        <charset val="1"/>
      </rPr>
      <t xml:space="preserve">DCmag</t>
    </r>
    <r>
      <rPr>
        <sz val="11"/>
        <color theme="1"/>
        <rFont val="Noto Sans CJK SC"/>
        <family val="2"/>
      </rPr>
      <t xml:space="preserve">）報導，非公司本人說法。「</t>
    </r>
    <r>
      <rPr>
        <sz val="11"/>
        <color theme="1"/>
        <rFont val="Calibri"/>
        <family val="2"/>
        <charset val="1"/>
      </rPr>
      <t xml:space="preserve">Data4 </t>
    </r>
    <r>
      <rPr>
        <sz val="11"/>
        <color theme="1"/>
        <rFont val="Noto Sans CJK SC"/>
        <family val="2"/>
      </rPr>
      <t xml:space="preserve">稱約十年內不會達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」原文找不到。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與日期可對上，但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與來源標示偏誤。</t>
    </r>
  </si>
  <si>
    <t xml:space="preserve">https://dcmag.fr/cambrai-le-mega-data-center-e-valley-de-data4-et-brookfield-recoit-un-second-feu-vert-foncier/</t>
  </si>
  <si>
    <t xml:space="preserve">S#276</t>
  </si>
  <si>
    <r>
      <rPr>
        <sz val="11"/>
        <color theme="1"/>
        <rFont val="Calibri"/>
        <family val="2"/>
        <charset val="1"/>
      </rPr>
      <t xml:space="preserve">Data4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Brookfield </t>
    </r>
    <r>
      <rPr>
        <sz val="11"/>
        <color theme="1"/>
        <rFont val="Noto Sans CJK SC"/>
        <family val="2"/>
      </rPr>
      <t xml:space="preserve">旗下）｜</t>
    </r>
    <r>
      <rPr>
        <sz val="11"/>
        <color theme="1"/>
        <rFont val="Calibri"/>
        <family val="2"/>
        <charset val="1"/>
      </rPr>
      <t xml:space="preserve">Brookfield Cambrai AI Campus (Data4 e-Valley)</t>
    </r>
    <r>
      <rPr>
        <sz val="11"/>
        <color theme="1"/>
        <rFont val="Noto Sans CJK SC"/>
        <family val="2"/>
      </rPr>
      <t xml:space="preserve">｜第一階段（短期目標）｜規劃</t>
    </r>
  </si>
  <si>
    <r>
      <rPr>
        <sz val="11"/>
        <color theme="1"/>
        <rFont val="Calibri"/>
        <family val="2"/>
        <charset val="1"/>
      </rPr>
      <t xml:space="preserve">300 MW </t>
    </r>
    <r>
      <rPr>
        <sz val="11"/>
        <color theme="1"/>
        <rFont val="Noto Sans CJK SC"/>
        <family val="2"/>
      </rPr>
      <t xml:space="preserve">屬實，但為記者轉述。原文未提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年目標，反而稱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年投運；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L'Usine Nouvelle </t>
    </r>
    <r>
      <rPr>
        <sz val="11"/>
        <color theme="1"/>
        <rFont val="Noto Sans CJK SC"/>
        <family val="2"/>
      </rPr>
      <t xml:space="preserve">在原文找不到。</t>
    </r>
  </si>
  <si>
    <t xml:space="preserve">S#277</t>
  </si>
  <si>
    <t xml:space="preserve">Fluidstack</t>
  </si>
  <si>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Fluidstack France 1GW AI Supercomputer</t>
    </r>
    <r>
      <rPr>
        <sz val="11"/>
        <color theme="1"/>
        <rFont val="Noto Sans CJK SC"/>
        <family val="2"/>
      </rPr>
      <t xml:space="preserve">｜全園區｜規劃</t>
    </r>
  </si>
  <si>
    <t xml:space="preserve">2025-02-10</t>
  </si>
  <si>
    <t xml:space="preserve">https://www.businesswire.com/news/home/20250210579531/en/Fluidstack-to-Build-1GW-AI-Supercomputer-in-France</t>
  </si>
  <si>
    <t xml:space="preserve">S#278</t>
  </si>
  <si>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Fluidstack France 1GW AI Supercomputer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｜規劃</t>
    </r>
  </si>
  <si>
    <t xml:space="preserve">S#279</t>
  </si>
  <si>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（已退出）</t>
    </r>
  </si>
  <si>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（已退出）｜</t>
    </r>
    <r>
      <rPr>
        <sz val="11"/>
        <color theme="1"/>
        <rFont val="Calibri"/>
        <family val="2"/>
        <charset val="1"/>
      </rPr>
      <t xml:space="preserve">Fluidstack France 1GW AI Supercomputer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退出，疑似 </t>
    </r>
    <r>
      <rPr>
        <sz val="11"/>
        <color theme="1"/>
        <rFont val="Calibri"/>
        <family val="2"/>
        <charset val="1"/>
      </rPr>
      <t xml:space="preserve">Bosquel </t>
    </r>
    <r>
      <rPr>
        <sz val="11"/>
        <color theme="1"/>
        <rFont val="Noto Sans CJK SC"/>
        <family val="2"/>
      </rPr>
      <t xml:space="preserve">站址）｜規劃</t>
    </r>
  </si>
  <si>
    <t xml:space="preserve">2026-03-18</t>
  </si>
  <si>
    <t xml:space="preserve">https://www.bloomberg.com/news/articles/2026-03-18/fluidstack-drops-out-of-marquee-10-billion-ai-project-in-france</t>
  </si>
  <si>
    <t xml:space="preserve">S#280</t>
  </si>
  <si>
    <r>
      <rPr>
        <sz val="11"/>
        <color theme="1"/>
        <rFont val="Calibri"/>
        <family val="2"/>
        <charset val="1"/>
      </rPr>
      <t xml:space="preserve">SoftBank Group </t>
    </r>
    <r>
      <rPr>
        <sz val="11"/>
        <color theme="1"/>
        <rFont val="Noto Sans CJK SC"/>
        <family val="2"/>
      </rPr>
      <t xml:space="preserve">多數持股的合資公司（與 </t>
    </r>
    <r>
      <rPr>
        <sz val="11"/>
        <color theme="1"/>
        <rFont val="Calibri"/>
        <family val="2"/>
        <charset val="1"/>
      </rPr>
      <t xml:space="preserve">Sesterce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</si>
  <si>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SoftBank Group </t>
    </r>
    <r>
      <rPr>
        <sz val="11"/>
        <color theme="1"/>
        <rFont val="Noto Sans CJK SC"/>
        <family val="2"/>
      </rPr>
      <t xml:space="preserve">多數持股的合資公司（與 </t>
    </r>
    <r>
      <rPr>
        <sz val="11"/>
        <color theme="1"/>
        <rFont val="Calibri"/>
        <family val="2"/>
        <charset val="1"/>
      </rPr>
      <t xml:space="preserve">Sesterce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Bosquel Business Park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退出後接手）｜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Sesterce </t>
    </r>
    <r>
      <rPr>
        <sz val="11"/>
        <color theme="1"/>
        <rFont val="Noto Sans CJK SC"/>
        <family val="2"/>
      </rPr>
      <t xml:space="preserve">合資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園區｜規劃</t>
    </r>
  </si>
  <si>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、合資公司、日期、利害關係人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均屬實。但原文未提 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退出或接手，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也不是原文標題，</t>
    </r>
    <r>
      <rPr>
        <sz val="11"/>
        <color theme="1"/>
        <rFont val="Calibri"/>
        <family val="2"/>
        <charset val="1"/>
      </rPr>
      <t xml:space="preserve">quote </t>
    </r>
    <r>
      <rPr>
        <sz val="11"/>
        <color theme="1"/>
        <rFont val="Noto Sans CJK SC"/>
        <family val="2"/>
      </rPr>
      <t xml:space="preserve">帶有 </t>
    </r>
    <r>
      <rPr>
        <sz val="11"/>
        <color theme="1"/>
        <rFont val="Calibri"/>
        <family val="2"/>
        <charset val="1"/>
      </rPr>
      <t xml:space="preserve">cite </t>
    </r>
    <r>
      <rPr>
        <sz val="11"/>
        <color theme="1"/>
        <rFont val="Noto Sans CJK SC"/>
        <family val="2"/>
      </rPr>
      <t xml:space="preserve">標籤殘留。不影響數值。</t>
    </r>
  </si>
  <si>
    <t xml:space="preserve">https://group.softbank/en/news/press/20260531</t>
  </si>
  <si>
    <t xml:space="preserve">S#281</t>
  </si>
  <si>
    <t xml:space="preserve">EcoDataCenter</t>
  </si>
  <si>
    <r>
      <rPr>
        <sz val="11"/>
        <color theme="1"/>
        <rFont val="Calibri"/>
        <family val="2"/>
        <charset val="1"/>
      </rPr>
      <t xml:space="preserve">EcoDataCenter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EcoDataCenter Borlänge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Kvarnsveden </t>
    </r>
    <r>
      <rPr>
        <sz val="11"/>
        <color theme="1"/>
        <rFont val="Noto Sans CJK SC"/>
        <family val="2"/>
      </rPr>
      <t xml:space="preserve">超大園區）｜全園區｜規劃</t>
    </r>
  </si>
  <si>
    <t xml:space="preserve">2025-09-24</t>
  </si>
  <si>
    <r>
      <rPr>
        <sz val="11"/>
        <color theme="1"/>
        <rFont val="Calibri"/>
        <family val="2"/>
        <charset val="1"/>
      </rPr>
      <t xml:space="preserve">600 MW </t>
    </r>
    <r>
      <rPr>
        <sz val="11"/>
        <color theme="1"/>
        <rFont val="Noto Sans CJK SC"/>
        <family val="2"/>
      </rPr>
      <t xml:space="preserve">為擴充潛力，日期 </t>
    </r>
    <r>
      <rPr>
        <sz val="11"/>
        <color theme="1"/>
        <rFont val="Calibri"/>
        <family val="2"/>
        <charset val="1"/>
      </rPr>
      <t xml:space="preserve">2025-09-24</t>
    </r>
    <r>
      <rPr>
        <sz val="11"/>
        <color theme="1"/>
        <rFont val="Noto Sans CJK SC"/>
        <family val="2"/>
      </rPr>
      <t xml:space="preserve">，營運者本人說法，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正確。原文未提 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，該欄需另有來源。</t>
    </r>
  </si>
  <si>
    <t xml:space="preserve">https://ecodatacenter.tech/press/ecodatacenter-breaks-ground-on-mega-campus-in-borlnge-3406556</t>
  </si>
  <si>
    <t xml:space="preserve">S#282</t>
  </si>
  <si>
    <r>
      <rPr>
        <sz val="11"/>
        <color theme="1"/>
        <rFont val="Calibri"/>
        <family val="2"/>
        <charset val="1"/>
      </rPr>
      <t xml:space="preserve">EcoDataCenter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EcoDataCenter Borlänge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Kvarnsveden </t>
    </r>
    <r>
      <rPr>
        <sz val="11"/>
        <color theme="1"/>
        <rFont val="Noto Sans CJK SC"/>
        <family val="2"/>
      </rPr>
      <t xml:space="preserve">超大園區）｜</t>
    </r>
    <r>
      <rPr>
        <sz val="11"/>
        <color theme="1"/>
        <rFont val="Calibri"/>
        <family val="2"/>
        <charset val="1"/>
      </rPr>
      <t xml:space="preserve">EcoDataCenter 2 </t>
    </r>
    <r>
      <rPr>
        <sz val="11"/>
        <color theme="1"/>
        <rFont val="Noto Sans CJK SC"/>
        <family val="2"/>
      </rPr>
      <t xml:space="preserve">首期｜在建</t>
    </r>
  </si>
  <si>
    <r>
      <rPr>
        <sz val="11"/>
        <color theme="1"/>
        <rFont val="Calibri"/>
        <family val="2"/>
        <charset val="1"/>
      </rPr>
      <t xml:space="preserve">250 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年初完工皆與原文一致，口徑未說明，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正確。原文未提 </t>
    </r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，也未提第三方 </t>
    </r>
    <r>
      <rPr>
        <sz val="11"/>
        <color theme="1"/>
        <rFont val="Calibri"/>
        <family val="2"/>
        <charset val="1"/>
      </rPr>
      <t xml:space="preserve">48 MW </t>
    </r>
    <r>
      <rPr>
        <sz val="11"/>
        <color theme="1"/>
        <rFont val="Noto Sans CJK SC"/>
        <family val="2"/>
      </rPr>
      <t xml:space="preserve">等數字。</t>
    </r>
  </si>
  <si>
    <t xml:space="preserve">S#283</t>
  </si>
  <si>
    <r>
      <rPr>
        <sz val="11"/>
        <color theme="1"/>
        <rFont val="Calibri"/>
        <family val="2"/>
        <charset val="1"/>
      </rPr>
      <t xml:space="preserve">EcoDataCenter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EcoDataCenter Borlänge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Kvarnsveden </t>
    </r>
    <r>
      <rPr>
        <sz val="11"/>
        <color theme="1"/>
        <rFont val="Noto Sans CJK SC"/>
        <family val="2"/>
      </rPr>
      <t xml:space="preserve">超大園區）｜</t>
    </r>
    <r>
      <rPr>
        <sz val="11"/>
        <color theme="1"/>
        <rFont val="Calibri"/>
        <family val="2"/>
        <charset val="1"/>
      </rPr>
      <t xml:space="preserve">Mistral AI </t>
    </r>
    <r>
      <rPr>
        <sz val="11"/>
        <color theme="1"/>
        <rFont val="Noto Sans CJK SC"/>
        <family val="2"/>
      </rPr>
      <t xml:space="preserve">租用容量（</t>
    </r>
    <r>
      <rPr>
        <sz val="11"/>
        <color theme="1"/>
        <rFont val="Calibri"/>
        <family val="2"/>
        <charset val="1"/>
      </rPr>
      <t xml:space="preserve">Vera Rubin GPU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</si>
  <si>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Calibri"/>
        <family val="2"/>
        <charset val="1"/>
      </rPr>
      <t xml:space="preserve">€12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年開幕、</t>
    </r>
    <r>
      <rPr>
        <sz val="11"/>
        <color theme="1"/>
        <rFont val="Calibri"/>
        <family val="2"/>
        <charset val="1"/>
      </rPr>
      <t xml:space="preserve">Borlänge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Vera Rubin</t>
    </r>
    <r>
      <rPr>
        <sz val="11"/>
        <color theme="1"/>
        <rFont val="Noto Sans CJK SC"/>
        <family val="2"/>
      </rPr>
      <t xml:space="preserve">均屬實，且原文未揭露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。但「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稱租用容量」不在此原文，屬他處引述。</t>
    </r>
  </si>
  <si>
    <t xml:space="preserve">https://ecodatacenter.tech/press/mistral-ai-and-ecodatacenter-partner-to-build-ai-focused-data-center-in-sweden-3431886</t>
  </si>
  <si>
    <t xml:space="preserve">S#284</t>
  </si>
  <si>
    <t xml:space="preserve">QTS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</si>
  <si>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Cambois Campus (North East AI Growth Zone)</t>
    </r>
    <r>
      <rPr>
        <sz val="11"/>
        <color theme="1"/>
        <rFont val="Noto Sans CJK SC"/>
        <family val="2"/>
      </rPr>
      <t xml:space="preserve">｜全園區｜規劃</t>
    </r>
  </si>
  <si>
    <t xml:space="preserve">720 MW</t>
  </si>
  <si>
    <r>
      <rPr>
        <sz val="11"/>
        <color theme="1"/>
        <rFont val="Calibri"/>
        <family val="2"/>
        <charset val="1"/>
      </rPr>
      <t xml:space="preserve">720MW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2026-04-14</t>
    </r>
    <r>
      <rPr>
        <sz val="11"/>
        <color theme="1"/>
        <rFont val="Noto Sans CJK SC"/>
        <family val="2"/>
      </rPr>
      <t xml:space="preserve">皆屬實；但原文無議員稱</t>
    </r>
    <r>
      <rPr>
        <sz val="11"/>
        <color theme="1"/>
        <rFont val="Calibri"/>
        <family val="2"/>
        <charset val="1"/>
      </rPr>
      <t xml:space="preserve">1.1GW</t>
    </r>
    <r>
      <rPr>
        <sz val="11"/>
        <color theme="1"/>
        <rFont val="Noto Sans CJK SC"/>
        <family val="2"/>
      </rPr>
      <t xml:space="preserve">，也無</t>
    </r>
    <r>
      <rPr>
        <sz val="11"/>
        <color theme="1"/>
        <rFont val="Calibri"/>
        <family val="2"/>
        <charset val="1"/>
      </rPr>
      <t xml:space="preserve">2035</t>
    </r>
    <r>
      <rPr>
        <sz val="11"/>
        <color theme="1"/>
        <rFont val="Noto Sans CJK SC"/>
        <family val="2"/>
      </rPr>
      <t xml:space="preserve">完工，這兩項找不到。另</t>
    </r>
    <r>
      <rPr>
        <sz val="11"/>
        <color theme="1"/>
        <rFont val="Calibri"/>
        <family val="2"/>
        <charset val="1"/>
      </rPr>
      <t xml:space="preserve">720MW</t>
    </r>
    <r>
      <rPr>
        <sz val="11"/>
        <color theme="1"/>
        <rFont val="Noto Sans CJK SC"/>
        <family val="2"/>
      </rPr>
      <t xml:space="preserve">為記者轉述，非</t>
    </r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本人說法。</t>
    </r>
  </si>
  <si>
    <t xml:space="preserve">https://datacentrereview.com/2026/04/qts-reaffirms-commitment-to-north-east-ai-growth-zone/</t>
  </si>
  <si>
    <t xml:space="preserve">S#285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</si>
  <si>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Cambois Campus (North East AI Growth Zone)</t>
    </r>
    <r>
      <rPr>
        <sz val="11"/>
        <color theme="1"/>
        <rFont val="Noto Sans CJK SC"/>
        <family val="2"/>
      </rPr>
      <t xml:space="preserve">｜第一期（第</t>
    </r>
    <r>
      <rPr>
        <sz val="11"/>
        <color theme="1"/>
        <rFont val="Calibri"/>
        <family val="2"/>
        <charset val="1"/>
      </rPr>
      <t xml:space="preserve">1–2</t>
    </r>
    <r>
      <rPr>
        <sz val="11"/>
        <color theme="1"/>
        <rFont val="Noto Sans CJK SC"/>
        <family val="2"/>
      </rPr>
      <t xml:space="preserve">棟）｜在建</t>
    </r>
  </si>
  <si>
    <t xml:space="preserve">144 MW</t>
  </si>
  <si>
    <r>
      <rPr>
        <sz val="11"/>
        <color theme="1"/>
        <rFont val="Noto Sans CJK SC"/>
        <family val="2"/>
      </rPr>
      <t xml:space="preserve">原文只說前兩棟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營運，未提</t>
    </r>
    <r>
      <rPr>
        <sz val="11"/>
        <color theme="1"/>
        <rFont val="Calibri"/>
        <family val="2"/>
        <charset val="1"/>
      </rPr>
      <t xml:space="preserve">72MW</t>
    </r>
    <r>
      <rPr>
        <sz val="11"/>
        <color theme="1"/>
        <rFont val="Noto Sans CJK SC"/>
        <family val="2"/>
      </rPr>
      <t xml:space="preserve">單棟或</t>
    </r>
    <r>
      <rPr>
        <sz val="11"/>
        <color theme="1"/>
        <rFont val="Calibri"/>
        <family val="2"/>
        <charset val="1"/>
      </rPr>
      <t xml:space="preserve">144MW IT</t>
    </r>
    <r>
      <rPr>
        <sz val="11"/>
        <color theme="1"/>
        <rFont val="Noto Sans CJK SC"/>
        <family val="2"/>
      </rPr>
      <t xml:space="preserve">；「原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」亦不在原文，</t>
    </r>
    <r>
      <rPr>
        <sz val="11"/>
        <color theme="1"/>
        <rFont val="Calibri"/>
        <family val="2"/>
        <charset val="1"/>
      </rPr>
      <t xml:space="preserve">72MW</t>
    </r>
    <r>
      <rPr>
        <sz val="11"/>
        <color theme="1"/>
        <rFont val="Noto Sans CJK SC"/>
        <family val="2"/>
      </rPr>
      <t xml:space="preserve">應來自他處，列內推算無法由本文核對。</t>
    </r>
  </si>
  <si>
    <t xml:space="preserve">https://www.businessnorthumberland.co.uk/qts-applies-to-speed-up-10bn-uk-data-centre-delivery/</t>
  </si>
  <si>
    <t xml:space="preserve">S#286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</si>
  <si>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Cambois Campus (North East AI Growth Zone)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3–4</t>
    </r>
    <r>
      <rPr>
        <sz val="11"/>
        <color theme="1"/>
        <rFont val="Noto Sans CJK SC"/>
        <family val="2"/>
      </rPr>
      <t xml:space="preserve">棟｜規劃</t>
    </r>
  </si>
  <si>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完成及提早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年屬實；但原文無</t>
    </r>
    <r>
      <rPr>
        <sz val="11"/>
        <color theme="1"/>
        <rFont val="Calibri"/>
        <family val="2"/>
        <charset val="1"/>
      </rPr>
      <t xml:space="preserve">72MW</t>
    </r>
    <r>
      <rPr>
        <sz val="11"/>
        <color theme="1"/>
        <rFont val="Noto Sans CJK SC"/>
        <family val="2"/>
      </rPr>
      <t xml:space="preserve">單棟或</t>
    </r>
    <r>
      <rPr>
        <sz val="11"/>
        <color theme="1"/>
        <rFont val="Calibri"/>
        <family val="2"/>
        <charset val="1"/>
      </rPr>
      <t xml:space="preserve">144MW IT</t>
    </r>
    <r>
      <rPr>
        <sz val="11"/>
        <color theme="1"/>
        <rFont val="Noto Sans CJK SC"/>
        <family val="2"/>
      </rPr>
      <t xml:space="preserve">數字，僅有全案</t>
    </r>
    <r>
      <rPr>
        <sz val="11"/>
        <color theme="1"/>
        <rFont val="Calibri"/>
        <family val="2"/>
        <charset val="1"/>
      </rPr>
      <t xml:space="preserve">1.1GW</t>
    </r>
    <r>
      <rPr>
        <sz val="11"/>
        <color theme="1"/>
        <rFont val="Noto Sans CJK SC"/>
        <family val="2"/>
      </rPr>
      <t xml:space="preserve">，推算所用數字找不到。</t>
    </r>
  </si>
  <si>
    <t xml:space="preserve">S#287</t>
  </si>
  <si>
    <r>
      <rPr>
        <sz val="11"/>
        <color theme="1"/>
        <rFont val="Calibri"/>
        <family val="2"/>
        <charset val="1"/>
      </rPr>
      <t xml:space="preserve">Elsham Tech Park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Greystoke </t>
    </r>
    <r>
      <rPr>
        <sz val="11"/>
        <color theme="1"/>
        <rFont val="Noto Sans CJK SC"/>
        <family val="2"/>
      </rPr>
      <t xml:space="preserve">監督）</t>
    </r>
  </si>
  <si>
    <r>
      <rPr>
        <sz val="11"/>
        <color theme="1"/>
        <rFont val="Calibri"/>
        <family val="2"/>
        <charset val="1"/>
      </rPr>
      <t xml:space="preserve">Elsham Tech Park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Greystoke </t>
    </r>
    <r>
      <rPr>
        <sz val="11"/>
        <color theme="1"/>
        <rFont val="Noto Sans CJK SC"/>
        <family val="2"/>
      </rPr>
      <t xml:space="preserve">監督）｜</t>
    </r>
    <r>
      <rPr>
        <sz val="11"/>
        <color theme="1"/>
        <rFont val="Calibri"/>
        <family val="2"/>
        <charset val="1"/>
      </rPr>
      <t xml:space="preserve">Elsham Tech Park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</si>
  <si>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1,000MW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座</t>
    </r>
    <r>
      <rPr>
        <sz val="11"/>
        <color theme="1"/>
        <rFont val="Calibri"/>
        <family val="2"/>
        <charset val="1"/>
      </rPr>
      <t xml:space="preserve">data hall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年首期、</t>
    </r>
    <r>
      <rPr>
        <sz val="11"/>
        <color theme="1"/>
        <rFont val="Calibri"/>
        <family val="2"/>
        <charset val="1"/>
      </rPr>
      <t xml:space="preserve">outline approval </t>
    </r>
    <r>
      <rPr>
        <sz val="11"/>
        <color theme="1"/>
        <rFont val="Noto Sans CJK SC"/>
        <family val="2"/>
      </rPr>
      <t xml:space="preserve">皆與原文一致。日期由網址得知。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等其他說法與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進展不在此原文，未核。</t>
    </r>
  </si>
  <si>
    <t xml:space="preserve">https://www.constructionenquirer.com/2026/03/12/uks-biggest-ai-data-centre-plan-approved/</t>
  </si>
  <si>
    <t xml:space="preserve">S#288</t>
  </si>
  <si>
    <r>
      <rPr>
        <sz val="11"/>
        <color theme="1"/>
        <rFont val="Calibri"/>
        <family val="2"/>
        <charset val="1"/>
      </rPr>
      <t xml:space="preserve">Elsham Tech Park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Greystoke </t>
    </r>
    <r>
      <rPr>
        <sz val="11"/>
        <color theme="1"/>
        <rFont val="Noto Sans CJK SC"/>
        <family val="2"/>
      </rPr>
      <t xml:space="preserve">監督）｜</t>
    </r>
    <r>
      <rPr>
        <sz val="11"/>
        <color theme="1"/>
        <rFont val="Calibri"/>
        <family val="2"/>
        <charset val="1"/>
      </rPr>
      <t xml:space="preserve">Elsham Tech Park AI Campus</t>
    </r>
    <r>
      <rPr>
        <sz val="11"/>
        <color theme="1"/>
        <rFont val="Noto Sans CJK SC"/>
        <family val="2"/>
      </rPr>
      <t xml:space="preserve">｜第一期｜規劃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</si>
  <si>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開放第一期、僅</t>
    </r>
    <r>
      <rPr>
        <sz val="11"/>
        <color theme="1"/>
        <rFont val="Calibri"/>
        <family val="2"/>
        <charset val="1"/>
      </rPr>
      <t xml:space="preserve">outline</t>
    </r>
    <r>
      <rPr>
        <sz val="11"/>
        <color theme="1"/>
        <rFont val="Noto Sans CJK SC"/>
        <family val="2"/>
      </rPr>
      <t xml:space="preserve">許可、建設期約十年皆屬實，第一期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原文未提。但原文未出現 </t>
    </r>
    <r>
      <rPr>
        <sz val="11"/>
        <color theme="1"/>
        <rFont val="Calibri"/>
        <family val="2"/>
        <charset val="1"/>
      </rPr>
      <t xml:space="preserve">Elsham Tech Park Ltd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Greystoke</t>
    </r>
    <r>
      <rPr>
        <sz val="11"/>
        <color theme="1"/>
        <rFont val="Noto Sans CJK SC"/>
        <family val="2"/>
      </rPr>
      <t xml:space="preserve">，這兩個名稱找不到出處。</t>
    </r>
  </si>
  <si>
    <t xml:space="preserve">https://www.newcivilengineer.com/latest/uks-largest-ai-data-centre-receives-approval-paving-way-for-10bn-investment-12-03-2026/</t>
  </si>
  <si>
    <t xml:space="preserve">S#289</t>
  </si>
  <si>
    <t xml:space="preserve">Sesterce</t>
  </si>
  <si>
    <r>
      <rPr>
        <sz val="11"/>
        <color theme="1"/>
        <rFont val="Calibri"/>
        <family val="2"/>
        <charset val="1"/>
      </rPr>
      <t xml:space="preserve">Sesterce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Sesterce Jämsä AI Campus</t>
    </r>
    <r>
      <rPr>
        <sz val="11"/>
        <color theme="1"/>
        <rFont val="Noto Sans CJK SC"/>
        <family val="2"/>
      </rPr>
      <t xml:space="preserve">｜第一期｜規劃</t>
    </r>
  </si>
  <si>
    <t xml:space="preserve">2026-10-08</t>
  </si>
  <si>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、日期、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動工、錨定客戶未具名皆符。但 </t>
    </r>
    <r>
      <rPr>
        <sz val="11"/>
        <color theme="1"/>
        <rFont val="Calibri"/>
        <family val="2"/>
        <charset val="1"/>
      </rPr>
      <t xml:space="preserve">Yle </t>
    </r>
    <r>
      <rPr>
        <sz val="11"/>
        <color theme="1"/>
        <rFont val="Noto Sans CJK SC"/>
        <family val="2"/>
      </rPr>
      <t xml:space="preserve">引述</t>
    </r>
    <r>
      <rPr>
        <sz val="11"/>
        <color theme="1"/>
        <rFont val="Calibri"/>
        <family val="2"/>
        <charset val="1"/>
      </rPr>
      <t xml:space="preserve">CEO</t>
    </r>
    <r>
      <rPr>
        <sz val="11"/>
        <color theme="1"/>
        <rFont val="Noto Sans CJK SC"/>
        <family val="2"/>
      </rPr>
      <t xml:space="preserve">與市府稱許可未完成，原文找不到（市長只說須符合要求），可能來自他處。</t>
    </r>
  </si>
  <si>
    <t xml:space="preserve">https://www.sesterce.com/newsroom/sesterce-plans-ai-campus-kaipola-jamsa-finland</t>
  </si>
  <si>
    <t xml:space="preserve">S#290</t>
  </si>
  <si>
    <r>
      <rPr>
        <sz val="11"/>
        <color theme="1"/>
        <rFont val="Calibri"/>
        <family val="2"/>
        <charset val="1"/>
      </rPr>
      <t xml:space="preserve">Sesterce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Sesterce Jämsä AI Campus</t>
    </r>
    <r>
      <rPr>
        <sz val="11"/>
        <color theme="1"/>
        <rFont val="Noto Sans CJK SC"/>
        <family val="2"/>
      </rPr>
      <t xml:space="preserve">｜第二期｜規劃</t>
    </r>
  </si>
  <si>
    <r>
      <rPr>
        <sz val="11"/>
        <color theme="1"/>
        <rFont val="Noto Sans CJK SC"/>
        <family val="2"/>
      </rPr>
      <t xml:space="preserve">原文</t>
    </r>
    <r>
      <rPr>
        <sz val="11"/>
        <color theme="1"/>
        <rFont val="Calibri"/>
        <family val="2"/>
        <charset val="1"/>
      </rPr>
      <t xml:space="preserve">600 MW</t>
    </r>
    <r>
      <rPr>
        <sz val="11"/>
        <color theme="1"/>
        <rFont val="Noto Sans CJK SC"/>
        <family val="2"/>
      </rPr>
      <t xml:space="preserve">第二期、長期逾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400=600−200</t>
    </r>
    <r>
      <rPr>
        <sz val="11"/>
        <color theme="1"/>
        <rFont val="Noto Sans CJK SC"/>
        <family val="2"/>
      </rPr>
      <t xml:space="preserve">為推算，</t>
    </r>
    <r>
      <rPr>
        <sz val="11"/>
        <color theme="1"/>
        <rFont val="Calibri"/>
        <family val="2"/>
        <charset val="1"/>
      </rPr>
      <t xml:space="preserve">Derived </t>
    </r>
    <r>
      <rPr>
        <sz val="11"/>
        <color theme="1"/>
        <rFont val="Noto Sans CJK SC"/>
        <family val="2"/>
      </rPr>
      <t xml:space="preserve">標註合理。原文未說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是否累計，但推論合理。</t>
    </r>
  </si>
  <si>
    <t xml:space="preserve">S#291</t>
  </si>
  <si>
    <t xml:space="preserve">Brookfield</t>
  </si>
  <si>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Brookfield Strängnäs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</si>
  <si>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2025-06-04</t>
  </si>
  <si>
    <t xml:space="preserve">https://www.barchart.com/story/news/32750671/brookfield-to-advance-ai-infrastructure-in-sweden-through-sek-95-billion-investment</t>
  </si>
  <si>
    <t xml:space="preserve">S#292</t>
  </si>
  <si>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Brookfield Strängnäs AI Campus</t>
    </r>
    <r>
      <rPr>
        <sz val="11"/>
        <color theme="1"/>
        <rFont val="Noto Sans CJK SC"/>
        <family val="2"/>
      </rPr>
      <t xml:space="preserve">｜原規劃（既有土地）｜規劃</t>
    </r>
  </si>
  <si>
    <t xml:space="preserve">S#293</t>
  </si>
  <si>
    <r>
      <rPr>
        <sz val="11"/>
        <color theme="1"/>
        <rFont val="Calibri"/>
        <family val="2"/>
        <charset val="1"/>
      </rPr>
      <t xml:space="preserve">Schwarz Digits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STACKIT </t>
    </r>
    <r>
      <rPr>
        <sz val="11"/>
        <color theme="1"/>
        <rFont val="Noto Sans CJK SC"/>
        <family val="2"/>
      </rPr>
      <t xml:space="preserve">營運第五個資料中心）</t>
    </r>
  </si>
  <si>
    <r>
      <rPr>
        <sz val="11"/>
        <color theme="1"/>
        <rFont val="Calibri"/>
        <family val="2"/>
        <charset val="1"/>
      </rPr>
      <t xml:space="preserve">Schwarz Digits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STACKIT </t>
    </r>
    <r>
      <rPr>
        <sz val="11"/>
        <color theme="1"/>
        <rFont val="Noto Sans CJK SC"/>
        <family val="2"/>
      </rPr>
      <t xml:space="preserve">營運第五個資料中心）｜</t>
    </r>
    <r>
      <rPr>
        <sz val="11"/>
        <color theme="1"/>
        <rFont val="Calibri"/>
        <family val="2"/>
        <charset val="1"/>
      </rPr>
      <t xml:space="preserve">Schwarz Digits Datacenter Lübbenau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</si>
  <si>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併網容量、</t>
    </r>
    <r>
      <rPr>
        <sz val="11"/>
        <color theme="1"/>
        <rFont val="Calibri"/>
        <family val="2"/>
        <charset val="1"/>
      </rPr>
      <t xml:space="preserve">11 Mrd </t>
    </r>
    <r>
      <rPr>
        <sz val="11"/>
        <color theme="1"/>
        <rFont val="Noto Sans CJK SC"/>
        <family val="2"/>
      </rPr>
      <t xml:space="preserve">歐元（</t>
    </r>
    <r>
      <rPr>
        <sz val="11"/>
        <color theme="1"/>
        <rFont val="Calibri"/>
        <family val="2"/>
        <charset val="1"/>
      </rPr>
      <t xml:space="preserve">=110 </t>
    </r>
    <r>
      <rPr>
        <sz val="11"/>
        <color theme="1"/>
        <rFont val="Noto Sans CJK SC"/>
        <family val="2"/>
      </rPr>
      <t xml:space="preserve">億）、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皆屬實。原文只提第一階段三模組、兩個建設階段，沒有「共六棟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模組」。不影響數值。</t>
    </r>
  </si>
  <si>
    <t xml:space="preserve">https://www.presseportal.de/pm/176941/6160204</t>
  </si>
  <si>
    <t xml:space="preserve">S#294</t>
  </si>
  <si>
    <r>
      <rPr>
        <sz val="11"/>
        <color theme="1"/>
        <rFont val="Calibri"/>
        <family val="2"/>
        <charset val="1"/>
      </rPr>
      <t xml:space="preserve">Schwarz Digits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STACKIT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</si>
  <si>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Schwarz Digits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STACKIT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Schwarz Digits Datacenter Lübbenau</t>
    </r>
    <r>
      <rPr>
        <sz val="11"/>
        <color theme="1"/>
        <rFont val="Noto Sans CJK SC"/>
        <family val="2"/>
      </rPr>
      <t xml:space="preserve">｜第一建設階段（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個模組）｜在建</t>
    </r>
  </si>
  <si>
    <r>
      <rPr>
        <sz val="11"/>
        <color theme="1"/>
        <rFont val="Noto Sans CJK SC"/>
        <family val="2"/>
      </rPr>
      <t xml:space="preserve">第一階段三模組於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年底完成、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年起餘熱併入區域供暖，皆有原文。原文未單獨揭露第一階段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，與列中說法一致。</t>
    </r>
  </si>
  <si>
    <t xml:space="preserve">S#295</t>
  </si>
  <si>
    <r>
      <rPr>
        <sz val="11"/>
        <color theme="1"/>
        <rFont val="Calibri"/>
        <family val="2"/>
        <charset val="1"/>
      </rPr>
      <t xml:space="preserve">Schwarz Digits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STACKIT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Schwarz Digits Datacenter Lübbenau</t>
    </r>
    <r>
      <rPr>
        <sz val="11"/>
        <color theme="1"/>
        <rFont val="Noto Sans CJK SC"/>
        <family val="2"/>
      </rPr>
      <t xml:space="preserve">｜第二建設階段（其餘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個模組）｜規劃</t>
    </r>
  </si>
  <si>
    <r>
      <rPr>
        <sz val="11"/>
        <color theme="1"/>
        <rFont val="Noto Sans CJK SC"/>
        <family val="2"/>
      </rPr>
      <t xml:space="preserve">「兩階段共 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」且第二階段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未揭露，屬實。但頁面日期為 </t>
    </r>
    <r>
      <rPr>
        <sz val="11"/>
        <color theme="1"/>
        <rFont val="Calibri"/>
        <family val="2"/>
        <charset val="1"/>
      </rPr>
      <t xml:space="preserve">2025-11-18</t>
    </r>
    <r>
      <rPr>
        <sz val="11"/>
        <color theme="1"/>
        <rFont val="Noto Sans CJK SC"/>
        <family val="2"/>
      </rPr>
      <t xml:space="preserve">，並非「不明」，與 </t>
    </r>
    <r>
      <rPr>
        <sz val="11"/>
        <color theme="1"/>
        <rFont val="Calibri"/>
        <family val="2"/>
        <charset val="1"/>
      </rPr>
      <t xml:space="preserve">2025-11-17 </t>
    </r>
    <r>
      <rPr>
        <sz val="11"/>
        <color theme="1"/>
        <rFont val="Noto Sans CJK SC"/>
        <family val="2"/>
      </rPr>
      <t xml:space="preserve">差一天。原文也沒有「其餘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個模組」及「模組化擴充」的說法，標題「記者推論」亦與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不一致。</t>
    </r>
  </si>
  <si>
    <t xml:space="preserve">https://www.datacenterdynamics.com/en/news/lidl-owner-schwarz-breaks-ground-on-200mw-data-center-in-germany/</t>
  </si>
  <si>
    <t xml:space="preserve">S#296</t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</si>
  <si>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</si>
  <si>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</si>
  <si>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1.4GW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億歐元屬實。但原文稱第四期「初始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＋潛在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」，且為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容量口徑，</t>
    </r>
    <r>
      <rPr>
        <sz val="11"/>
        <color theme="1"/>
        <rFont val="Calibri"/>
        <family val="2"/>
        <charset val="1"/>
      </rPr>
      <t xml:space="preserve">basis</t>
    </r>
    <r>
      <rPr>
        <sz val="11"/>
        <color theme="1"/>
        <rFont val="Noto Sans CJK SC"/>
        <family val="2"/>
      </rPr>
      <t xml:space="preserve">寫「未說明」稍偏；「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年初約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」等說法原文找不到。</t>
    </r>
  </si>
  <si>
    <t xml:space="preserve">https://www.merca2.es/2026/08/10/merlin-centro-datos-extremadura-2434033/</t>
  </si>
  <si>
    <t xml:space="preserve">S#297</t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</si>
  <si>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｜第一階段首期（首棟起步）｜規劃</t>
    </r>
  </si>
  <si>
    <t xml:space="preserve">20 MW</t>
  </si>
  <si>
    <r>
      <rPr>
        <sz val="11"/>
        <color theme="1"/>
        <rFont val="Calibri"/>
        <family val="2"/>
        <charset val="1"/>
      </rPr>
      <t xml:space="preserve">20MW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29MW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億歐元、首棟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皆屬實。但原文稱秋季動工、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月可能核發施工許可，無「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」、原定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月底動工、</t>
    </r>
    <r>
      <rPr>
        <sz val="11"/>
        <color theme="1"/>
        <rFont val="Calibri"/>
        <family val="2"/>
        <charset val="1"/>
      </rPr>
      <t xml:space="preserve">10/9</t>
    </r>
    <r>
      <rPr>
        <sz val="11"/>
        <color theme="1"/>
        <rFont val="Noto Sans CJK SC"/>
        <family val="2"/>
      </rPr>
      <t xml:space="preserve">改稱年底前等說法，原文找不到；推算部分不在原文。</t>
    </r>
  </si>
  <si>
    <t xml:space="preserve">S#298</t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</si>
  <si>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｜第一階段首期（首棟起步）－電力側｜簽約</t>
    </r>
  </si>
  <si>
    <t xml:space="preserve">29 MW</t>
  </si>
  <si>
    <r>
      <rPr>
        <sz val="11"/>
        <color theme="1"/>
        <rFont val="Calibri"/>
        <family val="2"/>
        <charset val="1"/>
      </rPr>
      <t xml:space="preserve">29MW</t>
    </r>
    <r>
      <rPr>
        <sz val="11"/>
        <color theme="1"/>
        <rFont val="Noto Sans CJK SC"/>
        <family val="2"/>
      </rPr>
      <t xml:space="preserve">與約</t>
    </r>
    <r>
      <rPr>
        <sz val="11"/>
        <color theme="1"/>
        <rFont val="Calibri"/>
        <family val="2"/>
        <charset val="1"/>
      </rPr>
      <t xml:space="preserve">20MW IT</t>
    </r>
    <r>
      <rPr>
        <sz val="11"/>
        <color theme="1"/>
        <rFont val="Noto Sans CJK SC"/>
        <family val="2"/>
      </rPr>
      <t xml:space="preserve">原文有；但原文稱「</t>
    </r>
    <r>
      <rPr>
        <sz val="11"/>
        <color theme="1"/>
        <rFont val="Calibri"/>
        <family val="2"/>
        <charset val="1"/>
      </rPr>
      <t xml:space="preserve">granted electrical power</t>
    </r>
    <r>
      <rPr>
        <sz val="11"/>
        <color theme="1"/>
        <rFont val="Noto Sans CJK SC"/>
        <family val="2"/>
      </rPr>
      <t xml:space="preserve">」，標「設施」為本人判斷；</t>
    </r>
    <r>
      <rPr>
        <sz val="11"/>
        <color theme="1"/>
        <rFont val="Calibri"/>
        <family val="2"/>
        <charset val="1"/>
      </rPr>
      <t xml:space="preserve">COPE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Iberdrola</t>
    </r>
    <r>
      <rPr>
        <sz val="11"/>
        <color theme="1"/>
        <rFont val="Noto Sans CJK SC"/>
        <family val="2"/>
      </rPr>
      <t xml:space="preserve">、「</t>
    </r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天前」原文找不到；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與來源標示為公司本人、經媒體轉述，偏弱。</t>
    </r>
  </si>
  <si>
    <t xml:space="preserve">https://cloudnews.tech/merlins-new-navalmoral-data-center-is-constrained-by-power-not-ambition/</t>
  </si>
  <si>
    <t xml:space="preserve">S#299</t>
  </si>
  <si>
    <t xml:space="preserve">Merlin Edged, SL</t>
  </si>
  <si>
    <r>
      <rPr>
        <sz val="11"/>
        <color theme="1"/>
        <rFont val="Calibri"/>
        <family val="2"/>
        <charset val="1"/>
      </rPr>
      <t xml:space="preserve">Merlin Edged, SL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｜環評申請範圍（</t>
    </r>
    <r>
      <rPr>
        <sz val="11"/>
        <color theme="1"/>
        <rFont val="Calibri"/>
        <family val="2"/>
        <charset val="1"/>
      </rPr>
      <t xml:space="preserve">Parcela I-64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棟）｜規劃</t>
    </r>
  </si>
  <si>
    <t xml:space="preserve">288 MW</t>
  </si>
  <si>
    <t xml:space="preserve">2026-05-22</t>
  </si>
  <si>
    <r>
      <rPr>
        <sz val="11"/>
        <color theme="1"/>
        <rFont val="Calibri"/>
        <family val="2"/>
        <charset val="1"/>
      </rPr>
      <t xml:space="preserve">288MW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206,753</t>
    </r>
    <r>
      <rPr>
        <sz val="11"/>
        <color theme="1"/>
        <rFont val="Noto Sans CJK SC"/>
        <family val="2"/>
      </rPr>
      <t xml:space="preserve">㎡、</t>
    </r>
    <r>
      <rPr>
        <sz val="11"/>
        <color theme="1"/>
        <rFont val="Calibri"/>
        <family val="2"/>
        <charset val="1"/>
      </rPr>
      <t xml:space="preserve">104</t>
    </r>
    <r>
      <rPr>
        <sz val="11"/>
        <color theme="1"/>
        <rFont val="Noto Sans CJK SC"/>
        <family val="2"/>
      </rPr>
      <t xml:space="preserve">台發電機、出租均屬實；但「已授予</t>
    </r>
    <r>
      <rPr>
        <sz val="11"/>
        <color theme="1"/>
        <rFont val="Calibri"/>
        <family val="2"/>
        <charset val="1"/>
      </rPr>
      <t xml:space="preserve">29MW</t>
    </r>
    <r>
      <rPr>
        <sz val="11"/>
        <color theme="1"/>
        <rFont val="Noto Sans CJK SC"/>
        <family val="2"/>
      </rPr>
      <t xml:space="preserve">」在本文找不到，應出自他處。</t>
    </r>
  </si>
  <si>
    <t xml:space="preserve">https://www.eldiario.es/extremadura/politica/futuro-macrocentro-datos-merlin-navalmoral-mata-inicia-examen-ambiental_1_13241719.html</t>
  </si>
  <si>
    <t xml:space="preserve">S#300</t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</si>
  <si>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EXT-NAV 01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02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</si>
  <si>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原文確有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月簡報</t>
    </r>
    <r>
      <rPr>
        <sz val="11"/>
        <color theme="1"/>
        <rFont val="Calibri"/>
        <family val="2"/>
        <charset val="1"/>
      </rPr>
      <t xml:space="preserve">Phase IV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EXT-NAV 01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02</t>
    </r>
    <r>
      <rPr>
        <sz val="11"/>
        <color theme="1"/>
        <rFont val="Noto Sans CJK SC"/>
        <family val="2"/>
      </rPr>
      <t xml:space="preserve">共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，數值屬實；但「</t>
    </r>
    <r>
      <rPr>
        <sz val="11"/>
        <color theme="1"/>
        <rFont val="Calibri"/>
        <family val="2"/>
        <charset val="1"/>
      </rPr>
      <t xml:space="preserve">10/9</t>
    </r>
    <r>
      <rPr>
        <sz val="11"/>
        <color theme="1"/>
        <rFont val="Noto Sans CJK SC"/>
        <family val="2"/>
      </rPr>
      <t xml:space="preserve">公司稱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億歐元」及日期推估於原文找不到。</t>
    </r>
  </si>
  <si>
    <t xml:space="preserve">S#301</t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</si>
  <si>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IV </t>
    </r>
    <r>
      <rPr>
        <sz val="11"/>
        <color theme="1"/>
        <rFont val="Noto Sans CJK SC"/>
        <family val="2"/>
      </rPr>
      <t xml:space="preserve">後續擴充｜規劃</t>
    </r>
  </si>
  <si>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屬實，取決於電網容量亦合；但「</t>
    </r>
    <r>
      <rPr>
        <sz val="11"/>
        <color theme="1"/>
        <rFont val="Calibri"/>
        <family val="2"/>
        <charset val="1"/>
      </rPr>
      <t xml:space="preserve">Canal Extremadura</t>
    </r>
    <r>
      <rPr>
        <sz val="11"/>
        <color theme="1"/>
        <rFont val="Noto Sans CJK SC"/>
        <family val="2"/>
      </rPr>
      <t xml:space="preserve">稱預留土地」原文找不到，其餘為推估。</t>
    </r>
  </si>
  <si>
    <t xml:space="preserve">S#302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</si>
  <si>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Calatorao (Project Rodes/Rhodes)</t>
    </r>
    <r>
      <rPr>
        <sz val="11"/>
        <color theme="1"/>
        <rFont val="Noto Sans CJK SC"/>
        <family val="2"/>
      </rPr>
      <t xml:space="preserve">｜全園區｜規劃</t>
    </r>
  </si>
  <si>
    <t xml:space="preserve">430 MW</t>
  </si>
  <si>
    <t xml:space="preserve">https://www.eleconomista.es/tecnologia/noticias/14017615/09/26/blackstone-ya-tiene-via-libre-su-primer-centro-de-datos-en-zaragoza-estara-finalizado-en-2028.html</t>
  </si>
  <si>
    <t xml:space="preserve">S#303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</si>
  <si>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Calatorao (Project Rodes/Rhodes)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棟）｜規劃</t>
    </r>
  </si>
  <si>
    <t xml:space="preserve">S#304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</si>
  <si>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Calatorao (Project Rodes/Rhodes)</t>
    </r>
    <r>
      <rPr>
        <sz val="11"/>
        <color theme="1"/>
        <rFont val="Noto Sans CJK SC"/>
        <family val="2"/>
      </rPr>
      <t xml:space="preserve">｜第二期（最多再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棟）｜規劃</t>
    </r>
  </si>
  <si>
    <r>
      <rPr>
        <sz val="11"/>
        <color theme="1"/>
        <rFont val="Noto Sans CJK SC"/>
        <family val="2"/>
      </rPr>
      <t xml:space="preserve">第二期最多再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棟屬實，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與時程也確實未載。但 </t>
    </r>
    <r>
      <rPr>
        <sz val="11"/>
        <color theme="1"/>
        <rFont val="Calibri"/>
        <family val="2"/>
        <charset val="1"/>
      </rPr>
      <t xml:space="preserve">220 kV </t>
    </r>
    <r>
      <rPr>
        <sz val="11"/>
        <color theme="1"/>
        <rFont val="Noto Sans CJK SC"/>
        <family val="2"/>
      </rPr>
      <t xml:space="preserve">併網許可程序在原文找不到。來源是媒體報導政府核准，並非公司本人；日期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也未見於原文。</t>
    </r>
  </si>
  <si>
    <t xml:space="preserve">https://www.goaragon.es/noticias-aragon-espana-proyecto-rhodes-campus-centros-datos-calatorao-empleos/</t>
  </si>
  <si>
    <t xml:space="preserve">S#305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</si>
  <si>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7724 Spain S.L.U.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</si>
  <si>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7724 Spain S.L.U.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Microsoft Aragón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Región MSFT</t>
    </r>
    <r>
      <rPr>
        <sz val="11"/>
        <color theme="1"/>
        <rFont val="Noto Sans CJK SC"/>
        <family val="2"/>
      </rPr>
      <t xml:space="preserve">）｜第一期－</t>
    </r>
    <r>
      <rPr>
        <sz val="11"/>
        <color theme="1"/>
        <rFont val="Calibri"/>
        <family val="2"/>
        <charset val="1"/>
      </rPr>
      <t xml:space="preserve">La Muela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Centrovía</t>
    </r>
    <r>
      <rPr>
        <sz val="11"/>
        <color theme="1"/>
        <rFont val="Noto Sans CJK SC"/>
        <family val="2"/>
      </rPr>
      <t xml:space="preserve">）｜規劃</t>
    </r>
  </si>
  <si>
    <t xml:space="preserve">2025-11-14</t>
  </si>
  <si>
    <r>
      <rPr>
        <sz val="11"/>
        <color theme="1"/>
        <rFont val="Noto Sans CJK SC"/>
        <family val="2"/>
      </rPr>
      <t xml:space="preserve">每園初始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、日期</t>
    </r>
    <r>
      <rPr>
        <sz val="11"/>
        <color theme="1"/>
        <rFont val="Calibri"/>
        <family val="2"/>
        <charset val="1"/>
      </rPr>
      <t xml:space="preserve">2025-11-14</t>
    </r>
    <r>
      <rPr>
        <sz val="11"/>
        <color theme="1"/>
        <rFont val="Noto Sans CJK SC"/>
        <family val="2"/>
      </rPr>
      <t xml:space="preserve">屬實；原文稱「</t>
    </r>
    <r>
      <rPr>
        <sz val="11"/>
        <color theme="1"/>
        <rFont val="Calibri"/>
        <family val="2"/>
        <charset val="1"/>
      </rPr>
      <t xml:space="preserve">fuentes de Microsoft</t>
    </r>
    <r>
      <rPr>
        <sz val="11"/>
        <color theme="1"/>
        <rFont val="Noto Sans CJK SC"/>
        <family val="2"/>
      </rPr>
      <t xml:space="preserve">」說法，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算利害關係人可接受。原文第一期最長四年，未明列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來自他處；</t>
    </r>
    <r>
      <rPr>
        <sz val="11"/>
        <color theme="1"/>
        <rFont val="Calibri"/>
        <family val="2"/>
        <charset val="1"/>
      </rPr>
      <t xml:space="preserve">PIGA</t>
    </r>
    <r>
      <rPr>
        <sz val="11"/>
        <color theme="1"/>
        <rFont val="Noto Sans CJK SC"/>
        <family val="2"/>
      </rPr>
      <t xml:space="preserve">僅初步核准的說法與原文「</t>
    </r>
    <r>
      <rPr>
        <sz val="11"/>
        <color theme="1"/>
        <rFont val="Calibri"/>
        <family val="2"/>
        <charset val="1"/>
      </rPr>
      <t xml:space="preserve">aprobado</t>
    </r>
    <r>
      <rPr>
        <sz val="11"/>
        <color theme="1"/>
        <rFont val="Noto Sans CJK SC"/>
        <family val="2"/>
      </rPr>
      <t xml:space="preserve">」不一致。</t>
    </r>
  </si>
  <si>
    <t xml:space="preserve">https://www.datacentermarket.es/datacenter-infrastructure/microsoft-pisa-el-acelerador-en-aragon-invierte-mas-de-5-millones-de-euros-en-tres-data-centers/</t>
  </si>
  <si>
    <t xml:space="preserve">S#306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</si>
  <si>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7724 Spain S.L.U.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Microsoft Aragón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Región MSFT</t>
    </r>
    <r>
      <rPr>
        <sz val="11"/>
        <color theme="1"/>
        <rFont val="Noto Sans CJK SC"/>
        <family val="2"/>
      </rPr>
      <t xml:space="preserve">）｜第一期－</t>
    </r>
    <r>
      <rPr>
        <sz val="11"/>
        <color theme="1"/>
        <rFont val="Calibri"/>
        <family val="2"/>
        <charset val="1"/>
      </rPr>
      <t xml:space="preserve">Villamayor de Gállego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</si>
  <si>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50MW/</t>
    </r>
    <r>
      <rPr>
        <sz val="11"/>
        <color theme="1"/>
        <rFont val="Noto Sans CJK SC"/>
        <family val="2"/>
      </rPr>
      <t xml:space="preserve">園屬實；</t>
    </r>
    <r>
      <rPr>
        <sz val="11"/>
        <color theme="1"/>
        <rFont val="Calibri"/>
        <family val="2"/>
        <charset val="1"/>
      </rPr>
      <t xml:space="preserve">Villamayor</t>
    </r>
    <r>
      <rPr>
        <sz val="11"/>
        <color theme="1"/>
        <rFont val="Noto Sans CJK SC"/>
        <family val="2"/>
      </rPr>
      <t xml:space="preserve">為三棟</t>
    </r>
    <r>
      <rPr>
        <sz val="11"/>
        <color theme="1"/>
        <rFont val="Calibri"/>
        <family val="2"/>
        <charset val="1"/>
      </rPr>
      <t xml:space="preserve">Double</t>
    </r>
    <r>
      <rPr>
        <sz val="11"/>
        <color theme="1"/>
        <rFont val="Noto Sans CJK SC"/>
        <family val="2"/>
      </rPr>
      <t xml:space="preserve">雙層，屬實。但原文稱三園各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、未寫合計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，且稱</t>
    </r>
    <r>
      <rPr>
        <sz val="11"/>
        <color theme="1"/>
        <rFont val="Calibri"/>
        <family val="2"/>
        <charset val="1"/>
      </rPr>
      <t xml:space="preserve">PIGA</t>
    </r>
    <r>
      <rPr>
        <sz val="11"/>
        <color theme="1"/>
        <rFont val="Noto Sans CJK SC"/>
        <family val="2"/>
      </rPr>
      <t xml:space="preserve">已核准、可儘速動工，與「待最終核准」相左（該說法來自他處）。</t>
    </r>
  </si>
  <si>
    <t xml:space="preserve">S#307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</si>
  <si>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7724 Spain S.L.U.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Microsoft Aragón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Región MSFT</t>
    </r>
    <r>
      <rPr>
        <sz val="11"/>
        <color theme="1"/>
        <rFont val="Noto Sans CJK SC"/>
        <family val="2"/>
      </rPr>
      <t xml:space="preserve">）｜第一期－</t>
    </r>
    <r>
      <rPr>
        <sz val="11"/>
        <color theme="1"/>
        <rFont val="Calibri"/>
        <family val="2"/>
        <charset val="1"/>
      </rPr>
      <t xml:space="preserve">Zaragoza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Puerto Venecia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</si>
  <si>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Zaragoza</t>
    </r>
    <r>
      <rPr>
        <sz val="11"/>
        <color theme="1"/>
        <rFont val="Noto Sans CJK SC"/>
        <family val="2"/>
      </rPr>
      <t xml:space="preserve">每園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屬實。原文未提整地許可、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開工等細節，這些來自其他來源；本來源僅支持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與最長四年第一期。</t>
    </r>
  </si>
  <si>
    <t xml:space="preserve">S#308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</si>
  <si>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7724 Spain S.L.U.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Microsoft Aragón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Región MSFT</t>
    </r>
    <r>
      <rPr>
        <sz val="11"/>
        <color theme="1"/>
        <rFont val="Noto Sans CJK SC"/>
        <family val="2"/>
      </rPr>
      <t xml:space="preserve">）｜全園區（成熟期目標）｜規劃</t>
    </r>
  </si>
  <si>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（每園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、取決於電力規劃與併網）及</t>
    </r>
    <r>
      <rPr>
        <sz val="11"/>
        <color theme="1"/>
        <rFont val="Calibri"/>
        <family val="2"/>
        <charset val="1"/>
      </rPr>
      <t xml:space="preserve">5,356</t>
    </r>
    <r>
      <rPr>
        <sz val="11"/>
        <color theme="1"/>
        <rFont val="Noto Sans CJK SC"/>
        <family val="2"/>
      </rPr>
      <t xml:space="preserve">百萬歐元、十年期均屬實。但</t>
    </r>
    <r>
      <rPr>
        <sz val="11"/>
        <color theme="1"/>
        <rFont val="Calibri"/>
        <family val="2"/>
        <charset val="1"/>
      </rPr>
      <t xml:space="preserve">2036</t>
    </r>
    <r>
      <rPr>
        <sz val="11"/>
        <color theme="1"/>
        <rFont val="Noto Sans CJK SC"/>
        <family val="2"/>
      </rPr>
      <t xml:space="preserve">是由十年期推算，原文未明列；來源是媒體轉述，標「公司本人」稍偏。</t>
    </r>
  </si>
  <si>
    <t xml:space="preserve">https://mundowin.com/microsoft-invertira-5-356-millones-en-aragon-para-su-mayor-region-de-datos/</t>
  </si>
  <si>
    <t xml:space="preserve">S#309</t>
  </si>
  <si>
    <r>
      <rPr>
        <sz val="11"/>
        <color theme="1"/>
        <rFont val="Calibri"/>
        <family val="2"/>
        <charset val="1"/>
      </rPr>
      <t xml:space="preserve">Eni–Khazna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Khazna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子公司；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已獲歐盟批准）</t>
    </r>
  </si>
  <si>
    <r>
      <rPr>
        <sz val="11"/>
        <color theme="1"/>
        <rFont val="Calibri"/>
        <family val="2"/>
        <charset val="1"/>
      </rPr>
      <t xml:space="preserve">Eni–Khazna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Khazna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子公司；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已獲歐盟批准）｜</t>
    </r>
    <r>
      <rPr>
        <sz val="11"/>
        <color theme="1"/>
        <rFont val="Calibri"/>
        <family val="2"/>
        <charset val="1"/>
      </rPr>
      <t xml:space="preserve">Eni–MGX–G42 Ferrera Erbognone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</si>
  <si>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500 MW IT</t>
    </r>
    <r>
      <rPr>
        <sz val="11"/>
        <color theme="1"/>
        <rFont val="Noto Sans CJK SC"/>
        <family val="2"/>
      </rPr>
      <t xml:space="preserve">、設計中、模組化、</t>
    </r>
    <r>
      <rPr>
        <sz val="11"/>
        <color theme="1"/>
        <rFont val="Calibri"/>
        <family val="2"/>
        <charset val="1"/>
      </rPr>
      <t xml:space="preserve">Eni–Khazna JV </t>
    </r>
    <r>
      <rPr>
        <sz val="11"/>
        <color theme="1"/>
        <rFont val="Noto Sans CJK SC"/>
        <family val="2"/>
      </rPr>
      <t xml:space="preserve">與日期 </t>
    </r>
    <r>
      <rPr>
        <sz val="11"/>
        <color theme="1"/>
        <rFont val="Calibri"/>
        <family val="2"/>
        <charset val="1"/>
      </rPr>
      <t xml:space="preserve">2026-08-10 </t>
    </r>
    <r>
      <rPr>
        <sz val="11"/>
        <color theme="1"/>
        <rFont val="Noto Sans CJK SC"/>
        <family val="2"/>
      </rPr>
      <t xml:space="preserve">皆與原文一致。但來源是記者報導，並非公司本人說法，標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稍偏。原文未提 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，這兩項屬外部補充。</t>
    </r>
  </si>
  <si>
    <t xml:space="preserve">https://en.ilsole24ore.com/art/data-centre-eu-gives-green-light-to-eni-khazna-joint-venture-lombardy-hub-to-be-accelerated-AJl2Zcj</t>
  </si>
  <si>
    <t xml:space="preserve">S#310</t>
  </si>
  <si>
    <r>
      <rPr>
        <sz val="11"/>
        <color theme="1"/>
        <rFont val="Calibri"/>
        <family val="2"/>
        <charset val="1"/>
      </rPr>
      <t xml:space="preserve">Eni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簽意向書）</t>
    </r>
  </si>
  <si>
    <r>
      <rPr>
        <sz val="11"/>
        <color theme="1"/>
        <rFont val="Calibri"/>
        <family val="2"/>
        <charset val="1"/>
      </rPr>
      <t xml:space="preserve">Eni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簽意向書）｜</t>
    </r>
    <r>
      <rPr>
        <sz val="11"/>
        <color theme="1"/>
        <rFont val="Calibri"/>
        <family val="2"/>
        <charset val="1"/>
      </rPr>
      <t xml:space="preserve">Eni–MGX–G42 Ferrera Erbognone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2025-02 </t>
    </r>
    <r>
      <rPr>
        <sz val="11"/>
        <color theme="1"/>
        <rFont val="Noto Sans CJK SC"/>
        <family val="2"/>
      </rPr>
      <t xml:space="preserve">意向書方案（兩期）｜簽約</t>
    </r>
  </si>
  <si>
    <t xml:space="preserve">2025-02-28</t>
  </si>
  <si>
    <r>
      <rPr>
        <sz val="11"/>
        <color theme="1"/>
        <rFont val="Calibri"/>
        <family val="2"/>
        <charset val="1"/>
      </rPr>
      <t xml:space="preserve">500 MW IT</t>
    </r>
    <r>
      <rPr>
        <sz val="11"/>
        <color theme="1"/>
        <rFont val="Noto Sans CJK SC"/>
        <family val="2"/>
      </rPr>
      <t xml:space="preserve">、兩期「</t>
    </r>
    <r>
      <rPr>
        <sz val="11"/>
        <color theme="1"/>
        <rFont val="Calibri"/>
        <family val="2"/>
        <charset val="1"/>
      </rPr>
      <t xml:space="preserve">up to</t>
    </r>
    <r>
      <rPr>
        <sz val="11"/>
        <color theme="1"/>
        <rFont val="Noto Sans CJK SC"/>
        <family val="2"/>
      </rPr>
      <t xml:space="preserve">」與 </t>
    </r>
    <r>
      <rPr>
        <sz val="11"/>
        <color theme="1"/>
        <rFont val="Calibri"/>
        <family val="2"/>
        <charset val="1"/>
      </rPr>
      <t xml:space="preserve">LoI </t>
    </r>
    <r>
      <rPr>
        <sz val="11"/>
        <color theme="1"/>
        <rFont val="Noto Sans CJK SC"/>
        <family val="2"/>
      </rPr>
      <t xml:space="preserve">屬實。但原文載明日期為 </t>
    </r>
    <r>
      <rPr>
        <sz val="11"/>
        <color theme="1"/>
        <rFont val="Calibri"/>
        <family val="2"/>
        <charset val="1"/>
      </rPr>
      <t xml:space="preserve">2025-02-25</t>
    </r>
    <r>
      <rPr>
        <sz val="11"/>
        <color theme="1"/>
        <rFont val="Noto Sans CJK SC"/>
        <family val="2"/>
      </rPr>
      <t xml:space="preserve">（頁首 </t>
    </r>
    <r>
      <rPr>
        <sz val="11"/>
        <color theme="1"/>
        <rFont val="Calibri"/>
        <family val="2"/>
        <charset val="1"/>
      </rPr>
      <t xml:space="preserve">02-24</t>
    </r>
    <r>
      <rPr>
        <sz val="11"/>
        <color theme="1"/>
        <rFont val="Noto Sans CJK SC"/>
        <family val="2"/>
      </rPr>
      <t xml:space="preserve">），並非 </t>
    </r>
    <r>
      <rPr>
        <sz val="11"/>
        <color theme="1"/>
        <rFont val="Calibri"/>
        <family val="2"/>
        <charset val="1"/>
      </rPr>
      <t xml:space="preserve">02-28</t>
    </r>
    <r>
      <rPr>
        <sz val="11"/>
        <color theme="1"/>
        <rFont val="Noto Sans CJK SC"/>
        <family val="2"/>
      </rPr>
      <t xml:space="preserve">，且「來源未載明日期」不正確。</t>
    </r>
  </si>
  <si>
    <t xml:space="preserve">https://www.eni.com/en-IT/media/press-release/2025/02/pr-eni-expands-collaboration-with-uae-in-data-center.html</t>
  </si>
  <si>
    <t xml:space="preserve">S#311</t>
  </si>
  <si>
    <t xml:space="preserve">Eni</t>
  </si>
  <si>
    <r>
      <rPr>
        <sz val="11"/>
        <color theme="1"/>
        <rFont val="Calibri"/>
        <family val="2"/>
        <charset val="1"/>
      </rPr>
      <t xml:space="preserve">Eni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Eni–MGX–G42 Ferrera Erbognone AI Campus</t>
    </r>
    <r>
      <rPr>
        <sz val="11"/>
        <color theme="1"/>
        <rFont val="Noto Sans CJK SC"/>
        <family val="2"/>
      </rPr>
      <t xml:space="preserve">｜既有 </t>
    </r>
    <r>
      <rPr>
        <sz val="11"/>
        <color theme="1"/>
        <rFont val="Calibri"/>
        <family val="2"/>
        <charset val="1"/>
      </rPr>
      <t xml:space="preserve">Eni Green Data Centre</t>
    </r>
    <r>
      <rPr>
        <sz val="11"/>
        <color theme="1"/>
        <rFont val="Noto Sans CJK SC"/>
        <family val="2"/>
      </rPr>
      <t xml:space="preserve">（非新園區）｜上線</t>
    </r>
  </si>
  <si>
    <t xml:space="preserve">2025-07-11</t>
  </si>
  <si>
    <r>
      <rPr>
        <sz val="11"/>
        <color theme="1"/>
        <rFont val="Calibri"/>
        <family val="2"/>
        <charset val="1"/>
      </rPr>
      <t xml:space="preserve">30MW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2013 </t>
    </r>
    <r>
      <rPr>
        <sz val="11"/>
        <color theme="1"/>
        <rFont val="Noto Sans CJK SC"/>
        <family val="2"/>
      </rPr>
      <t xml:space="preserve">年與自用超算屬實。但原文日期為 </t>
    </r>
    <r>
      <rPr>
        <sz val="11"/>
        <color theme="1"/>
        <rFont val="Calibri"/>
        <family val="2"/>
        <charset val="1"/>
      </rPr>
      <t xml:space="preserve">2025-07-17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07-11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HPC7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月完工投運原文找不到；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偏離，應屬記者敘述。</t>
    </r>
  </si>
  <si>
    <t xml:space="preserve">https://www.datacenterdynamics.com/en/news/italys-eni-and-khazna-partner-for-500mw-data-center-campus-outside-milan/</t>
  </si>
  <si>
    <t xml:space="preserve">S#312</t>
  </si>
  <si>
    <t xml:space="preserve">GreenScale</t>
  </si>
  <si>
    <r>
      <rPr>
        <sz val="11"/>
        <color theme="1"/>
        <rFont val="Calibri"/>
        <family val="2"/>
        <charset val="1"/>
      </rPr>
      <t xml:space="preserve">GreenScale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GreenScale Tonstad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</si>
  <si>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、€</t>
    </r>
    <r>
      <rPr>
        <sz val="11"/>
        <color theme="1"/>
        <rFont val="Calibri"/>
        <family val="2"/>
        <charset val="1"/>
      </rPr>
      <t xml:space="preserve">2.5B+</t>
    </r>
    <r>
      <rPr>
        <sz val="11"/>
        <color theme="1"/>
        <rFont val="Noto Sans CJK SC"/>
        <family val="2"/>
      </rPr>
      <t xml:space="preserve">、四棟均屬實。但原文無 </t>
    </r>
    <r>
      <rPr>
        <sz val="11"/>
        <color theme="1"/>
        <rFont val="Calibri"/>
        <family val="2"/>
        <charset val="1"/>
      </rPr>
      <t xml:space="preserve">Statnett</t>
    </r>
    <r>
      <rPr>
        <sz val="11"/>
        <color theme="1"/>
        <rFont val="Noto Sans CJK SC"/>
        <family val="2"/>
      </rPr>
      <t xml:space="preserve">、「尖峰負載」字樣，只寫 </t>
    </r>
    <r>
      <rPr>
        <sz val="11"/>
        <color theme="1"/>
        <rFont val="Calibri"/>
        <family val="2"/>
        <charset val="1"/>
      </rPr>
      <t xml:space="preserve">Power secured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的舊時程也不在本頁（本頁標題另有 </t>
    </r>
    <r>
      <rPr>
        <sz val="11"/>
        <color theme="1"/>
        <rFont val="Calibri"/>
        <family val="2"/>
        <charset val="1"/>
      </rPr>
      <t xml:space="preserve">300MVA</t>
    </r>
    <r>
      <rPr>
        <sz val="11"/>
        <color theme="1"/>
        <rFont val="Noto Sans CJK SC"/>
        <family val="2"/>
      </rPr>
      <t xml:space="preserve">）。日期為估算。</t>
    </r>
  </si>
  <si>
    <t xml:space="preserve">https://greenscaledc.com/data-centres/tonstad-campus/</t>
  </si>
  <si>
    <t xml:space="preserve">S#313</t>
  </si>
  <si>
    <r>
      <rPr>
        <sz val="11"/>
        <color theme="1"/>
        <rFont val="Calibri"/>
        <family val="2"/>
        <charset val="1"/>
      </rPr>
      <t xml:space="preserve">GreenScale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GreenScale Tonstad Campus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棟（首期）｜規劃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</si>
  <si>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初首棟與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全部完工屬實，也未揭露單棟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。但原文沒有「原訂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」的說法。頁面導覽列有 </t>
    </r>
    <r>
      <rPr>
        <sz val="11"/>
        <color theme="1"/>
        <rFont val="Calibri"/>
        <family val="2"/>
        <charset val="1"/>
      </rPr>
      <t xml:space="preserve">2026-02-12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Work begins… site preparation</t>
    </r>
    <r>
      <rPr>
        <sz val="11"/>
        <color theme="1"/>
        <rFont val="Noto Sans CJK SC"/>
        <family val="2"/>
      </rPr>
      <t xml:space="preserve">」標題，與「未見動工報導」矛盾。</t>
    </r>
  </si>
  <si>
    <t xml:space="preserve">https://greenscaledc.com/sustainability/</t>
  </si>
  <si>
    <t xml:space="preserve">S#314</t>
  </si>
  <si>
    <r>
      <rPr>
        <sz val="11"/>
        <color theme="1"/>
        <rFont val="Noto Sans CJK SC"/>
        <family val="2"/>
      </rPr>
      <t xml:space="preserve">未揭露（本地 </t>
    </r>
    <r>
      <rPr>
        <sz val="11"/>
        <color theme="1"/>
        <rFont val="Calibri"/>
        <family val="2"/>
        <charset val="1"/>
      </rPr>
      <t xml:space="preserve">IDC </t>
    </r>
    <r>
      <rPr>
        <sz val="11"/>
        <color theme="1"/>
        <rFont val="Noto Sans CJK SC"/>
        <family val="2"/>
      </rPr>
      <t xml:space="preserve">廠商，洽談中）</t>
    </r>
  </si>
  <si>
    <r>
      <rPr>
        <sz val="11"/>
        <color theme="1"/>
        <rFont val="Noto Sans CJK SC"/>
        <family val="2"/>
      </rPr>
      <t xml:space="preserve">未揭露（本地 </t>
    </r>
    <r>
      <rPr>
        <sz val="11"/>
        <color theme="1"/>
        <rFont val="Calibri"/>
        <family val="2"/>
        <charset val="1"/>
      </rPr>
      <t xml:space="preserve">IDC </t>
    </r>
    <r>
      <rPr>
        <sz val="11"/>
        <color theme="1"/>
        <rFont val="Noto Sans CJK SC"/>
        <family val="2"/>
      </rPr>
      <t xml:space="preserve">廠商，洽談中）｜</t>
    </r>
    <r>
      <rPr>
        <sz val="11"/>
        <color theme="1"/>
        <rFont val="Calibri"/>
        <family val="2"/>
        <charset val="1"/>
      </rPr>
      <t xml:space="preserve">ByteDance Ulanqab Jining AI Cluster</t>
    </r>
    <r>
      <rPr>
        <sz val="11"/>
        <color theme="1"/>
        <rFont val="Noto Sans CJK SC"/>
        <family val="2"/>
      </rPr>
      <t xml:space="preserve">｜全園區（規劃擴建 </t>
    </r>
    <r>
      <rPr>
        <sz val="11"/>
        <color theme="1"/>
        <rFont val="Calibri"/>
        <family val="2"/>
        <charset val="1"/>
      </rPr>
      <t xml:space="preserve">5–6GW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</si>
  <si>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5–6GW</t>
    </r>
    <r>
      <rPr>
        <sz val="11"/>
        <color theme="1"/>
        <rFont val="Noto Sans CJK SC"/>
        <family val="2"/>
      </rPr>
      <t xml:space="preserve">、取下限 </t>
    </r>
    <r>
      <rPr>
        <sz val="11"/>
        <color theme="1"/>
        <rFont val="Calibri"/>
        <family val="2"/>
        <charset val="1"/>
      </rPr>
      <t xml:space="preserve">5000MW </t>
    </r>
    <r>
      <rPr>
        <sz val="11"/>
        <color theme="1"/>
        <rFont val="Noto Sans CJK SC"/>
        <family val="2"/>
      </rPr>
      <t xml:space="preserve">屬實。原文發布日為 </t>
    </r>
    <r>
      <rPr>
        <sz val="11"/>
        <color theme="1"/>
        <rFont val="Calibri"/>
        <family val="2"/>
        <charset val="1"/>
      </rPr>
      <t xml:space="preserve">2026-09-03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09-04</t>
    </r>
    <r>
      <rPr>
        <sz val="11"/>
        <color theme="1"/>
        <rFont val="Noto Sans CJK SC"/>
        <family val="2"/>
      </rPr>
      <t xml:space="preserve">。原文只說「未來兩年」，找不到「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年初」與「</t>
    </r>
    <r>
      <rPr>
        <sz val="11"/>
        <color theme="1"/>
        <rFont val="Calibri"/>
        <family val="2"/>
        <charset val="1"/>
      </rPr>
      <t xml:space="preserve">Jining</t>
    </r>
    <r>
      <rPr>
        <sz val="11"/>
        <color theme="1"/>
        <rFont val="Noto Sans CJK SC"/>
        <family val="2"/>
      </rPr>
      <t xml:space="preserve">」，可能在截斷處。</t>
    </r>
  </si>
  <si>
    <t xml:space="preserve">https://www.scmp.com/tech/big-tech/article/3366220/bytedance-expand-massive-ai-data-centre-cluster-inner-mongolia-source-says</t>
  </si>
  <si>
    <t xml:space="preserve">S#315</t>
  </si>
  <si>
    <r>
      <rPr>
        <sz val="11"/>
        <color theme="1"/>
        <rFont val="Noto Sans CJK SC"/>
        <family val="2"/>
      </rPr>
      <t xml:space="preserve">火山引擎（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雲端部門）</t>
    </r>
  </si>
  <si>
    <r>
      <rPr>
        <sz val="11"/>
        <color theme="1"/>
        <rFont val="Noto Sans CJK SC"/>
        <family val="2"/>
      </rPr>
      <t xml:space="preserve">火山引擎（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雲端部門）｜</t>
    </r>
    <r>
      <rPr>
        <sz val="11"/>
        <color theme="1"/>
        <rFont val="Calibri"/>
        <family val="2"/>
        <charset val="1"/>
      </rPr>
      <t xml:space="preserve">ByteDance Ulanqab Jining AI Cluster</t>
    </r>
    <r>
      <rPr>
        <sz val="11"/>
        <color theme="1"/>
        <rFont val="Noto Sans CJK SC"/>
        <family val="2"/>
      </rPr>
      <t xml:space="preserve">｜火山引擎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級算力中心（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簽約）｜簽約</t>
    </r>
  </si>
  <si>
    <r>
      <rPr>
        <sz val="11"/>
        <color theme="1"/>
        <rFont val="Noto Sans CJK SC"/>
        <family val="2"/>
      </rPr>
      <t xml:space="preserve">原文確有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月大會簽約「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級」，未披露確切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、位置、投產時點，此部分屬實。但</t>
    </r>
    <r>
      <rPr>
        <sz val="11"/>
        <color theme="1"/>
        <rFont val="Calibri"/>
        <family val="2"/>
        <charset val="1"/>
      </rPr>
      <t xml:space="preserve">metric/unit</t>
    </r>
    <r>
      <rPr>
        <sz val="11"/>
        <color theme="1"/>
        <rFont val="Noto Sans CJK SC"/>
        <family val="2"/>
      </rPr>
      <t xml:space="preserve">以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記、</t>
    </r>
    <r>
      <rPr>
        <sz val="11"/>
        <color theme="1"/>
        <rFont val="Calibri"/>
        <family val="2"/>
        <charset val="1"/>
      </rPr>
      <t xml:space="preserve">scope</t>
    </r>
    <r>
      <rPr>
        <sz val="11"/>
        <color theme="1"/>
        <rFont val="Noto Sans CJK SC"/>
        <family val="2"/>
      </rPr>
      <t xml:space="preserve">寫「</t>
    </r>
    <r>
      <rPr>
        <sz val="11"/>
        <color theme="1"/>
        <rFont val="Calibri"/>
        <family val="2"/>
        <charset val="1"/>
      </rPr>
      <t xml:space="preserve">Jining AI Cluster</t>
    </r>
    <r>
      <rPr>
        <sz val="11"/>
        <color theme="1"/>
        <rFont val="Noto Sans CJK SC"/>
        <family val="2"/>
      </rPr>
      <t xml:space="preserve">」，把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級定性描述當成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簽約量；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而來源是官媒報導，口徑偏差。</t>
    </r>
  </si>
  <si>
    <t xml:space="preserve">https://www.stdaily.com/web/gdxw/2026-10/19/content_598420.html</t>
  </si>
  <si>
    <t xml:space="preserve">S#316</t>
  </si>
  <si>
    <r>
      <rPr>
        <sz val="11"/>
        <color theme="1"/>
        <rFont val="Calibri"/>
        <family val="2"/>
        <charset val="1"/>
      </rPr>
      <t xml:space="preserve">VNET</t>
    </r>
    <r>
      <rPr>
        <sz val="11"/>
        <color theme="1"/>
        <rFont val="Noto Sans CJK SC"/>
        <family val="2"/>
      </rPr>
      <t xml:space="preserve">（世紀互聯）</t>
    </r>
  </si>
  <si>
    <r>
      <rPr>
        <sz val="11"/>
        <color theme="1"/>
        <rFont val="Calibri"/>
        <family val="2"/>
        <charset val="1"/>
      </rPr>
      <t xml:space="preserve">VNET</t>
    </r>
    <r>
      <rPr>
        <sz val="11"/>
        <color theme="1"/>
        <rFont val="Noto Sans CJK SC"/>
        <family val="2"/>
      </rPr>
      <t xml:space="preserve">（世紀互聯）｜</t>
    </r>
    <r>
      <rPr>
        <sz val="11"/>
        <color theme="1"/>
        <rFont val="Calibri"/>
        <family val="2"/>
        <charset val="1"/>
      </rPr>
      <t xml:space="preserve">ByteDance Ulanqab Jining AI Cluster</t>
    </r>
    <r>
      <rPr>
        <sz val="11"/>
        <color theme="1"/>
        <rFont val="Noto Sans CJK SC"/>
        <family val="2"/>
      </rPr>
      <t xml:space="preserve">｜相關：</t>
    </r>
    <r>
      <rPr>
        <sz val="11"/>
        <color theme="1"/>
        <rFont val="Calibri"/>
        <family val="2"/>
        <charset val="1"/>
      </rPr>
      <t xml:space="preserve">VNET Bayin Ulanqab</t>
    </r>
    <r>
      <rPr>
        <sz val="11"/>
        <color theme="1"/>
        <rFont val="Noto Sans CJK SC"/>
        <family val="2"/>
      </rPr>
      <t xml:space="preserve">（疑似 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使用）｜上線</t>
    </r>
  </si>
  <si>
    <t xml:space="preserve">221 MW</t>
  </si>
  <si>
    <r>
      <rPr>
        <sz val="11"/>
        <color theme="1"/>
        <rFont val="Calibri"/>
        <family val="2"/>
        <charset val="1"/>
      </rPr>
      <t xml:space="preserve">221MW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700MW </t>
    </r>
    <r>
      <rPr>
        <sz val="11"/>
        <color theme="1"/>
        <rFont val="Noto Sans CJK SC"/>
        <family val="2"/>
      </rPr>
      <t xml:space="preserve">規劃、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推測皆屬實。但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是第三方衛星推估，標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偏高，應為估算。頁面有日期（</t>
    </r>
    <r>
      <rPr>
        <sz val="11"/>
        <color theme="1"/>
        <rFont val="Calibri"/>
        <family val="2"/>
        <charset val="1"/>
      </rPr>
      <t xml:space="preserve">Updated Jul. 8, 2026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221MW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Dec 2025 </t>
    </r>
    <r>
      <rPr>
        <sz val="11"/>
        <color theme="1"/>
        <rFont val="Noto Sans CJK SC"/>
        <family val="2"/>
      </rPr>
      <t xml:space="preserve">起），「頁面無日期」不符。</t>
    </r>
    <r>
      <rPr>
        <sz val="11"/>
        <color theme="1"/>
        <rFont val="Calibri"/>
        <family val="2"/>
        <charset val="1"/>
      </rPr>
      <t xml:space="preserve">Ulanqab </t>
    </r>
    <r>
      <rPr>
        <sz val="11"/>
        <color theme="1"/>
        <rFont val="Noto Sans CJK SC"/>
        <family val="2"/>
      </rPr>
      <t xml:space="preserve">集寧區未見於原文。</t>
    </r>
  </si>
  <si>
    <t xml:space="preserve">https://epoch.ai/data/ai-data-centers/directory/vnet-bayin-ulanqab</t>
  </si>
  <si>
    <t xml:space="preserve">S#317</t>
  </si>
  <si>
    <r>
      <rPr>
        <sz val="11"/>
        <color theme="1"/>
        <rFont val="Calibri"/>
        <family val="2"/>
        <charset val="1"/>
      </rPr>
      <t xml:space="preserve">Envision</t>
    </r>
    <r>
      <rPr>
        <sz val="11"/>
        <color theme="1"/>
        <rFont val="Noto Sans CJK SC"/>
        <family val="2"/>
      </rPr>
      <t xml:space="preserve">（遠景科技集團，</t>
    </r>
    <r>
      <rPr>
        <sz val="11"/>
        <color theme="1"/>
        <rFont val="Calibri"/>
        <family val="2"/>
        <charset val="1"/>
      </rPr>
      <t xml:space="preserve">AIDC </t>
    </r>
    <r>
      <rPr>
        <sz val="11"/>
        <color theme="1"/>
        <rFont val="Noto Sans CJK SC"/>
        <family val="2"/>
      </rPr>
      <t xml:space="preserve">事業部）</t>
    </r>
  </si>
  <si>
    <r>
      <rPr>
        <sz val="11"/>
        <color theme="1"/>
        <rFont val="Calibri"/>
        <family val="2"/>
        <charset val="1"/>
      </rPr>
      <t xml:space="preserve">Envision</t>
    </r>
    <r>
      <rPr>
        <sz val="11"/>
        <color theme="1"/>
        <rFont val="Noto Sans CJK SC"/>
        <family val="2"/>
      </rPr>
      <t xml:space="preserve">（遠景科技集團，</t>
    </r>
    <r>
      <rPr>
        <sz val="11"/>
        <color theme="1"/>
        <rFont val="Calibri"/>
        <family val="2"/>
        <charset val="1"/>
      </rPr>
      <t xml:space="preserve">AIDC </t>
    </r>
    <r>
      <rPr>
        <sz val="11"/>
        <color theme="1"/>
        <rFont val="Noto Sans CJK SC"/>
        <family val="2"/>
      </rPr>
      <t xml:space="preserve">事業部）｜</t>
    </r>
    <r>
      <rPr>
        <sz val="11"/>
        <color theme="1"/>
        <rFont val="Calibri"/>
        <family val="2"/>
        <charset val="1"/>
      </rPr>
      <t xml:space="preserve">Envision Galaxy Base (</t>
    </r>
    <r>
      <rPr>
        <sz val="11"/>
        <color theme="1"/>
        <rFont val="Noto Sans CJK SC"/>
        <family val="2"/>
      </rPr>
      <t xml:space="preserve">遠景烏蘭察布星河基地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｜全園區｜規劃</t>
    </r>
  </si>
  <si>
    <t xml:space="preserve">2026-08-06</t>
  </si>
  <si>
    <r>
      <rPr>
        <sz val="11"/>
        <color theme="1"/>
        <rFont val="Noto Sans CJK SC"/>
        <family val="2"/>
      </rPr>
      <t xml:space="preserve">原文為「</t>
    </r>
    <r>
      <rPr>
        <sz val="11"/>
        <color theme="1"/>
        <rFont val="Calibri"/>
        <family val="2"/>
        <charset val="1"/>
      </rPr>
      <t xml:space="preserve">over 2GW</t>
    </r>
    <r>
      <rPr>
        <sz val="11"/>
        <color theme="1"/>
        <rFont val="Noto Sans CJK SC"/>
        <family val="2"/>
      </rPr>
      <t xml:space="preserve">」，表中 </t>
    </r>
    <r>
      <rPr>
        <sz val="11"/>
        <color theme="1"/>
        <rFont val="Calibri"/>
        <family val="2"/>
        <charset val="1"/>
      </rPr>
      <t xml:space="preserve">value 2000 </t>
    </r>
    <r>
      <rPr>
        <sz val="11"/>
        <color theme="1"/>
        <rFont val="Noto Sans CJK SC"/>
        <family val="2"/>
      </rPr>
      <t xml:space="preserve">漏了「超過」。日期 </t>
    </r>
    <r>
      <rPr>
        <sz val="11"/>
        <color theme="1"/>
        <rFont val="Calibri"/>
        <family val="2"/>
        <charset val="1"/>
      </rPr>
      <t xml:space="preserve">8/6 </t>
    </r>
    <r>
      <rPr>
        <sz val="11"/>
        <color theme="1"/>
        <rFont val="Noto Sans CJK SC"/>
        <family val="2"/>
      </rPr>
      <t xml:space="preserve">與公司本人說法屬實，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合理。「</t>
    </r>
    <r>
      <rPr>
        <sz val="11"/>
        <color theme="1"/>
        <rFont val="Calibri"/>
        <family val="2"/>
        <charset val="1"/>
      </rPr>
      <t xml:space="preserve">expected_online 2026-08</t>
    </r>
    <r>
      <rPr>
        <sz val="11"/>
        <color theme="1"/>
        <rFont val="Noto Sans CJK SC"/>
        <family val="2"/>
      </rPr>
      <t xml:space="preserve">」是 </t>
    </r>
    <r>
      <rPr>
        <sz val="11"/>
        <color theme="1"/>
        <rFont val="Calibri"/>
        <family val="2"/>
        <charset val="1"/>
      </rPr>
      <t xml:space="preserve">commissioning </t>
    </r>
    <r>
      <rPr>
        <sz val="11"/>
        <color theme="1"/>
        <rFont val="Noto Sans CJK SC"/>
        <family val="2"/>
      </rPr>
      <t xml:space="preserve">日期，不等於滿載上線，其餘 </t>
    </r>
    <r>
      <rPr>
        <sz val="11"/>
        <color theme="1"/>
        <rFont val="Calibri"/>
        <family val="2"/>
        <charset val="1"/>
      </rPr>
      <t xml:space="preserve">3GW </t>
    </r>
    <r>
      <rPr>
        <sz val="11"/>
        <color theme="1"/>
        <rFont val="Noto Sans CJK SC"/>
        <family val="2"/>
      </rPr>
      <t xml:space="preserve">與腾讯部分原文找不到。</t>
    </r>
  </si>
  <si>
    <t xml:space="preserve">https://www.prnewswire.com/news-releases/envision-commissions-galaxy-campus-in-ulanqab-establishing-a-new-model-for-gigawatt-scale-ai-infrastructure-302844834.html</t>
  </si>
  <si>
    <t xml:space="preserve">S#318</t>
  </si>
  <si>
    <r>
      <rPr>
        <sz val="11"/>
        <color theme="1"/>
        <rFont val="Calibri"/>
        <family val="2"/>
        <charset val="1"/>
      </rPr>
      <t xml:space="preserve">Envision</t>
    </r>
    <r>
      <rPr>
        <sz val="11"/>
        <color theme="1"/>
        <rFont val="Noto Sans CJK SC"/>
        <family val="2"/>
      </rPr>
      <t xml:space="preserve">（遠景科技集團）</t>
    </r>
  </si>
  <si>
    <r>
      <rPr>
        <sz val="11"/>
        <color theme="1"/>
        <rFont val="Calibri"/>
        <family val="2"/>
        <charset val="1"/>
      </rPr>
      <t xml:space="preserve">Envision</t>
    </r>
    <r>
      <rPr>
        <sz val="11"/>
        <color theme="1"/>
        <rFont val="Noto Sans CJK SC"/>
        <family val="2"/>
      </rPr>
      <t xml:space="preserve">（遠景科技集團）｜</t>
    </r>
    <r>
      <rPr>
        <sz val="11"/>
        <color theme="1"/>
        <rFont val="Calibri"/>
        <family val="2"/>
        <charset val="1"/>
      </rPr>
      <t xml:space="preserve">Envision Galaxy Base (</t>
    </r>
    <r>
      <rPr>
        <sz val="11"/>
        <color theme="1"/>
        <rFont val="Noto Sans CJK SC"/>
        <family val="2"/>
      </rPr>
      <t xml:space="preserve">遠景烏蘭察布星河基地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｜一期｜上線</t>
    </r>
  </si>
  <si>
    <t xml:space="preserve">https://www.bloomberg.com/news/articles/2026-08-06/chinese-renewable-energy-giant-envision-launches-data-center</t>
  </si>
  <si>
    <t xml:space="preserve">S#319</t>
  </si>
  <si>
    <r>
      <rPr>
        <sz val="11"/>
        <color theme="1"/>
        <rFont val="Calibri"/>
        <family val="2"/>
        <charset val="1"/>
      </rPr>
      <t xml:space="preserve">Envision</t>
    </r>
    <r>
      <rPr>
        <sz val="11"/>
        <color theme="1"/>
        <rFont val="Noto Sans CJK SC"/>
        <family val="2"/>
      </rPr>
      <t xml:space="preserve">（遠景科技集團）｜</t>
    </r>
    <r>
      <rPr>
        <sz val="11"/>
        <color theme="1"/>
        <rFont val="Calibri"/>
        <family val="2"/>
        <charset val="1"/>
      </rPr>
      <t xml:space="preserve">Envision Galaxy Base (</t>
    </r>
    <r>
      <rPr>
        <sz val="11"/>
        <color theme="1"/>
        <rFont val="Noto Sans CJK SC"/>
        <family val="2"/>
      </rPr>
      <t xml:space="preserve">遠景烏蘭察布星河基地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｜二至四期｜在建</t>
    </r>
  </si>
  <si>
    <r>
      <rPr>
        <sz val="11"/>
        <color theme="1"/>
        <rFont val="Noto Sans CJK SC"/>
        <family val="2"/>
      </rPr>
      <t xml:space="preserve">原文支持二期變電站擴建、三四期在建、</t>
    </r>
    <r>
      <rPr>
        <sz val="11"/>
        <color theme="1"/>
        <rFont val="Calibri"/>
        <family val="2"/>
        <charset val="1"/>
      </rPr>
      <t xml:space="preserve">2027–2028</t>
    </r>
    <r>
      <rPr>
        <sz val="11"/>
        <color theme="1"/>
        <rFont val="Noto Sans CJK SC"/>
        <family val="2"/>
      </rPr>
      <t xml:space="preserve">交付，且未給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。但出處是中國證券報記者實探、非公司本人文件，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「公司本人」不準；「在建」未附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，二期並非在建。</t>
    </r>
  </si>
  <si>
    <t xml:space="preserve">https://finance.eastmoney.com/a/202610273909462262.html</t>
  </si>
  <si>
    <t xml:space="preserve">S#320</t>
  </si>
  <si>
    <t xml:space="preserve">DeepSeek</t>
  </si>
  <si>
    <r>
      <rPr>
        <sz val="11"/>
        <color theme="1"/>
        <rFont val="Calibri"/>
        <family val="2"/>
        <charset val="1"/>
      </rPr>
      <t xml:space="preserve">DeepSeek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DeepSeek Ulanqab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</si>
  <si>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原文明說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為供電與設施口徑，列中寫「未說明／口徑未明」不符。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、自建加租賃、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年底至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年初上線屬實。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萬顆昇騰</t>
    </r>
    <r>
      <rPr>
        <sz val="11"/>
        <color theme="1"/>
        <rFont val="Calibri"/>
        <family val="2"/>
        <charset val="1"/>
      </rPr>
      <t xml:space="preserve">950DT</t>
    </r>
    <r>
      <rPr>
        <sz val="11"/>
        <color theme="1"/>
        <rFont val="Noto Sans CJK SC"/>
        <family val="2"/>
      </rPr>
      <t xml:space="preserve">不在此文。</t>
    </r>
  </si>
  <si>
    <t xml:space="preserve">https://www.163.com/tech/article/L35D9Q9S00097U7T.html</t>
  </si>
  <si>
    <t xml:space="preserve">S#321</t>
  </si>
  <si>
    <t xml:space="preserve">Huawei Cloud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</si>
  <si>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Ulanqab Data Centers</t>
    </r>
    <r>
      <rPr>
        <sz val="11"/>
        <color theme="1"/>
        <rFont val="Noto Sans CJK SC"/>
        <family val="2"/>
      </rPr>
      <t xml:space="preserve">｜全園區｜上線</t>
    </r>
  </si>
  <si>
    <r>
      <rPr>
        <sz val="11"/>
        <color theme="1"/>
        <rFont val="Noto Sans CJK SC"/>
        <family val="2"/>
      </rPr>
      <t xml:space="preserve">來源內容為亂碼，無法讀取，無法核對任何欄位（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、營運狀態、日期、現場工作人員轉述）。</t>
    </r>
  </si>
  <si>
    <t xml:space="preserve">https://news.gmw.cn/2026-01/26/content_38557281.htm</t>
  </si>
  <si>
    <t xml:space="preserve">S#322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</si>
  <si>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Ulanqab Data Centers</t>
    </r>
    <r>
      <rPr>
        <sz val="11"/>
        <color theme="1"/>
        <rFont val="Noto Sans CJK SC"/>
        <family val="2"/>
      </rPr>
      <t xml:space="preserve">｜昇騰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超節點（</t>
    </r>
    <r>
      <rPr>
        <sz val="11"/>
        <color theme="1"/>
        <rFont val="Calibri"/>
        <family val="2"/>
        <charset val="1"/>
      </rPr>
      <t xml:space="preserve">CloudMatrix384</t>
    </r>
    <r>
      <rPr>
        <sz val="11"/>
        <color theme="1"/>
        <rFont val="Noto Sans CJK SC"/>
        <family val="2"/>
      </rPr>
      <t xml:space="preserve">）｜上線</t>
    </r>
  </si>
  <si>
    <t xml:space="preserve">2026-08-20</t>
  </si>
  <si>
    <r>
      <rPr>
        <sz val="11"/>
        <color theme="1"/>
        <rFont val="Noto Sans CJK SC"/>
        <family val="2"/>
      </rPr>
      <t xml:space="preserve">原文只說已上線昇騰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超節點云服務，無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，主旨屬實。但</t>
    </r>
    <r>
      <rPr>
        <sz val="11"/>
        <color theme="1"/>
        <rFont val="Calibri"/>
        <family val="2"/>
        <charset val="1"/>
      </rPr>
      <t xml:space="preserve">CloudMatrix384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300 PFlops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12.5GW</t>
    </r>
    <r>
      <rPr>
        <sz val="11"/>
        <color theme="1"/>
        <rFont val="Noto Sans CJK SC"/>
        <family val="2"/>
      </rPr>
      <t xml:space="preserve">皆不在本文，且文中未歸因華為，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偏利害關係人。</t>
    </r>
  </si>
  <si>
    <t xml:space="preserve">https://www.stdaily.com/web/gdxw/2026-08/20/content_567111.html</t>
  </si>
  <si>
    <t xml:space="preserve">S#323</t>
  </si>
  <si>
    <t xml:space="preserve">Alibaba Cloud</t>
  </si>
  <si>
    <r>
      <rPr>
        <sz val="11"/>
        <color theme="1"/>
        <rFont val="Calibri"/>
        <family val="2"/>
        <charset val="1"/>
      </rPr>
      <t xml:space="preserve">Alibaba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Alibaba Cloud Zhangbei Data Center Park</t>
    </r>
    <r>
      <rPr>
        <sz val="11"/>
        <color theme="1"/>
        <rFont val="Noto Sans CJK SC"/>
        <family val="2"/>
      </rPr>
      <t xml:space="preserve">｜全園區｜上線</t>
    </r>
  </si>
  <si>
    <t xml:space="preserve">169 MW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</si>
  <si>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169 MW</t>
    </r>
    <r>
      <rPr>
        <sz val="11"/>
        <color theme="1"/>
        <rFont val="Noto Sans CJK SC"/>
        <family val="2"/>
      </rPr>
      <t xml:space="preserve">、時點 </t>
    </r>
    <r>
      <rPr>
        <sz val="11"/>
        <color theme="1"/>
        <rFont val="Calibri"/>
        <family val="2"/>
        <charset val="1"/>
      </rPr>
      <t xml:space="preserve">2026-09-02 </t>
    </r>
    <r>
      <rPr>
        <sz val="11"/>
        <color theme="1"/>
        <rFont val="Noto Sans CJK SC"/>
        <family val="2"/>
      </rPr>
      <t xml:space="preserve">屬實。本頁全篇以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功率為準但此句未明說，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填未說明屬保守。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上線年份此頁未載，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缺括號。</t>
    </r>
  </si>
  <si>
    <t xml:space="preserve">S#324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</si>
  <si>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Gui'an Data Center</t>
    </r>
    <r>
      <rPr>
        <sz val="11"/>
        <color theme="1"/>
        <rFont val="Noto Sans CJK SC"/>
        <family val="2"/>
      </rPr>
      <t xml:space="preserve">｜全園區｜上線</t>
    </r>
  </si>
  <si>
    <t xml:space="preserve">2026-06-19</t>
  </si>
  <si>
    <r>
      <rPr>
        <sz val="11"/>
        <color theme="1"/>
        <rFont val="Calibri"/>
        <family val="2"/>
        <charset val="1"/>
      </rPr>
      <t xml:space="preserve">400 MW </t>
    </r>
    <r>
      <rPr>
        <sz val="11"/>
        <color theme="1"/>
        <rFont val="Noto Sans CJK SC"/>
        <family val="2"/>
      </rPr>
      <t xml:space="preserve">與營運狀態屬實。但原文名稱為 </t>
    </r>
    <r>
      <rPr>
        <sz val="11"/>
        <color theme="1"/>
        <rFont val="Calibri"/>
        <family val="2"/>
        <charset val="1"/>
      </rPr>
      <t xml:space="preserve">Guizhou AI Data Center</t>
    </r>
    <r>
      <rPr>
        <sz val="11"/>
        <color theme="1"/>
        <rFont val="Noto Sans CJK SC"/>
        <family val="2"/>
      </rPr>
      <t xml:space="preserve">，且無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上線年與 </t>
    </r>
    <r>
      <rPr>
        <sz val="11"/>
        <color theme="1"/>
        <rFont val="Calibri"/>
        <family val="2"/>
        <charset val="1"/>
      </rPr>
      <t xml:space="preserve">2026-06-19 </t>
    </r>
    <r>
      <rPr>
        <sz val="11"/>
        <color theme="1"/>
        <rFont val="Noto Sans CJK SC"/>
        <family val="2"/>
      </rPr>
      <t xml:space="preserve">日期。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偏高，該數字非許可文件所載。</t>
    </r>
  </si>
  <si>
    <t xml:space="preserve">https://datacenterindex.ai/markets/china</t>
  </si>
  <si>
    <t xml:space="preserve">S#325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</si>
  <si>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Gui'an Data Center</t>
    </r>
    <r>
      <rPr>
        <sz val="11"/>
        <color theme="1"/>
        <rFont val="Noto Sans CJK SC"/>
        <family val="2"/>
      </rPr>
      <t xml:space="preserve">｜一期｜上線</t>
    </r>
  </si>
  <si>
    <t xml:space="preserve">2021-09-27</t>
  </si>
  <si>
    <r>
      <rPr>
        <sz val="11"/>
        <color theme="1"/>
        <rFont val="Noto Sans CJK SC"/>
        <family val="2"/>
      </rPr>
      <t xml:space="preserve">原文支持</t>
    </r>
    <r>
      <rPr>
        <sz val="11"/>
        <color theme="1"/>
        <rFont val="Calibri"/>
        <family val="2"/>
        <charset val="1"/>
      </rPr>
      <t xml:space="preserve">9/9</t>
    </r>
    <r>
      <rPr>
        <sz val="11"/>
        <color theme="1"/>
        <rFont val="Noto Sans CJK SC"/>
        <family val="2"/>
      </rPr>
      <t xml:space="preserve">一期上線、逾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萬台、</t>
    </r>
    <r>
      <rPr>
        <sz val="11"/>
        <color theme="1"/>
        <rFont val="Calibri"/>
        <family val="2"/>
        <charset val="1"/>
      </rPr>
      <t xml:space="preserve">PUE 1.12</t>
    </r>
    <r>
      <rPr>
        <sz val="11"/>
        <color theme="1"/>
        <rFont val="Noto Sans CJK SC"/>
        <family val="2"/>
      </rPr>
      <t xml:space="preserve">、九棟機房、無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as_of 2021-09-27</t>
    </r>
    <r>
      <rPr>
        <sz val="11"/>
        <color theme="1"/>
        <rFont val="Noto Sans CJK SC"/>
        <family val="2"/>
      </rPr>
      <t xml:space="preserve">為發稿日。「官方開園</t>
    </r>
    <r>
      <rPr>
        <sz val="11"/>
        <color theme="1"/>
        <rFont val="Calibri"/>
        <family val="2"/>
        <charset val="1"/>
      </rPr>
      <t xml:space="preserve">2021-12-20</t>
    </r>
    <r>
      <rPr>
        <sz val="11"/>
        <color theme="1"/>
        <rFont val="Noto Sans CJK SC"/>
        <family val="2"/>
      </rPr>
      <t xml:space="preserve">」原文找不到，來自他處。</t>
    </r>
    <r>
      <rPr>
        <sz val="11"/>
        <color theme="1"/>
        <rFont val="Calibri"/>
        <family val="2"/>
        <charset val="1"/>
      </rPr>
      <t xml:space="preserve">unit</t>
    </r>
    <r>
      <rPr>
        <sz val="11"/>
        <color theme="1"/>
        <rFont val="Noto Sans CJK SC"/>
        <family val="2"/>
      </rPr>
      <t xml:space="preserve">填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但實無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數值；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利害關係人合理。</t>
    </r>
  </si>
  <si>
    <t xml:space="preserve">https://en.prnasia.com/releases/apac/accommodating-over-1-million-servers-world-s-largest-huawei-cloud-data-center-comes-into-service-in-gui-an-334193.shtml</t>
  </si>
  <si>
    <t xml:space="preserve">S#326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</si>
  <si>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Gui'an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數據中心／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算力部署｜在建</t>
    </r>
  </si>
  <si>
    <r>
      <rPr>
        <sz val="11"/>
        <color theme="1"/>
        <rFont val="Noto Sans CJK SC"/>
        <family val="2"/>
      </rPr>
      <t xml:space="preserve">貴安、內蒙、蕪湖三樞紐規模建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數據中心屬實，無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、無時程，日期 </t>
    </r>
    <r>
      <rPr>
        <sz val="11"/>
        <color theme="1"/>
        <rFont val="Calibri"/>
        <family val="2"/>
        <charset val="1"/>
      </rPr>
      <t xml:space="preserve">9/15 </t>
    </r>
    <r>
      <rPr>
        <sz val="11"/>
        <color theme="1"/>
        <rFont val="Noto Sans CJK SC"/>
        <family val="2"/>
      </rPr>
      <t xml:space="preserve">也對。但 </t>
    </r>
    <r>
      <rPr>
        <sz val="11"/>
        <color theme="1"/>
        <rFont val="Calibri"/>
        <family val="2"/>
        <charset val="1"/>
      </rPr>
      <t xml:space="preserve">site </t>
    </r>
    <r>
      <rPr>
        <sz val="11"/>
        <color theme="1"/>
        <rFont val="Noto Sans CJK SC"/>
        <family val="2"/>
      </rPr>
      <t xml:space="preserve">只寫貴安，與三樞紐不一致；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「公司本人」非原文標題；原文是 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略偏。</t>
    </r>
  </si>
  <si>
    <t xml:space="preserve">https://finance.biggo.com/news/b2908530-cbcc-4fd6-b285-f6e71c3e2868</t>
  </si>
  <si>
    <t xml:space="preserve">S#327</t>
  </si>
  <si>
    <t xml:space="preserve">Yotta Data Services</t>
  </si>
  <si>
    <r>
      <rPr>
        <sz val="11"/>
        <color theme="1"/>
        <rFont val="Calibri"/>
        <family val="2"/>
        <charset val="1"/>
      </rPr>
      <t xml:space="preserve">Yotta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Yotta D2 AI Supercluster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Yotta Greater Noida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D2 B300 supercluster</t>
    </r>
    <r>
      <rPr>
        <sz val="11"/>
        <color theme="1"/>
        <rFont val="Noto Sans CJK SC"/>
        <family val="2"/>
      </rPr>
      <t xml:space="preserve">｜在建</t>
    </r>
  </si>
  <si>
    <t xml:space="preserve">2026-02-18</t>
  </si>
  <si>
    <r>
      <rPr>
        <sz val="11"/>
        <color theme="1"/>
        <rFont val="Calibri"/>
        <family val="2"/>
        <charset val="1"/>
      </rPr>
      <t xml:space="preserve">60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20,736 </t>
    </r>
    <r>
      <rPr>
        <sz val="11"/>
        <color theme="1"/>
        <rFont val="Noto Sans CJK SC"/>
        <family val="2"/>
      </rPr>
      <t xml:space="preserve">顆、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月、四年逾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億美元、逾 </t>
    </r>
    <r>
      <rPr>
        <sz val="11"/>
        <color theme="1"/>
        <rFont val="Calibri"/>
        <family val="2"/>
        <charset val="1"/>
      </rPr>
      <t xml:space="preserve">10,000 </t>
    </r>
    <r>
      <rPr>
        <sz val="11"/>
        <color theme="1"/>
        <rFont val="Noto Sans CJK SC"/>
        <family val="2"/>
      </rPr>
      <t xml:space="preserve">顆給 </t>
    </r>
    <r>
      <rPr>
        <sz val="11"/>
        <color theme="1"/>
        <rFont val="Calibri"/>
        <family val="2"/>
        <charset val="1"/>
      </rPr>
      <t xml:space="preserve">IndiaAI </t>
    </r>
    <r>
      <rPr>
        <sz val="11"/>
        <color theme="1"/>
        <rFont val="Noto Sans CJK SC"/>
        <family val="2"/>
      </rPr>
      <t xml:space="preserve">皆與原文一致，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為公司本人說法亦正確。「搜尋未見上線確認」及 </t>
    </r>
    <r>
      <rPr>
        <sz val="11"/>
        <color theme="1"/>
        <rFont val="Calibri"/>
        <family val="2"/>
        <charset val="1"/>
      </rPr>
      <t xml:space="preserve">Frost &amp; Sullivan </t>
    </r>
    <r>
      <rPr>
        <sz val="11"/>
        <color theme="1"/>
        <rFont val="Noto Sans CJK SC"/>
        <family val="2"/>
      </rPr>
      <t xml:space="preserve">稿屬外部補充，原文無法核對。</t>
    </r>
  </si>
  <si>
    <t xml:space="preserve">https://yotta.com/press-releases/yotta-to-deploy-20000-nvidia-blackwell-ultra-gpus/</t>
  </si>
  <si>
    <t xml:space="preserve">S#328</t>
  </si>
  <si>
    <r>
      <rPr>
        <sz val="11"/>
        <color theme="1"/>
        <rFont val="Calibri"/>
        <family val="2"/>
        <charset val="1"/>
      </rPr>
      <t xml:space="preserve">Yotta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Yotta D2 AI Supercluster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Yotta Greater Noida </t>
    </r>
    <r>
      <rPr>
        <sz val="11"/>
        <color theme="1"/>
        <rFont val="Noto Sans CJK SC"/>
        <family val="2"/>
      </rPr>
      <t xml:space="preserve">園區）｜全園區｜規劃</t>
    </r>
  </si>
  <si>
    <r>
      <rPr>
        <sz val="11"/>
        <color theme="1"/>
        <rFont val="Noto Sans CJK SC"/>
        <family val="2"/>
      </rPr>
      <t xml:space="preserve">原文稱園區 </t>
    </r>
    <r>
      <rPr>
        <sz val="11"/>
        <color theme="1"/>
        <rFont val="Calibri"/>
        <family val="2"/>
        <charset val="1"/>
      </rPr>
      <t xml:space="preserve">scalable to 250 MW</t>
    </r>
    <r>
      <rPr>
        <sz val="11"/>
        <color theme="1"/>
        <rFont val="Noto Sans CJK SC"/>
        <family val="2"/>
      </rPr>
      <t xml:space="preserve">，與「擴充上限」解讀一致，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年舊稿 </t>
    </r>
    <r>
      <rPr>
        <sz val="11"/>
        <color theme="1"/>
        <rFont val="Calibri"/>
        <family val="2"/>
        <charset val="1"/>
      </rPr>
      <t xml:space="preserve">160 MW </t>
    </r>
    <r>
      <rPr>
        <sz val="11"/>
        <color theme="1"/>
        <rFont val="Noto Sans CJK SC"/>
        <family val="2"/>
      </rPr>
      <t xml:space="preserve">屬外部說法，本原文無法核對，不影響此數值。</t>
    </r>
  </si>
  <si>
    <t xml:space="preserve">S#329</t>
  </si>
  <si>
    <r>
      <rPr>
        <sz val="11"/>
        <color theme="1"/>
        <rFont val="Calibri"/>
        <family val="2"/>
        <charset val="1"/>
      </rPr>
      <t xml:space="preserve">Yotta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Yotta D2 AI Supercluster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Yotta Greater Noida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｜上線</t>
    </r>
  </si>
  <si>
    <t xml:space="preserve">28.8 MW</t>
  </si>
  <si>
    <t xml:space="preserve">2022-10-31</t>
  </si>
  <si>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28.8 MW IT </t>
    </r>
    <r>
      <rPr>
        <sz val="11"/>
        <color theme="1"/>
        <rFont val="Noto Sans CJK SC"/>
        <family val="2"/>
      </rPr>
      <t xml:space="preserve">容量、</t>
    </r>
    <r>
      <rPr>
        <sz val="11"/>
        <color theme="1"/>
        <rFont val="Calibri"/>
        <family val="2"/>
        <charset val="1"/>
      </rPr>
      <t xml:space="preserve">2022-10-31 </t>
    </r>
    <r>
      <rPr>
        <sz val="11"/>
        <color theme="1"/>
        <rFont val="Noto Sans CJK SC"/>
        <family val="2"/>
      </rPr>
      <t xml:space="preserve">發稿日與公司本人來源都屬實。但 </t>
    </r>
    <r>
      <rPr>
        <sz val="11"/>
        <color theme="1"/>
        <rFont val="Calibri"/>
        <family val="2"/>
        <charset val="1"/>
      </rPr>
      <t xml:space="preserve">site_or_scope </t>
    </r>
    <r>
      <rPr>
        <sz val="11"/>
        <color theme="1"/>
        <rFont val="Noto Sans CJK SC"/>
        <family val="2"/>
      </rPr>
      <t xml:space="preserve">標成 </t>
    </r>
    <r>
      <rPr>
        <sz val="11"/>
        <color theme="1"/>
        <rFont val="Calibri"/>
        <family val="2"/>
        <charset val="1"/>
      </rPr>
      <t xml:space="preserve">D2 AI Supercluster </t>
    </r>
    <r>
      <rPr>
        <sz val="11"/>
        <color theme="1"/>
        <rFont val="Noto Sans CJK SC"/>
        <family val="2"/>
      </rPr>
      <t xml:space="preserve">並與 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混寫，容易誤導；原文僅提到 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奠基。</t>
    </r>
  </si>
  <si>
    <t xml:space="preserve">https://yotta.com/press-releases/yotta-launches-north-indias-first-hyperscale-data-center-yotta-d1-in-greater-noida/</t>
  </si>
  <si>
    <t xml:space="preserve">S#330</t>
  </si>
  <si>
    <t xml:space="preserve">NTT DATA</t>
  </si>
  <si>
    <r>
      <rPr>
        <sz val="11"/>
        <color theme="1"/>
        <rFont val="Calibri"/>
        <family val="2"/>
        <charset val="1"/>
      </rPr>
      <t xml:space="preserve">NTT DATA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NTT DATA / Neysa Telangana AI Cluster</t>
    </r>
    <r>
      <rPr>
        <sz val="11"/>
        <color theme="1"/>
        <rFont val="Noto Sans CJK SC"/>
        <family val="2"/>
      </rPr>
      <t xml:space="preserve">｜全園區｜規劃</t>
    </r>
  </si>
  <si>
    <t xml:space="preserve">2025-04-18</t>
  </si>
  <si>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Rs10,500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25,000 GPU</t>
    </r>
    <r>
      <rPr>
        <sz val="11"/>
        <color theme="1"/>
        <rFont val="Noto Sans CJK SC"/>
        <family val="2"/>
      </rPr>
      <t xml:space="preserve">、三方 </t>
    </r>
    <r>
      <rPr>
        <sz val="11"/>
        <color theme="1"/>
        <rFont val="Calibri"/>
        <family val="2"/>
        <charset val="1"/>
      </rPr>
      <t xml:space="preserve">MoU </t>
    </r>
    <r>
      <rPr>
        <sz val="11"/>
        <color theme="1"/>
        <rFont val="Noto Sans CJK SC"/>
        <family val="2"/>
      </rPr>
      <t xml:space="preserve">與日期皆屬實。但「電力最高 </t>
    </r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」和「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年媒體仍稱開發中」不在此原文，需另有來源。</t>
    </r>
  </si>
  <si>
    <t xml:space="preserve">https://www.theweek.in/wire-updates/business/2025/04/18/mes16-tl-cm-japan-investment.html</t>
  </si>
  <si>
    <t xml:space="preserve">S#331</t>
  </si>
  <si>
    <t xml:space="preserve">CtrlS Datacenters</t>
  </si>
  <si>
    <r>
      <rPr>
        <sz val="11"/>
        <color theme="1"/>
        <rFont val="Calibri"/>
        <family val="2"/>
        <charset val="1"/>
      </rPr>
      <t xml:space="preserve">CtrlS Datacenters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CtrlS Chandanvelly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</si>
  <si>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2025-09-08</t>
  </si>
  <si>
    <r>
      <rPr>
        <sz val="11"/>
        <color theme="1"/>
        <rFont val="Calibri"/>
        <family val="2"/>
        <charset val="1"/>
      </rPr>
      <t xml:space="preserve">700 MW</t>
    </r>
    <r>
      <rPr>
        <sz val="11"/>
        <color theme="1"/>
        <rFont val="Noto Sans CJK SC"/>
        <family val="2"/>
      </rPr>
      <t xml:space="preserve">、動工、</t>
    </r>
    <r>
      <rPr>
        <sz val="11"/>
        <color theme="1"/>
        <rFont val="Calibri"/>
        <family val="2"/>
        <charset val="1"/>
      </rPr>
      <t xml:space="preserve">2025-09-08 </t>
    </r>
    <r>
      <rPr>
        <sz val="11"/>
        <color theme="1"/>
        <rFont val="Noto Sans CJK SC"/>
        <family val="2"/>
      </rPr>
      <t xml:space="preserve">皆屬實，原文未說明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或設施口徑。原文未明寫是公司說法，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非實際標題。官網、新聞稿、</t>
    </r>
    <r>
      <rPr>
        <sz val="11"/>
        <color theme="1"/>
        <rFont val="Calibri"/>
        <family val="2"/>
        <charset val="1"/>
      </rPr>
      <t xml:space="preserve">Blackridge </t>
    </r>
    <r>
      <rPr>
        <sz val="11"/>
        <color theme="1"/>
        <rFont val="Noto Sans CJK SC"/>
        <family val="2"/>
      </rPr>
      <t xml:space="preserve">的數字不在此文，需另行核對。</t>
    </r>
  </si>
  <si>
    <t xml:space="preserve">https://www.telecompaper.com/news/ctrls-starts-construction-of-700-mw-data-centre-campus-near-hyderabad--1547394</t>
  </si>
  <si>
    <t xml:space="preserve">S#332</t>
  </si>
  <si>
    <r>
      <rPr>
        <sz val="11"/>
        <color theme="1"/>
        <rFont val="Calibri"/>
        <family val="2"/>
        <charset val="1"/>
      </rPr>
      <t xml:space="preserve">CtrlS Datacenters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CtrlS Chandanvelly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</si>
  <si>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2025-01-21</t>
  </si>
  <si>
    <r>
      <rPr>
        <sz val="11"/>
        <color theme="1"/>
        <rFont val="Calibri"/>
        <family val="2"/>
        <charset val="1"/>
      </rPr>
      <t xml:space="preserve">250MW </t>
    </r>
    <r>
      <rPr>
        <sz val="11"/>
        <color theme="1"/>
        <rFont val="Noto Sans CJK SC"/>
        <family val="2"/>
      </rPr>
      <t xml:space="preserve">核准電力、</t>
    </r>
    <r>
      <rPr>
        <sz val="11"/>
        <color theme="1"/>
        <rFont val="Calibri"/>
        <family val="2"/>
        <charset val="1"/>
      </rPr>
      <t xml:space="preserve">GIS </t>
    </r>
    <r>
      <rPr>
        <sz val="11"/>
        <color theme="1"/>
        <rFont val="Noto Sans CJK SC"/>
        <family val="2"/>
      </rPr>
      <t xml:space="preserve">可擴至 </t>
    </r>
    <r>
      <rPr>
        <sz val="11"/>
        <color theme="1"/>
        <rFont val="Calibri"/>
        <family val="2"/>
        <charset val="1"/>
      </rPr>
      <t xml:space="preserve">900MW </t>
    </r>
    <r>
      <rPr>
        <sz val="11"/>
        <color theme="1"/>
        <rFont val="Noto Sans CJK SC"/>
        <family val="2"/>
      </rPr>
      <t xml:space="preserve">屬實。但原文只說「</t>
    </r>
    <r>
      <rPr>
        <sz val="11"/>
        <color theme="1"/>
        <rFont val="Calibri"/>
        <family val="2"/>
        <charset val="1"/>
      </rPr>
      <t xml:space="preserve">planning</t>
    </r>
    <r>
      <rPr>
        <sz val="11"/>
        <color theme="1"/>
        <rFont val="Noto Sans CJK SC"/>
        <family val="2"/>
      </rPr>
      <t xml:space="preserve">」，未說在建，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「在建」不當；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FY2027/28 </t>
    </r>
    <r>
      <rPr>
        <sz val="11"/>
        <color theme="1"/>
        <rFont val="Noto Sans CJK SC"/>
        <family val="2"/>
      </rPr>
      <t xml:space="preserve">上半年營運在原文找不到。</t>
    </r>
  </si>
  <si>
    <t xml:space="preserve">https://www.datacenterdynamics.com/en/news/ctrls-to-build-40-acre-data-center-campus-near-hyderabad-india/</t>
  </si>
  <si>
    <t xml:space="preserve">S#333</t>
  </si>
  <si>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IDC Frontier</t>
    </r>
  </si>
  <si>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IDC Frontier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Hokkaido Tomakomai AI Data Center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期｜在建</t>
    </r>
  </si>
  <si>
    <t xml:space="preserve">2025-04-15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</si>
  <si>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650</t>
    </r>
    <r>
      <rPr>
        <sz val="11"/>
        <color theme="1"/>
        <rFont val="Noto Sans CJK SC"/>
        <family val="2"/>
      </rPr>
      <t xml:space="preserve">億円超、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年度稼働、</t>
    </r>
    <r>
      <rPr>
        <sz val="11"/>
        <color theme="1"/>
        <rFont val="Calibri"/>
        <family val="2"/>
        <charset val="1"/>
      </rPr>
      <t xml:space="preserve">2025-04-15 </t>
    </r>
    <r>
      <rPr>
        <sz val="11"/>
        <color theme="1"/>
        <rFont val="Noto Sans CJK SC"/>
        <family val="2"/>
      </rPr>
      <t xml:space="preserve">都與原文一致。但來源標題寫「公司本人」，實為日經報導公司發表內容。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等後半說法不在本文，屬其他來源。</t>
    </r>
  </si>
  <si>
    <t xml:space="preserve">https://www.nikkei.com/article/DGXZQOUC08AKQ0Y5A400C2000000/</t>
  </si>
  <si>
    <t xml:space="preserve">S#334</t>
  </si>
  <si>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IDC Frontier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Hokkaido Tomakomai AI Data Center</t>
    </r>
    <r>
      <rPr>
        <sz val="11"/>
        <color theme="1"/>
        <rFont val="Noto Sans CJK SC"/>
        <family val="2"/>
      </rPr>
      <t xml:space="preserve">｜全園區｜規劃</t>
    </r>
  </si>
  <si>
    <t xml:space="preserve">2025-05-01</t>
  </si>
  <si>
    <r>
      <rPr>
        <sz val="11"/>
        <color theme="1"/>
        <rFont val="Calibri"/>
        <family val="2"/>
        <charset val="1"/>
      </rPr>
      <t xml:space="preserve">fiscal 2026 </t>
    </r>
    <r>
      <rPr>
        <sz val="11"/>
        <color theme="1"/>
        <rFont val="Noto Sans CJK SC"/>
        <family val="2"/>
      </rPr>
      <t xml:space="preserve">開業、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萬㎡、超過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皆與原文一致，口徑未說明、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為公司說法也合理。</t>
    </r>
    <r>
      <rPr>
        <sz val="11"/>
        <color theme="1"/>
        <rFont val="Calibri"/>
        <family val="2"/>
        <charset val="1"/>
      </rPr>
      <t xml:space="preserve">user </t>
    </r>
    <r>
      <rPr>
        <sz val="11"/>
        <color theme="1"/>
        <rFont val="Noto Sans CJK SC"/>
        <family val="2"/>
      </rPr>
      <t xml:space="preserve">欄與 </t>
    </r>
    <r>
      <rPr>
        <sz val="11"/>
        <color theme="1"/>
        <rFont val="Calibri"/>
        <family val="2"/>
        <charset val="1"/>
      </rPr>
      <t xml:space="preserve">Blackridge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說法不在本文，但屬他處或備註，不影響數值。</t>
    </r>
  </si>
  <si>
    <t xml:space="preserve">https://www.softbank.jp/en/sbnews/entry/20250501_01</t>
  </si>
  <si>
    <t xml:space="preserve">S#335</t>
  </si>
  <si>
    <t xml:space="preserve">SoftBank Corp.</t>
  </si>
  <si>
    <r>
      <rPr>
        <sz val="11"/>
        <color theme="1"/>
        <rFont val="Calibri"/>
        <family val="2"/>
        <charset val="1"/>
      </rPr>
      <t xml:space="preserve">SoftBank Corp.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SoftBank Sakai AI Data Center (ex-Sharp plant)</t>
    </r>
    <r>
      <rPr>
        <sz val="11"/>
        <color theme="1"/>
        <rFont val="Noto Sans CJK SC"/>
        <family val="2"/>
      </rPr>
      <t xml:space="preserve">｜全園區（初期）｜在建</t>
    </r>
  </si>
  <si>
    <t xml:space="preserve">2025-03-14</t>
  </si>
  <si>
    <t xml:space="preserve">https://www.softbank.jp/en/corp/news/press/sbkk/2025/20250314_01/</t>
  </si>
  <si>
    <t xml:space="preserve">S#336</t>
  </si>
  <si>
    <r>
      <rPr>
        <sz val="11"/>
        <color theme="1"/>
        <rFont val="Calibri"/>
        <family val="2"/>
        <charset val="1"/>
      </rPr>
      <t xml:space="preserve">SoftBank Corp.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SoftBank Sakai AI Data Center (ex-Sharp plant)</t>
    </r>
    <r>
      <rPr>
        <sz val="11"/>
        <color theme="1"/>
        <rFont val="Noto Sans CJK SC"/>
        <family val="2"/>
      </rPr>
      <t xml:space="preserve">｜擴建（遠期）｜規劃</t>
    </r>
  </si>
  <si>
    <t xml:space="preserve">S#337</t>
  </si>
  <si>
    <r>
      <rPr>
        <sz val="11"/>
        <color theme="1"/>
        <rFont val="Calibri"/>
        <family val="2"/>
        <charset val="1"/>
      </rPr>
      <t xml:space="preserve">BitGrid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Bitgrit</t>
    </r>
    <r>
      <rPr>
        <sz val="11"/>
        <color theme="1"/>
        <rFont val="Noto Sans CJK SC"/>
        <family val="2"/>
      </rPr>
      <t xml:space="preserve">）–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（擬設 </t>
    </r>
    <r>
      <rPr>
        <sz val="11"/>
        <color theme="1"/>
        <rFont val="Calibri"/>
        <family val="2"/>
        <charset val="1"/>
      </rPr>
      <t xml:space="preserve">SPC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</si>
  <si>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BitGrid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Bitgrit</t>
    </r>
    <r>
      <rPr>
        <sz val="11"/>
        <color theme="1"/>
        <rFont val="Noto Sans CJK SC"/>
        <family val="2"/>
      </rPr>
      <t xml:space="preserve">）–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（擬設 </t>
    </r>
    <r>
      <rPr>
        <sz val="11"/>
        <color theme="1"/>
        <rFont val="Calibri"/>
        <family val="2"/>
        <charset val="1"/>
      </rPr>
      <t xml:space="preserve">SPC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BitGrid–S2 Akita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</si>
  <si>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500MW </t>
    </r>
    <r>
      <rPr>
        <sz val="11"/>
        <color theme="1"/>
        <rFont val="Noto Sans CJK SC"/>
        <family val="2"/>
      </rPr>
      <t xml:space="preserve">最高電力容量、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年代初、</t>
    </r>
    <r>
      <rPr>
        <sz val="11"/>
        <color theme="1"/>
        <rFont val="Calibri"/>
        <family val="2"/>
        <charset val="1"/>
      </rPr>
      <t xml:space="preserve">Mubadala </t>
    </r>
    <r>
      <rPr>
        <sz val="11"/>
        <color theme="1"/>
        <rFont val="Noto Sans CJK SC"/>
        <family val="2"/>
      </rPr>
      <t xml:space="preserve">考慮投資均與原文相符。來源實為 </t>
    </r>
    <r>
      <rPr>
        <sz val="11"/>
        <color theme="1"/>
        <rFont val="Calibri"/>
        <family val="2"/>
        <charset val="1"/>
      </rPr>
      <t xml:space="preserve">Korea Economic Daily </t>
    </r>
    <r>
      <rPr>
        <sz val="11"/>
        <color theme="1"/>
        <rFont val="Noto Sans CJK SC"/>
        <family val="2"/>
      </rPr>
      <t xml:space="preserve">轉載日經，標題抄成「日經」不精確；</t>
    </r>
    <r>
      <rPr>
        <sz val="11"/>
        <color theme="1"/>
        <rFont val="Calibri"/>
        <family val="2"/>
        <charset val="1"/>
      </rPr>
      <t xml:space="preserve">Jiji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LinkedIn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月協定等細節在此原文找不到。</t>
    </r>
    <r>
      <rPr>
        <sz val="11"/>
        <color theme="1"/>
        <rFont val="Calibri"/>
        <family val="2"/>
        <charset val="1"/>
      </rPr>
      <t xml:space="preserve">expected_online 2030 </t>
    </r>
    <r>
      <rPr>
        <sz val="11"/>
        <color theme="1"/>
        <rFont val="Noto Sans CJK SC"/>
        <family val="2"/>
      </rPr>
      <t xml:space="preserve">也只見「</t>
    </r>
    <r>
      <rPr>
        <sz val="11"/>
        <color theme="1"/>
        <rFont val="Calibri"/>
        <family val="2"/>
        <charset val="1"/>
      </rPr>
      <t xml:space="preserve">early 2030s</t>
    </r>
    <r>
      <rPr>
        <sz val="11"/>
        <color theme="1"/>
        <rFont val="Noto Sans CJK SC"/>
        <family val="2"/>
      </rPr>
      <t xml:space="preserve">」。</t>
    </r>
  </si>
  <si>
    <t xml:space="preserve">https://en.bloomingbit.io/feed/news/117806</t>
  </si>
  <si>
    <t xml:space="preserve">S#338</t>
  </si>
  <si>
    <t xml:space="preserve">Bitgrit</t>
  </si>
  <si>
    <r>
      <rPr>
        <sz val="11"/>
        <color theme="1"/>
        <rFont val="Calibri"/>
        <family val="2"/>
        <charset val="1"/>
      </rPr>
      <t xml:space="preserve">Bitgrit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BitGrid–S2 Akita AI Data Center</t>
    </r>
    <r>
      <rPr>
        <sz val="11"/>
        <color theme="1"/>
        <rFont val="Noto Sans CJK SC"/>
        <family val="2"/>
      </rPr>
      <t xml:space="preserve">｜先導小型站（</t>
    </r>
    <r>
      <rPr>
        <sz val="11"/>
        <color theme="1"/>
        <rFont val="Calibri"/>
        <family val="2"/>
        <charset val="1"/>
      </rPr>
      <t xml:space="preserve">1.5MW</t>
    </r>
    <r>
      <rPr>
        <sz val="11"/>
        <color theme="1"/>
        <rFont val="Noto Sans CJK SC"/>
        <family val="2"/>
      </rPr>
      <t xml:space="preserve">）｜規劃</t>
    </r>
  </si>
  <si>
    <t xml:space="preserve">1.5 MW</t>
  </si>
  <si>
    <r>
      <rPr>
        <sz val="11"/>
        <color theme="1"/>
        <rFont val="Calibri"/>
        <family val="2"/>
        <charset val="1"/>
      </rPr>
      <t xml:space="preserve">1.5MW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年底前、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伺服器、測試電力管理均符。但原文未稱「作電力管理研究」，且 </t>
    </r>
    <r>
      <rPr>
        <sz val="11"/>
        <color theme="1"/>
        <rFont val="Calibri"/>
        <family val="2"/>
        <charset val="1"/>
      </rPr>
      <t xml:space="preserve">LinkedIn </t>
    </r>
    <r>
      <rPr>
        <sz val="11"/>
        <color theme="1"/>
        <rFont val="Noto Sans CJK SC"/>
        <family val="2"/>
      </rPr>
      <t xml:space="preserve">動工</t>
    </r>
    <r>
      <rPr>
        <sz val="11"/>
        <color theme="1"/>
        <rFont val="Calibri"/>
        <family val="2"/>
        <charset val="1"/>
      </rPr>
      <t xml:space="preserve">2027 Q3 </t>
    </r>
    <r>
      <rPr>
        <sz val="11"/>
        <color theme="1"/>
        <rFont val="Noto Sans CJK SC"/>
        <family val="2"/>
      </rPr>
      <t xml:space="preserve">的說法在原文找不到，來源也非日經直引。</t>
    </r>
  </si>
  <si>
    <t xml:space="preserve">S#339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</si>
  <si>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 Broadband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Ecoplant </t>
    </r>
    <r>
      <rPr>
        <sz val="11"/>
        <color theme="1"/>
        <rFont val="Noto Sans CJK SC"/>
        <family val="2"/>
      </rPr>
      <t xml:space="preserve">承建）</t>
    </r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</si>
  <si>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 Broadband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Ecoplant </t>
    </r>
    <r>
      <rPr>
        <sz val="11"/>
        <color theme="1"/>
        <rFont val="Noto Sans CJK SC"/>
        <family val="2"/>
      </rPr>
      <t xml:space="preserve">承建）｜</t>
    </r>
    <r>
      <rPr>
        <sz val="11"/>
        <color theme="1"/>
        <rFont val="Calibri"/>
        <family val="2"/>
        <charset val="1"/>
      </rPr>
      <t xml:space="preserve">SK Group–AWS Ulsan AI Data Center</t>
    </r>
    <r>
      <rPr>
        <sz val="11"/>
        <color theme="1"/>
        <rFont val="Noto Sans CJK SC"/>
        <family val="2"/>
      </rPr>
      <t xml:space="preserve">｜一期｜在建</t>
    </r>
  </si>
  <si>
    <t xml:space="preserve">41 MW</t>
  </si>
  <si>
    <t xml:space="preserve">2025-06-16</t>
  </si>
  <si>
    <r>
      <rPr>
        <sz val="11"/>
        <color theme="1"/>
        <rFont val="Calibri"/>
        <family val="2"/>
        <charset val="1"/>
      </rPr>
      <t xml:space="preserve">41MW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月屬實。原文是 </t>
    </r>
    <r>
      <rPr>
        <sz val="11"/>
        <color theme="1"/>
        <rFont val="Calibri"/>
        <family val="2"/>
        <charset val="1"/>
      </rPr>
      <t xml:space="preserve">Chosun Economy </t>
    </r>
    <r>
      <rPr>
        <sz val="11"/>
        <color theme="1"/>
        <rFont val="Noto Sans CJK SC"/>
        <family val="2"/>
      </rPr>
      <t xml:space="preserve">的規劃報導，並非公司本人說法，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偏誤。「在建」不準，原文為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月預計動工。動工日、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發言人、</t>
    </r>
    <r>
      <rPr>
        <sz val="11"/>
        <color theme="1"/>
        <rFont val="Calibri"/>
        <family val="2"/>
        <charset val="1"/>
      </rPr>
      <t xml:space="preserve">iTnews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40MW </t>
    </r>
    <r>
      <rPr>
        <sz val="11"/>
        <color theme="1"/>
        <rFont val="Noto Sans CJK SC"/>
        <family val="2"/>
      </rPr>
      <t xml:space="preserve">不在本文。</t>
    </r>
  </si>
  <si>
    <t xml:space="preserve">https://www.datacenterdynamics.com/en/news/sk-group-and-aws-to-build-ai-data-center-in-ulsan-south-korea/</t>
  </si>
  <si>
    <t xml:space="preserve">S#340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</si>
  <si>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 Broadband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Ecoplant </t>
    </r>
    <r>
      <rPr>
        <sz val="11"/>
        <color theme="1"/>
        <rFont val="Noto Sans CJK SC"/>
        <family val="2"/>
      </rPr>
      <t xml:space="preserve">承建）｜</t>
    </r>
    <r>
      <rPr>
        <sz val="11"/>
        <color theme="1"/>
        <rFont val="Calibri"/>
        <family val="2"/>
        <charset val="1"/>
      </rPr>
      <t xml:space="preserve">SK Group–AWS Ulsan AI Data Center</t>
    </r>
    <r>
      <rPr>
        <sz val="11"/>
        <color theme="1"/>
        <rFont val="Noto Sans CJK SC"/>
        <family val="2"/>
      </rPr>
      <t xml:space="preserve">｜二期｜規劃</t>
    </r>
  </si>
  <si>
    <t xml:space="preserve">62 MW</t>
  </si>
  <si>
    <t xml:space="preserve">2025-09-01</t>
  </si>
  <si>
    <r>
      <rPr>
        <sz val="11"/>
        <color theme="1"/>
        <rFont val="Calibri"/>
        <family val="2"/>
        <charset val="1"/>
      </rPr>
      <t xml:space="preserve">103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2029-02 </t>
    </r>
    <r>
      <rPr>
        <sz val="11"/>
        <color theme="1"/>
        <rFont val="Noto Sans CJK SC"/>
        <family val="2"/>
      </rPr>
      <t xml:space="preserve">都在原文，</t>
    </r>
    <r>
      <rPr>
        <sz val="11"/>
        <color theme="1"/>
        <rFont val="Calibri"/>
        <family val="2"/>
        <charset val="1"/>
      </rPr>
      <t xml:space="preserve">62=103−41 </t>
    </r>
    <r>
      <rPr>
        <sz val="11"/>
        <color theme="1"/>
        <rFont val="Noto Sans CJK SC"/>
        <family val="2"/>
      </rPr>
      <t xml:space="preserve">算式正確，</t>
    </r>
    <r>
      <rPr>
        <sz val="11"/>
        <color theme="1"/>
        <rFont val="Calibri"/>
        <family val="2"/>
        <charset val="1"/>
      </rPr>
      <t xml:space="preserve">tag [Derived] </t>
    </r>
    <r>
      <rPr>
        <sz val="11"/>
        <color theme="1"/>
        <rFont val="Noto Sans CJK SC"/>
        <family val="2"/>
      </rPr>
      <t xml:space="preserve">合理。但 </t>
    </r>
    <r>
      <rPr>
        <sz val="11"/>
        <color theme="1"/>
        <rFont val="Calibri"/>
        <family val="2"/>
        <charset val="1"/>
      </rPr>
      <t xml:space="preserve">103MW </t>
    </r>
    <r>
      <rPr>
        <sz val="11"/>
        <color theme="1"/>
        <rFont val="Noto Sans CJK SC"/>
        <family val="2"/>
      </rPr>
      <t xml:space="preserve">出自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引述 </t>
    </r>
    <r>
      <rPr>
        <sz val="11"/>
        <color theme="1"/>
        <rFont val="Calibri"/>
        <family val="2"/>
        <charset val="1"/>
      </rPr>
      <t xml:space="preserve">Chosun Biz</t>
    </r>
    <r>
      <rPr>
        <sz val="11"/>
        <color theme="1"/>
        <rFont val="Noto Sans CJK SC"/>
        <family val="2"/>
      </rPr>
      <t xml:space="preserve">，標題寫「記者推論」略偏；原文未稱 </t>
    </r>
    <r>
      <rPr>
        <sz val="11"/>
        <color theme="1"/>
        <rFont val="Calibri"/>
        <family val="2"/>
        <charset val="1"/>
      </rPr>
      <t xml:space="preserve">41MW </t>
    </r>
    <r>
      <rPr>
        <sz val="11"/>
        <color theme="1"/>
        <rFont val="Noto Sans CJK SC"/>
        <family val="2"/>
      </rPr>
      <t xml:space="preserve">為「一期」，且 </t>
    </r>
    <r>
      <rPr>
        <sz val="11"/>
        <color theme="1"/>
        <rFont val="Calibri"/>
        <family val="2"/>
        <charset val="1"/>
      </rPr>
      <t xml:space="preserve">41MW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2027-11 </t>
    </r>
    <r>
      <rPr>
        <sz val="11"/>
        <color theme="1"/>
        <rFont val="Noto Sans CJK SC"/>
        <family val="2"/>
      </rPr>
      <t xml:space="preserve">可用容量。</t>
    </r>
  </si>
  <si>
    <t xml:space="preserve">https://www.datacenterdynamics.com/en/news/sk-group-and-aws-break-ground-for-data-center-in-ulsan-korea/</t>
  </si>
  <si>
    <t xml:space="preserve">S#341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</si>
  <si>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 Broadband</t>
    </r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</si>
  <si>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 Broadband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SK Group–AWS Ulsan AI Data Center</t>
    </r>
    <r>
      <rPr>
        <sz val="11"/>
        <color theme="1"/>
        <rFont val="Noto Sans CJK SC"/>
        <family val="2"/>
      </rPr>
      <t xml:space="preserve">｜全園區｜在建</t>
    </r>
  </si>
  <si>
    <t xml:space="preserve">2026-09-13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</si>
  <si>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下半年、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兆韓元皆屬實。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約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萬張與早期</t>
    </r>
    <r>
      <rPr>
        <sz val="11"/>
        <color theme="1"/>
        <rFont val="Calibri"/>
        <family val="2"/>
        <charset val="1"/>
      </rPr>
      <t xml:space="preserve">103MW</t>
    </r>
    <r>
      <rPr>
        <sz val="11"/>
        <color theme="1"/>
        <rFont val="Noto Sans CJK SC"/>
        <family val="2"/>
      </rPr>
      <t xml:space="preserve">在原文找不到，但不影響數值。</t>
    </r>
  </si>
  <si>
    <t xml:space="preserve">https://www.koreatimes.co.kr/business/tech-science/20260913/sk-chairman-says-ulsan-ai-data-center-expansion-nearing-900-megawatts</t>
  </si>
  <si>
    <t xml:space="preserve">S#342</t>
  </si>
  <si>
    <t xml:space="preserve">SK Telecom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</si>
  <si>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SK Group–AWS Ulsan AI Data Center</t>
    </r>
    <r>
      <rPr>
        <sz val="11"/>
        <color theme="1"/>
        <rFont val="Noto Sans CJK SC"/>
        <family val="2"/>
      </rPr>
      <t xml:space="preserve">｜擴建（追加 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，至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</si>
  <si>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原文只說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月計畫擴至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，崔稱「接近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」。「追加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」是推算，「美國」大型科技公司原文未提。</t>
    </r>
  </si>
  <si>
    <t xml:space="preserve">S#343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</si>
  <si>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合資，規劃中）</t>
    </r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</si>
  <si>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合資，規劃中）｜</t>
    </r>
    <r>
      <rPr>
        <sz val="11"/>
        <color theme="1"/>
        <rFont val="Calibri"/>
        <family val="2"/>
        <charset val="1"/>
      </rPr>
      <t xml:space="preserve">Stargate Korea (SK Telecom–OpenAI), Southwest Korea</t>
    </r>
    <r>
      <rPr>
        <sz val="11"/>
        <color theme="1"/>
        <rFont val="Noto Sans CJK SC"/>
        <family val="2"/>
      </rPr>
      <t xml:space="preserve">｜初期階段（</t>
    </r>
    <r>
      <rPr>
        <sz val="11"/>
        <color theme="1"/>
        <rFont val="Calibri"/>
        <family val="2"/>
        <charset val="1"/>
      </rPr>
      <t xml:space="preserve">MOU/LOI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</si>
  <si>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20MW </t>
    </r>
    <r>
      <rPr>
        <sz val="11"/>
        <color theme="1"/>
        <rFont val="Noto Sans CJK SC"/>
        <family val="2"/>
      </rPr>
      <t xml:space="preserve">是兩座資料中心（含 </t>
    </r>
    <r>
      <rPr>
        <sz val="11"/>
        <color theme="1"/>
        <rFont val="Calibri"/>
        <family val="2"/>
        <charset val="1"/>
      </rPr>
      <t xml:space="preserve">Samsung SDS</t>
    </r>
    <r>
      <rPr>
        <sz val="11"/>
        <color theme="1"/>
        <rFont val="Noto Sans CJK SC"/>
        <family val="2"/>
      </rPr>
      <t xml:space="preserve">）的初期容量，未拆給 </t>
    </r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Noto Sans CJK SC"/>
        <family val="2"/>
      </rPr>
      <t xml:space="preserve">單獨。延遲至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與原因、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萬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hynix </t>
    </r>
    <r>
      <rPr>
        <sz val="11"/>
        <color theme="1"/>
        <rFont val="Noto Sans CJK SC"/>
        <family val="2"/>
      </rPr>
      <t xml:space="preserve">均不在此文中。</t>
    </r>
  </si>
  <si>
    <t xml:space="preserve">https://finance.yahoo.com/news/openai-samsung-sk-set-start-015417919.html</t>
  </si>
  <si>
    <t xml:space="preserve">S#344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</si>
  <si>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合資，規劃中）｜</t>
    </r>
    <r>
      <rPr>
        <sz val="11"/>
        <color theme="1"/>
        <rFont val="Calibri"/>
        <family val="2"/>
        <charset val="1"/>
      </rPr>
      <t xml:space="preserve">Stargate Korea (SK Telecom–OpenAI), Southwest Korea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</si>
  <si>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年內公布進度與設計變更屬實。但「停滯」是報社自己的報導，原文沒有 </t>
    </r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Noto Sans CJK SC"/>
        <family val="2"/>
      </rPr>
      <t xml:space="preserve">說無進展。用地、電力用水未解決與 </t>
    </r>
    <r>
      <rPr>
        <sz val="11"/>
        <color theme="1"/>
        <rFont val="Calibri"/>
        <family val="2"/>
        <charset val="1"/>
      </rPr>
      <t xml:space="preserve">Southwest Korea </t>
    </r>
    <r>
      <rPr>
        <sz val="11"/>
        <color theme="1"/>
        <rFont val="Noto Sans CJK SC"/>
        <family val="2"/>
      </rPr>
      <t xml:space="preserve">也找不到。原文無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數字。</t>
    </r>
  </si>
  <si>
    <t xml:space="preserve">https://www.koreajoongangdaily.com/business/stargate-korea-progress-update-coming-within-the-year-openai-says/12867728</t>
  </si>
  <si>
    <t xml:space="preserve">S#345</t>
  </si>
  <si>
    <t xml:space="preserve">Foxconn (Hon Hai)</t>
  </si>
  <si>
    <r>
      <rPr>
        <sz val="11"/>
        <color theme="1"/>
        <rFont val="Calibri"/>
        <family val="2"/>
        <charset val="1"/>
      </rPr>
      <t xml:space="preserve">Foxconn (Hon Hai)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｜全園區｜規劃</t>
    </r>
  </si>
  <si>
    <t xml:space="preserve">2025-05-20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</si>
  <si>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、分期建置、部分在高雄其餘視電力而定皆與原文一致；口徑未說明、利害關係人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</t>
    </r>
  </si>
  <si>
    <t xml:space="preserve">https://www.cnbc.com/2025/05/20/taiwans-foxconn-ai-data-center-with-nvidia-to-have-100-mw-of-power.html</t>
  </si>
  <si>
    <t xml:space="preserve">S#346</t>
  </si>
  <si>
    <r>
      <rPr>
        <sz val="11"/>
        <color theme="1"/>
        <rFont val="Calibri"/>
        <family val="2"/>
        <charset val="1"/>
      </rPr>
      <t xml:space="preserve">Foxconn (Hon Hai)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</si>
  <si>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原文確有先從 </t>
    </r>
    <r>
      <rPr>
        <sz val="11"/>
        <color theme="1"/>
        <rFont val="Calibri"/>
        <family val="2"/>
        <charset val="1"/>
      </rPr>
      <t xml:space="preserve">20MW </t>
    </r>
    <r>
      <rPr>
        <sz val="11"/>
        <color theme="1"/>
        <rFont val="Noto Sans CJK SC"/>
        <family val="2"/>
      </rPr>
      <t xml:space="preserve">起步。原文未說明此為高雄，但 </t>
    </r>
    <r>
      <rPr>
        <sz val="11"/>
        <color theme="1"/>
        <rFont val="Calibri"/>
        <family val="2"/>
        <charset val="1"/>
      </rPr>
      <t xml:space="preserve">site </t>
    </r>
    <r>
      <rPr>
        <sz val="11"/>
        <color theme="1"/>
        <rFont val="Noto Sans CJK SC"/>
        <family val="2"/>
      </rPr>
      <t xml:space="preserve">為範圍標示，不影響數值。</t>
    </r>
  </si>
  <si>
    <t xml:space="preserve">S#347</t>
  </si>
  <si>
    <r>
      <rPr>
        <sz val="11"/>
        <color theme="1"/>
        <rFont val="Calibri"/>
        <family val="2"/>
        <charset val="1"/>
      </rPr>
      <t xml:space="preserve">Foxconn (Hon Hai)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+40MW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</si>
  <si>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原文為「再增加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」，與列相符；原文未指明地點，地點未確定的說法屬合理。</t>
    </r>
  </si>
  <si>
    <t xml:space="preserve">S#348</t>
  </si>
  <si>
    <r>
      <rPr>
        <sz val="11"/>
        <color theme="1"/>
        <rFont val="Calibri"/>
        <family val="2"/>
        <charset val="1"/>
      </rPr>
      <t xml:space="preserve">Foxconn (Hon Hai)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+40MW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</si>
  <si>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推算所用的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皆在原文；</t>
    </r>
    <r>
      <rPr>
        <sz val="11"/>
        <color theme="1"/>
        <rFont val="Calibri"/>
        <family val="2"/>
        <charset val="1"/>
      </rPr>
      <t xml:space="preserve">100−20−40=40 </t>
    </r>
    <r>
      <rPr>
        <sz val="11"/>
        <color theme="1"/>
        <rFont val="Noto Sans CJK SC"/>
        <family val="2"/>
      </rPr>
      <t xml:space="preserve">正確，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標註恰當。</t>
    </r>
  </si>
  <si>
    <t xml:space="preserve">S#349</t>
  </si>
  <si>
    <r>
      <rPr>
        <sz val="11"/>
        <color theme="1"/>
        <rFont val="Calibri"/>
        <family val="2"/>
        <charset val="1"/>
      </rPr>
      <t xml:space="preserve">Visionbay.ai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Foxconn </t>
    </r>
    <r>
      <rPr>
        <sz val="11"/>
        <color theme="1"/>
        <rFont val="Noto Sans CJK SC"/>
        <family val="2"/>
      </rPr>
      <t xml:space="preserve">子單位）</t>
    </r>
  </si>
  <si>
    <r>
      <rPr>
        <sz val="11"/>
        <color theme="1"/>
        <rFont val="Calibri"/>
        <family val="2"/>
        <charset val="1"/>
      </rPr>
      <t xml:space="preserve">Visionbay.ai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Foxconn </t>
    </r>
    <r>
      <rPr>
        <sz val="11"/>
        <color theme="1"/>
        <rFont val="Noto Sans CJK SC"/>
        <family val="2"/>
      </rPr>
      <t xml:space="preserve">子單位）｜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Visionbay.ai GB300 </t>
    </r>
    <r>
      <rPr>
        <sz val="11"/>
        <color theme="1"/>
        <rFont val="Noto Sans CJK SC"/>
        <family val="2"/>
      </rPr>
      <t xml:space="preserve">超算中心｜在建</t>
    </r>
  </si>
  <si>
    <t xml:space="preserve">27 MW</t>
  </si>
  <si>
    <t xml:space="preserve">2025-11-21</t>
  </si>
  <si>
    <r>
      <rPr>
        <sz val="11"/>
        <color theme="1"/>
        <rFont val="Calibri"/>
        <family val="2"/>
        <charset val="1"/>
      </rPr>
      <t xml:space="preserve">27MW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上半年、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億美元、姚延宗均屬實。但原文未提高雄與新台幣</t>
    </r>
    <r>
      <rPr>
        <sz val="11"/>
        <color theme="1"/>
        <rFont val="Calibri"/>
        <family val="2"/>
        <charset val="1"/>
      </rPr>
      <t xml:space="preserve">420</t>
    </r>
    <r>
      <rPr>
        <sz val="11"/>
        <color theme="1"/>
        <rFont val="Noto Sans CJK SC"/>
        <family val="2"/>
      </rPr>
      <t xml:space="preserve">億元，頁面日期為</t>
    </r>
    <r>
      <rPr>
        <sz val="11"/>
        <color theme="1"/>
        <rFont val="Calibri"/>
        <family val="2"/>
        <charset val="1"/>
      </rPr>
      <t xml:space="preserve">11/20</t>
    </r>
    <r>
      <rPr>
        <sz val="11"/>
        <color theme="1"/>
        <rFont val="Noto Sans CJK SC"/>
        <family val="2"/>
      </rPr>
      <t xml:space="preserve">（內文稱週五）。標題「公司本人」不當，實為路透報導。</t>
    </r>
  </si>
  <si>
    <t xml:space="preserve">https://finance.yahoo.com/news/foxconn-1-000-ai-racks-031805011.html</t>
  </si>
  <si>
    <t xml:space="preserve">S#350</t>
  </si>
  <si>
    <r>
      <rPr>
        <sz val="11"/>
        <color theme="1"/>
        <rFont val="Calibri"/>
        <family val="2"/>
        <charset val="1"/>
      </rPr>
      <t xml:space="preserve">Foxconn (Hon Hai)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 VDC </t>
    </r>
    <r>
      <rPr>
        <sz val="11"/>
        <color theme="1"/>
        <rFont val="Noto Sans CJK SC"/>
        <family val="2"/>
      </rPr>
      <t xml:space="preserve">示範）｜在建</t>
    </r>
  </si>
  <si>
    <t xml:space="preserve">2025-10-14</t>
  </si>
  <si>
    <r>
      <rPr>
        <sz val="11"/>
        <color theme="1"/>
        <rFont val="Calibri"/>
        <family val="2"/>
        <charset val="1"/>
      </rPr>
      <t xml:space="preserve">K-1 </t>
    </r>
    <r>
      <rPr>
        <sz val="11"/>
        <color theme="1"/>
        <rFont val="Noto Sans CJK SC"/>
        <family val="2"/>
      </rPr>
      <t xml:space="preserve">先實施 </t>
    </r>
    <r>
      <rPr>
        <sz val="11"/>
        <color theme="1"/>
        <rFont val="Calibri"/>
        <family val="2"/>
        <charset val="1"/>
      </rPr>
      <t xml:space="preserve">800 VDC </t>
    </r>
    <r>
      <rPr>
        <sz val="11"/>
        <color theme="1"/>
        <rFont val="Noto Sans CJK SC"/>
        <family val="2"/>
      </rPr>
      <t xml:space="preserve">且無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，屬實；但日期 </t>
    </r>
    <r>
      <rPr>
        <sz val="11"/>
        <color theme="1"/>
        <rFont val="Calibri"/>
        <family val="2"/>
        <charset val="1"/>
      </rPr>
      <t xml:space="preserve">2025-10-14 </t>
    </r>
    <r>
      <rPr>
        <sz val="11"/>
        <color theme="1"/>
        <rFont val="Noto Sans CJK SC"/>
        <family val="2"/>
      </rPr>
      <t xml:space="preserve">是原文明載，並非「頁面推估」，備註不精確。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以公司本人稿來說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</t>
    </r>
  </si>
  <si>
    <t xml:space="preserve">https://www.foxconn.com/en-us/press-center/press-releases/latest-news/1848</t>
  </si>
  <si>
    <t xml:space="preserve">S#351</t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</si>
  <si>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</si>
  <si>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｜全園區（規劃容量）｜規劃</t>
    </r>
  </si>
  <si>
    <t xml:space="preserve">2026-08-19</t>
  </si>
  <si>
    <r>
      <rPr>
        <sz val="11"/>
        <color theme="1"/>
        <rFont val="Noto Sans CJK SC"/>
        <family val="2"/>
      </rPr>
      <t xml:space="preserve">原文有 </t>
    </r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，是公司稱的現有園區容量。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Q1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Sea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GDS </t>
    </r>
    <r>
      <rPr>
        <sz val="11"/>
        <color theme="1"/>
        <rFont val="Noto Sans CJK SC"/>
        <family val="2"/>
      </rPr>
      <t xml:space="preserve">等在原文找不到，應來自他處。</t>
    </r>
  </si>
  <si>
    <t xml:space="preserve">https://theedgemalaysia.com/node/815134</t>
  </si>
  <si>
    <t xml:space="preserve">S#352</t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</si>
  <si>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｜全園區（已簽約容量）｜簽約</t>
    </r>
  </si>
  <si>
    <t xml:space="preserve">298 MW</t>
  </si>
  <si>
    <r>
      <rPr>
        <sz val="11"/>
        <color theme="1"/>
        <rFont val="Calibri"/>
        <family val="2"/>
        <charset val="1"/>
      </rPr>
      <t xml:space="preserve">298MW </t>
    </r>
    <r>
      <rPr>
        <sz val="11"/>
        <color theme="1"/>
        <rFont val="Noto Sans CJK SC"/>
        <family val="2"/>
      </rPr>
      <t xml:space="preserve">簽約、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月時點皆相符。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欄填文件日，但備註已寫明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月。</t>
    </r>
    <r>
      <rPr>
        <sz val="11"/>
        <color theme="1"/>
        <rFont val="Calibri"/>
        <family val="2"/>
        <charset val="1"/>
      </rPr>
      <t xml:space="preserve">Wikipedia </t>
    </r>
    <r>
      <rPr>
        <sz val="11"/>
        <color theme="1"/>
        <rFont val="Noto Sans CJK SC"/>
        <family val="2"/>
      </rPr>
      <t xml:space="preserve">部分不在本來源。</t>
    </r>
  </si>
  <si>
    <t xml:space="preserve">S#353</t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</si>
  <si>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｜全園區（擴建目標）｜規劃</t>
    </r>
  </si>
  <si>
    <r>
      <rPr>
        <sz val="11"/>
        <color theme="1"/>
        <rFont val="Calibri"/>
        <family val="2"/>
        <charset val="1"/>
      </rPr>
      <t xml:space="preserve">1,000MW </t>
    </r>
    <r>
      <rPr>
        <sz val="11"/>
        <color theme="1"/>
        <rFont val="Noto Sans CJK SC"/>
        <family val="2"/>
      </rPr>
      <t xml:space="preserve">擴建目標與由 </t>
    </r>
    <r>
      <rPr>
        <sz val="11"/>
        <color theme="1"/>
        <rFont val="Calibri"/>
        <family val="2"/>
        <charset val="1"/>
      </rPr>
      <t xml:space="preserve">600MW </t>
    </r>
    <r>
      <rPr>
        <sz val="11"/>
        <color theme="1"/>
        <rFont val="Noto Sans CJK SC"/>
        <family val="2"/>
      </rPr>
      <t xml:space="preserve">增加皆相符。</t>
    </r>
    <r>
      <rPr>
        <sz val="11"/>
        <color theme="1"/>
        <rFont val="Calibri"/>
        <family val="2"/>
        <charset val="1"/>
      </rPr>
      <t xml:space="preserve">Sedenak 145</t>
    </r>
    <r>
      <rPr>
        <sz val="11"/>
        <color theme="1"/>
        <rFont val="Noto Sans CJK SC"/>
        <family val="2"/>
      </rPr>
      <t xml:space="preserve">英畝新園區在原文也有。</t>
    </r>
  </si>
  <si>
    <t xml:space="preserve">S#354</t>
  </si>
  <si>
    <t xml:space="preserve">YTL Data Center Holdings</t>
  </si>
  <si>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JDC1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Sea </t>
    </r>
    <r>
      <rPr>
        <sz val="11"/>
        <color theme="1"/>
        <rFont val="Noto Sans CJK SC"/>
        <family val="2"/>
      </rPr>
      <t xml:space="preserve">主租戶 </t>
    </r>
    <r>
      <rPr>
        <sz val="11"/>
        <color theme="1"/>
        <rFont val="Calibri"/>
        <family val="2"/>
        <charset val="1"/>
      </rPr>
      <t xml:space="preserve">colo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</si>
  <si>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Calibri"/>
        <family val="2"/>
        <charset val="1"/>
      </rPr>
      <t xml:space="preserve">48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Sea </t>
    </r>
    <r>
      <rPr>
        <sz val="11"/>
        <color theme="1"/>
        <rFont val="Noto Sans CJK SC"/>
        <family val="2"/>
      </rPr>
      <t xml:space="preserve">錨定租戶、首期 </t>
    </r>
    <r>
      <rPr>
        <sz val="11"/>
        <color theme="1"/>
        <rFont val="Calibri"/>
        <family val="2"/>
        <charset val="1"/>
      </rPr>
      <t xml:space="preserve">72MW </t>
    </r>
    <r>
      <rPr>
        <sz val="11"/>
        <color theme="1"/>
        <rFont val="Noto Sans CJK SC"/>
        <family val="2"/>
      </rPr>
      <t xml:space="preserve">皆屬實。原文只寫 </t>
    </r>
    <r>
      <rPr>
        <sz val="11"/>
        <color theme="1"/>
        <rFont val="Calibri"/>
        <family val="2"/>
        <charset val="1"/>
      </rPr>
      <t xml:space="preserve">target 2024</t>
    </r>
    <r>
      <rPr>
        <sz val="11"/>
        <color theme="1"/>
        <rFont val="Noto Sans CJK SC"/>
        <family val="2"/>
      </rPr>
      <t xml:space="preserve">，沒有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32MW </t>
    </r>
    <r>
      <rPr>
        <sz val="11"/>
        <color theme="1"/>
        <rFont val="Noto Sans CJK SC"/>
        <family val="2"/>
      </rPr>
      <t xml:space="preserve">與「營運者回報 </t>
    </r>
    <r>
      <rPr>
        <sz val="11"/>
        <color theme="1"/>
        <rFont val="Calibri"/>
        <family val="2"/>
        <charset val="1"/>
      </rPr>
      <t xml:space="preserve">48MW</t>
    </r>
    <r>
      <rPr>
        <sz val="11"/>
        <color theme="1"/>
        <rFont val="Noto Sans CJK SC"/>
        <family val="2"/>
      </rPr>
      <t xml:space="preserve">」原文也找不到。</t>
    </r>
  </si>
  <si>
    <t xml:space="preserve">https://arusgrid.com/project/my-jhb-ytl-greendcpark</t>
  </si>
  <si>
    <t xml:space="preserve">S#355</t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</si>
  <si>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AI Cloud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</si>
  <si>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AI Cloud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JDC2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GB200 AI </t>
    </r>
    <r>
      <rPr>
        <sz val="11"/>
        <color theme="1"/>
        <rFont val="Noto Sans CJK SC"/>
        <family val="2"/>
      </rPr>
      <t xml:space="preserve">資料中心／</t>
    </r>
    <r>
      <rPr>
        <sz val="11"/>
        <color theme="1"/>
        <rFont val="Calibri"/>
        <family val="2"/>
        <charset val="1"/>
      </rPr>
      <t xml:space="preserve">YTL AI Cloud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</si>
  <si>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Calibri"/>
        <family val="2"/>
        <charset val="1"/>
      </rPr>
      <t xml:space="preserve">20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目標、</t>
    </r>
    <r>
      <rPr>
        <sz val="11"/>
        <color theme="1"/>
        <rFont val="Calibri"/>
        <family val="2"/>
        <charset val="1"/>
      </rPr>
      <t xml:space="preserve">2025-10-31 </t>
    </r>
    <r>
      <rPr>
        <sz val="11"/>
        <color theme="1"/>
        <rFont val="Noto Sans CJK SC"/>
        <family val="2"/>
      </rPr>
      <t xml:space="preserve">完工皆屬實。原文的超大規模客戶是整個園區的客戶，沒有指向 </t>
    </r>
    <r>
      <rPr>
        <sz val="11"/>
        <color theme="1"/>
        <rFont val="Calibri"/>
        <family val="2"/>
        <charset val="1"/>
      </rPr>
      <t xml:space="preserve">JDC2</t>
    </r>
    <r>
      <rPr>
        <sz val="11"/>
        <color theme="1"/>
        <rFont val="Noto Sans CJK SC"/>
        <family val="2"/>
      </rPr>
      <t xml:space="preserve">。</t>
    </r>
  </si>
  <si>
    <t xml:space="preserve">S#356</t>
  </si>
  <si>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JDC3</t>
    </r>
    <r>
      <rPr>
        <sz val="11"/>
        <color theme="1"/>
        <rFont val="Noto Sans CJK SC"/>
        <family val="2"/>
      </rPr>
      <t xml:space="preserve">（第二座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資料中心）｜在建</t>
    </r>
  </si>
  <si>
    <r>
      <rPr>
        <sz val="11"/>
        <color theme="1"/>
        <rFont val="Noto Sans CJK SC"/>
        <family val="2"/>
      </rPr>
      <t xml:space="preserve">在建、無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、使用者未揭露皆與原文一致。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出自另一來源，本頁不需核對。</t>
    </r>
  </si>
  <si>
    <t xml:space="preserve">S#357</t>
  </si>
  <si>
    <t xml:space="preserve">Racks Central</t>
  </si>
  <si>
    <r>
      <rPr>
        <sz val="11"/>
        <color theme="1"/>
        <rFont val="Calibri"/>
        <family val="2"/>
        <charset val="1"/>
      </rPr>
      <t xml:space="preserve">Racks Central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Racks Central Johor AI Campus (RCJM1–4)</t>
    </r>
    <r>
      <rPr>
        <sz val="11"/>
        <color theme="1"/>
        <rFont val="Noto Sans CJK SC"/>
        <family val="2"/>
      </rPr>
      <t xml:space="preserve">｜全園區｜在建</t>
    </r>
  </si>
  <si>
    <t xml:space="preserve">510 MW</t>
  </si>
  <si>
    <r>
      <rPr>
        <sz val="11"/>
        <color theme="1"/>
        <rFont val="Calibri"/>
        <family val="2"/>
        <charset val="1"/>
      </rPr>
      <t xml:space="preserve">510 MW </t>
    </r>
    <r>
      <rPr>
        <sz val="11"/>
        <color theme="1"/>
        <rFont val="Noto Sans CJK SC"/>
        <family val="2"/>
      </rPr>
      <t xml:space="preserve">為全園區上限，屬實。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僅指 </t>
    </r>
    <r>
      <rPr>
        <sz val="11"/>
        <color theme="1"/>
        <rFont val="Calibri"/>
        <family val="2"/>
        <charset val="1"/>
      </rPr>
      <t xml:space="preserve">RCJM1</t>
    </r>
    <r>
      <rPr>
        <sz val="11"/>
        <color theme="1"/>
        <rFont val="Noto Sans CJK SC"/>
        <family val="2"/>
      </rPr>
      <t xml:space="preserve">，不是全園區。各期相加 </t>
    </r>
    <r>
      <rPr>
        <sz val="11"/>
        <color theme="1"/>
        <rFont val="Calibri"/>
        <family val="2"/>
        <charset val="1"/>
      </rPr>
      <t xml:space="preserve">410 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ESR </t>
    </r>
    <r>
      <rPr>
        <sz val="11"/>
        <color theme="1"/>
        <rFont val="Noto Sans CJK SC"/>
        <family val="2"/>
      </rPr>
      <t xml:space="preserve">說法在本文找不到。</t>
    </r>
  </si>
  <si>
    <t xml:space="preserve">https://www.rackscentral.com/news/racks-central-celebrates-milestone-for-southeast-asia-s-first-ai-factory-campus-in-johor</t>
  </si>
  <si>
    <t xml:space="preserve">S#358</t>
  </si>
  <si>
    <r>
      <rPr>
        <sz val="11"/>
        <color theme="1"/>
        <rFont val="Calibri"/>
        <family val="2"/>
        <charset val="1"/>
      </rPr>
      <t xml:space="preserve">Racks Central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Racks Central Johor AI Campus (RCJM1–4)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RCJM1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Phase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）｜在建</t>
    </r>
  </si>
  <si>
    <t xml:space="preserve">70 MW</t>
  </si>
  <si>
    <r>
      <rPr>
        <sz val="11"/>
        <color theme="1"/>
        <rFont val="Calibri"/>
        <family val="2"/>
        <charset val="1"/>
      </rPr>
      <t xml:space="preserve">70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Phase A </t>
    </r>
    <r>
      <rPr>
        <sz val="11"/>
        <color theme="1"/>
        <rFont val="Noto Sans CJK SC"/>
        <family val="2"/>
      </rPr>
      <t xml:space="preserve">全數承諾、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月早期進場皆屬實。但原文明寫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不應填未說明。</t>
    </r>
  </si>
  <si>
    <t xml:space="preserve">S#359</t>
  </si>
  <si>
    <r>
      <rPr>
        <sz val="11"/>
        <color theme="1"/>
        <rFont val="Calibri"/>
        <family val="2"/>
        <charset val="1"/>
      </rPr>
      <t xml:space="preserve">Racks Central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Racks Central Johor AI Campus (RCJM1–4)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RCJM2A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Phase B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</si>
  <si>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Calibri"/>
        <family val="2"/>
        <charset val="1"/>
      </rPr>
      <t xml:space="preserve">120MW </t>
    </r>
    <r>
      <rPr>
        <sz val="11"/>
        <color theme="1"/>
        <rFont val="Noto Sans CJK SC"/>
        <family val="2"/>
      </rPr>
      <t xml:space="preserve">全數預訂屬實，但原文稱 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RCJM2A/Phase B</t>
    </r>
    <r>
      <rPr>
        <sz val="11"/>
        <color theme="1"/>
        <rFont val="Noto Sans CJK SC"/>
        <family val="2"/>
      </rPr>
      <t xml:space="preserve">。原文未寫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年完工（僅 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1Q2027</t>
    </r>
    <r>
      <rPr>
        <sz val="11"/>
        <color theme="1"/>
        <rFont val="Noto Sans CJK SC"/>
        <family val="2"/>
      </rPr>
      <t xml:space="preserve">）；也未提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175MW</t>
    </r>
    <r>
      <rPr>
        <sz val="11"/>
        <color theme="1"/>
        <rFont val="Noto Sans CJK SC"/>
        <family val="2"/>
      </rPr>
      <t xml:space="preserve">。日期 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為文章日，演講為前一日。</t>
    </r>
  </si>
  <si>
    <t xml:space="preserve">https://w.media/racks-centrals-aidc-phase-1-on-track-to-open-in-1q-2027/</t>
  </si>
  <si>
    <t xml:space="preserve">S#360</t>
  </si>
  <si>
    <r>
      <rPr>
        <sz val="11"/>
        <color theme="1"/>
        <rFont val="Calibri"/>
        <family val="2"/>
        <charset val="1"/>
      </rPr>
      <t xml:space="preserve">Racks Central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Racks Central Johor AI Campus (RCJM1–4)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RCJM2B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</si>
  <si>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頁面只有招聘、</t>
    </r>
    <r>
      <rPr>
        <sz val="11"/>
        <color theme="1"/>
        <rFont val="Calibri"/>
        <family val="2"/>
        <charset val="1"/>
      </rPr>
      <t xml:space="preserve">CTFS </t>
    </r>
    <r>
      <rPr>
        <sz val="11"/>
        <color theme="1"/>
        <rFont val="Noto Sans CJK SC"/>
        <family val="2"/>
      </rPr>
      <t xml:space="preserve">投資等貼文，沒有 </t>
    </r>
    <r>
      <rPr>
        <sz val="11"/>
        <color theme="1"/>
        <rFont val="Calibri"/>
        <family val="2"/>
        <charset val="1"/>
      </rPr>
      <t xml:space="preserve">RCJM2B 200 MW </t>
    </r>
    <r>
      <rPr>
        <sz val="11"/>
        <color theme="1"/>
        <rFont val="Noto Sans CJK SC"/>
        <family val="2"/>
      </rPr>
      <t xml:space="preserve">的說法，也沒有 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轉述。可能在登入後內容或其他頁面。</t>
    </r>
  </si>
  <si>
    <t xml:space="preserve">https://www.linkedin.com/in/john-ng-6384502b/</t>
  </si>
  <si>
    <t xml:space="preserve">S#361</t>
  </si>
  <si>
    <r>
      <rPr>
        <sz val="11"/>
        <color theme="1"/>
        <rFont val="Calibri"/>
        <family val="2"/>
        <charset val="1"/>
      </rPr>
      <t xml:space="preserve">Racks Central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Racks Central Johor AI Campus (RCJM1–4)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RCJM3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</si>
  <si>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頁面完全沒有 </t>
    </r>
    <r>
      <rPr>
        <sz val="11"/>
        <color theme="1"/>
        <rFont val="Calibri"/>
        <family val="2"/>
        <charset val="1"/>
      </rPr>
      <t xml:space="preserve">RCJM3 20 MW </t>
    </r>
    <r>
      <rPr>
        <sz val="11"/>
        <color theme="1"/>
        <rFont val="Noto Sans CJK SC"/>
        <family val="2"/>
      </rPr>
      <t xml:space="preserve">的數字或討論，也沒有 </t>
    </r>
    <r>
      <rPr>
        <sz val="11"/>
        <color theme="1"/>
        <rFont val="Calibri"/>
        <family val="2"/>
        <charset val="1"/>
      </rPr>
      <t xml:space="preserve">w.media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300 MW </t>
    </r>
    <r>
      <rPr>
        <sz val="11"/>
        <color theme="1"/>
        <rFont val="Noto Sans CJK SC"/>
        <family val="2"/>
      </rPr>
      <t xml:space="preserve">說法。</t>
    </r>
  </si>
  <si>
    <t xml:space="preserve">S#362</t>
  </si>
  <si>
    <r>
      <rPr>
        <sz val="11"/>
        <color theme="1"/>
        <rFont val="Calibri"/>
        <family val="2"/>
        <charset val="1"/>
      </rPr>
      <t xml:space="preserve">TM Nxera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Nxera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</si>
  <si>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TM Nxera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Nxera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Nxera–TM Johor AI Campus</t>
    </r>
    <r>
      <rPr>
        <sz val="11"/>
        <color theme="1"/>
        <rFont val="Noto Sans CJK SC"/>
        <family val="2"/>
      </rPr>
      <t xml:space="preserve">｜第一期（第一棟）｜在建</t>
    </r>
  </si>
  <si>
    <t xml:space="preserve">64 MW</t>
  </si>
  <si>
    <t xml:space="preserve">2026-04-13</t>
  </si>
  <si>
    <r>
      <rPr>
        <sz val="11"/>
        <color theme="1"/>
        <rFont val="Calibri"/>
        <family val="2"/>
        <charset val="1"/>
      </rPr>
      <t xml:space="preserve">64MW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、日期皆吻合。但「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下半年商運」是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泛指</t>
    </r>
    <r>
      <rPr>
        <sz val="11"/>
        <color theme="1"/>
        <rFont val="Calibri"/>
        <family val="2"/>
        <charset val="1"/>
      </rPr>
      <t xml:space="preserve">Johor</t>
    </r>
    <r>
      <rPr>
        <sz val="11"/>
        <color theme="1"/>
        <rFont val="Noto Sans CJK SC"/>
        <family val="2"/>
      </rPr>
      <t xml:space="preserve">設施的敘述，不是公司對第一期的官方說法；來源標題也寫成公司本人。</t>
    </r>
  </si>
  <si>
    <t xml:space="preserve">https://www.datacenterdynamics.com/en/news/singtels-nxera-and-telekom-malaysia-top-out-data-center-in-johor/</t>
  </si>
  <si>
    <t xml:space="preserve">S#363</t>
  </si>
  <si>
    <r>
      <rPr>
        <sz val="11"/>
        <color theme="1"/>
        <rFont val="Calibri"/>
        <family val="2"/>
        <charset val="1"/>
      </rPr>
      <t xml:space="preserve">TM Nxera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Nxera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Nxera–TM Johor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</si>
  <si>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2026-01-12</t>
  </si>
  <si>
    <r>
      <rPr>
        <sz val="11"/>
        <color theme="1"/>
        <rFont val="Noto Sans CJK SC"/>
        <family val="2"/>
      </rPr>
      <t xml:space="preserve">原文確為「</t>
    </r>
    <r>
      <rPr>
        <sz val="11"/>
        <color theme="1"/>
        <rFont val="Calibri"/>
        <family val="2"/>
        <charset val="1"/>
      </rPr>
      <t xml:space="preserve">scalable capacity of more than 200MW</t>
    </r>
    <r>
      <rPr>
        <sz val="11"/>
        <color theme="1"/>
        <rFont val="Noto Sans CJK SC"/>
        <family val="2"/>
      </rPr>
      <t xml:space="preserve">」，來源為公司稿屬利害關係人。但 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寫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而原文是「逾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」；另 </t>
    </r>
    <r>
      <rPr>
        <sz val="11"/>
        <color theme="1"/>
        <rFont val="Calibri"/>
        <family val="2"/>
        <charset val="1"/>
      </rPr>
      <t xml:space="preserve">Nxera </t>
    </r>
    <r>
      <rPr>
        <sz val="11"/>
        <color theme="1"/>
        <rFont val="Noto Sans CJK SC"/>
        <family val="2"/>
      </rPr>
      <t xml:space="preserve">官網與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月稿的說法不在此原文，無法由此核對。</t>
    </r>
  </si>
  <si>
    <t xml:space="preserve">https://www.tm.com.my/news/tm_nxera_green_data_centre_campus</t>
  </si>
  <si>
    <t xml:space="preserve">S#364</t>
  </si>
  <si>
    <r>
      <rPr>
        <sz val="11"/>
        <color theme="1"/>
        <rFont val="Calibri"/>
        <family val="2"/>
        <charset val="1"/>
      </rPr>
      <t xml:space="preserve">TM Nxera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Nxera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Nxera–TM Johor AI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TNB </t>
    </r>
    <r>
      <rPr>
        <sz val="11"/>
        <color theme="1"/>
        <rFont val="Noto Sans CJK SC"/>
        <family val="2"/>
      </rPr>
      <t xml:space="preserve">供電合約）｜簽約</t>
    </r>
  </si>
  <si>
    <r>
      <rPr>
        <sz val="11"/>
        <color theme="1"/>
        <rFont val="Calibri"/>
        <family val="2"/>
        <charset val="1"/>
      </rPr>
      <t xml:space="preserve">280MW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TNB </t>
    </r>
    <r>
      <rPr>
        <sz val="11"/>
        <color theme="1"/>
        <rFont val="Noto Sans CJK SC"/>
        <family val="2"/>
      </rPr>
      <t xml:space="preserve">多年期供電協議、</t>
    </r>
    <r>
      <rPr>
        <sz val="11"/>
        <color theme="1"/>
        <rFont val="Calibri"/>
        <family val="2"/>
        <charset val="1"/>
      </rPr>
      <t xml:space="preserve">2026-01-12 </t>
    </r>
    <r>
      <rPr>
        <sz val="11"/>
        <color theme="1"/>
        <rFont val="Noto Sans CJK SC"/>
        <family val="2"/>
      </rPr>
      <t xml:space="preserve">皆屬實，且是電力合約量。但原文未提 </t>
    </r>
    <r>
      <rPr>
        <sz val="11"/>
        <color theme="1"/>
        <rFont val="Calibri"/>
        <family val="2"/>
        <charset val="1"/>
      </rPr>
      <t xml:space="preserve">TM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Nxera 49%</t>
    </r>
    <r>
      <rPr>
        <sz val="11"/>
        <color theme="1"/>
        <rFont val="Noto Sans CJK SC"/>
        <family val="2"/>
      </rPr>
      <t xml:space="preserve">，這部分在此來源找不到。</t>
    </r>
  </si>
  <si>
    <t xml:space="preserve">S#365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</si>
  <si>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JHB1 (ex-Yondr), Sedenak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</si>
  <si>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300MW+ IT</t>
    </r>
    <r>
      <rPr>
        <sz val="11"/>
        <color theme="1"/>
        <rFont val="Noto Sans CJK SC"/>
        <family val="2"/>
      </rPr>
      <t xml:space="preserve">、三棟、首棟已運轉其餘開發中皆屬實，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合理。但原文無日期，「</t>
    </r>
    <r>
      <rPr>
        <sz val="11"/>
        <color theme="1"/>
        <rFont val="Calibri"/>
        <family val="2"/>
        <charset val="1"/>
      </rPr>
      <t xml:space="preserve">153</t>
    </r>
    <r>
      <rPr>
        <sz val="11"/>
        <color theme="1"/>
        <rFont val="Noto Sans CJK SC"/>
        <family val="2"/>
      </rPr>
      <t xml:space="preserve">天前」推估日期與「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稱</t>
    </r>
    <r>
      <rPr>
        <sz val="11"/>
        <color theme="1"/>
        <rFont val="Calibri"/>
        <family val="2"/>
        <charset val="1"/>
      </rPr>
      <t xml:space="preserve">72.5MW</t>
    </r>
    <r>
      <rPr>
        <sz val="11"/>
        <color theme="1"/>
        <rFont val="Noto Sans CJK SC"/>
        <family val="2"/>
      </rPr>
      <t xml:space="preserve">」皆不在此原文，且「</t>
    </r>
    <r>
      <rPr>
        <sz val="11"/>
        <color theme="1"/>
        <rFont val="Calibri"/>
        <family val="2"/>
        <charset val="1"/>
      </rPr>
      <t xml:space="preserve">ex-Yondr</t>
    </r>
    <r>
      <rPr>
        <sz val="11"/>
        <color theme="1"/>
        <rFont val="Noto Sans CJK SC"/>
        <family val="2"/>
      </rPr>
      <t xml:space="preserve">」亦未見。</t>
    </r>
  </si>
  <si>
    <t xml:space="preserve">https://vantage-dc.com/data-center-locations/apac/johor-malaysia</t>
  </si>
  <si>
    <t xml:space="preserve">S#366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</si>
  <si>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（前開發商 </t>
    </r>
    <r>
      <rPr>
        <sz val="11"/>
        <color theme="1"/>
        <rFont val="Calibri"/>
        <family val="2"/>
        <charset val="1"/>
      </rPr>
      <t xml:space="preserve">Yondr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</si>
  <si>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（前開發商 </t>
    </r>
    <r>
      <rPr>
        <sz val="11"/>
        <color theme="1"/>
        <rFont val="Calibri"/>
        <family val="2"/>
        <charset val="1"/>
      </rPr>
      <t xml:space="preserve">Yondr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Vantage JHB1 (ex-Yondr), Sedenak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JHB11</t>
    </r>
    <r>
      <rPr>
        <sz val="11"/>
        <color theme="1"/>
        <rFont val="Noto Sans CJK SC"/>
        <family val="2"/>
      </rPr>
      <t xml:space="preserve">（第一期，三棟中的第一棟）｜在建</t>
    </r>
  </si>
  <si>
    <t xml:space="preserve">98 MW</t>
  </si>
  <si>
    <t xml:space="preserve">2024-12-23</t>
  </si>
  <si>
    <r>
      <rPr>
        <sz val="11"/>
        <color theme="1"/>
        <rFont val="Calibri"/>
        <family val="2"/>
        <charset val="1"/>
      </rPr>
      <t xml:space="preserve">98MW</t>
    </r>
    <r>
      <rPr>
        <sz val="11"/>
        <color theme="1"/>
        <rFont val="Noto Sans CJK SC"/>
        <family val="2"/>
      </rPr>
      <t xml:space="preserve">、第一期、</t>
    </r>
    <r>
      <rPr>
        <sz val="11"/>
        <color theme="1"/>
        <rFont val="Calibri"/>
        <family val="2"/>
        <charset val="1"/>
      </rPr>
      <t xml:space="preserve">2024-12-23 </t>
    </r>
    <r>
      <rPr>
        <sz val="11"/>
        <color theme="1"/>
        <rFont val="Noto Sans CJK SC"/>
        <family val="2"/>
      </rPr>
      <t xml:space="preserve">與原文一致，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未說明也合理。但 </t>
    </r>
    <r>
      <rPr>
        <sz val="11"/>
        <color theme="1"/>
        <rFont val="Calibri"/>
        <family val="2"/>
        <charset val="1"/>
      </rPr>
      <t xml:space="preserve">IFC </t>
    </r>
    <r>
      <rPr>
        <sz val="11"/>
        <color theme="1"/>
        <rFont val="Noto Sans CJK SC"/>
        <family val="2"/>
      </rPr>
      <t xml:space="preserve">是出資方，新聞稿還引述 </t>
    </r>
    <r>
      <rPr>
        <sz val="11"/>
        <color theme="1"/>
        <rFont val="Calibri"/>
        <family val="2"/>
        <charset val="1"/>
      </rPr>
      <t xml:space="preserve">Yondr </t>
    </r>
    <r>
      <rPr>
        <sz val="11"/>
        <color theme="1"/>
        <rFont val="Noto Sans CJK SC"/>
        <family val="2"/>
      </rPr>
      <t xml:space="preserve">高層，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應偏 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。三棟、</t>
    </r>
    <r>
      <rPr>
        <sz val="11"/>
        <color theme="1"/>
        <rFont val="Calibri"/>
        <family val="2"/>
        <charset val="1"/>
      </rPr>
      <t xml:space="preserve">JHB11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DCNN </t>
    </r>
    <r>
      <rPr>
        <sz val="11"/>
        <color theme="1"/>
        <rFont val="Noto Sans CJK SC"/>
        <family val="2"/>
      </rPr>
      <t xml:space="preserve">說法在原文找不到，但屬其他來源註記。</t>
    </r>
  </si>
  <si>
    <t xml:space="preserve">https://www.ifc.org/en/pressroom/2024/ifc-and-global-lenders-finance-yondr-s-data-center-project-in-malaysia</t>
  </si>
  <si>
    <t xml:space="preserve">S#367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</si>
  <si>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（前開發商 </t>
    </r>
    <r>
      <rPr>
        <sz val="11"/>
        <color theme="1"/>
        <rFont val="Calibri"/>
        <family val="2"/>
        <charset val="1"/>
      </rPr>
      <t xml:space="preserve">Yondr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Vantage JHB1 (ex-Yondr), Sedenak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JHB11 </t>
    </r>
    <r>
      <rPr>
        <sz val="11"/>
        <color theme="1"/>
        <rFont val="Noto Sans CJK SC"/>
        <family val="2"/>
      </rPr>
      <t xml:space="preserve">首批交付｜上線</t>
    </r>
  </si>
  <si>
    <t xml:space="preserve">2025-06-06</t>
  </si>
  <si>
    <r>
      <rPr>
        <sz val="11"/>
        <color theme="1"/>
        <rFont val="Calibri"/>
        <family val="2"/>
        <charset val="1"/>
      </rPr>
      <t xml:space="preserve">25MW IT</t>
    </r>
    <r>
      <rPr>
        <sz val="11"/>
        <color theme="1"/>
        <rFont val="Noto Sans CJK SC"/>
        <family val="2"/>
      </rPr>
      <t xml:space="preserve">、提早六個月、</t>
    </r>
    <r>
      <rPr>
        <sz val="11"/>
        <color theme="1"/>
        <rFont val="Calibri"/>
        <family val="2"/>
        <charset val="1"/>
      </rPr>
      <t xml:space="preserve">Yondr </t>
    </r>
    <r>
      <rPr>
        <sz val="11"/>
        <color theme="1"/>
        <rFont val="Noto Sans CJK SC"/>
        <family val="2"/>
      </rPr>
      <t xml:space="preserve">自述皆屬實。原文無日期，</t>
    </r>
    <r>
      <rPr>
        <sz val="11"/>
        <color theme="1"/>
        <rFont val="Calibri"/>
        <family val="2"/>
        <charset val="1"/>
      </rPr>
      <t xml:space="preserve">6/6 </t>
    </r>
    <r>
      <rPr>
        <sz val="11"/>
        <color theme="1"/>
        <rFont val="Noto Sans CJK SC"/>
        <family val="2"/>
      </rPr>
      <t xml:space="preserve">為推估（證據表已註明）。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填「公司本人」而非文章標題。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說法原文找不到，屬外部補充。</t>
    </r>
  </si>
  <si>
    <t xml:space="preserve">https://dcnnmagazine.com/data-centres/yondrs-first-milestone-at-johor-data-centre/</t>
  </si>
  <si>
    <t xml:space="preserve">S#368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</si>
  <si>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JHB1 (ex-Yondr), Sedenak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JHB13</t>
    </r>
    <r>
      <rPr>
        <sz val="11"/>
        <color theme="1"/>
        <rFont val="Noto Sans CJK SC"/>
        <family val="2"/>
      </rPr>
      <t xml:space="preserve">（第二、三棟）｜規劃</t>
    </r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</si>
  <si>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JHB12 </t>
    </r>
    <r>
      <rPr>
        <sz val="11"/>
        <color theme="1"/>
        <rFont val="Noto Sans CJK SC"/>
        <family val="2"/>
      </rPr>
      <t xml:space="preserve">為第二棟、規劃年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年發包基樁工程；</t>
    </r>
    <r>
      <rPr>
        <sz val="11"/>
        <color theme="1"/>
        <rFont val="Calibri"/>
        <family val="2"/>
        <charset val="1"/>
      </rPr>
      <t xml:space="preserve">JHB13 </t>
    </r>
    <r>
      <rPr>
        <sz val="11"/>
        <color theme="1"/>
        <rFont val="Noto Sans CJK SC"/>
        <family val="2"/>
      </rPr>
      <t xml:space="preserve">為第三棟。頁面無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數據，與列中「無分期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」相符。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標籤與第三方彙整的說明大致合理。</t>
    </r>
  </si>
  <si>
    <t xml:space="preserve">https://baxtel.com/data-center/vantage-jhb12</t>
  </si>
  <si>
    <t xml:space="preserve">S#369</t>
  </si>
  <si>
    <t xml:space="preserve">DayOne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</si>
  <si>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NTP+KTP </t>
    </r>
    <r>
      <rPr>
        <sz val="11"/>
        <color theme="1"/>
        <rFont val="Noto Sans CJK SC"/>
        <family val="2"/>
      </rPr>
      <t xml:space="preserve">營運中）｜上線</t>
    </r>
  </si>
  <si>
    <t xml:space="preserve">478 MW</t>
  </si>
  <si>
    <r>
      <rPr>
        <sz val="11"/>
        <color theme="1"/>
        <rFont val="Noto Sans CJK SC"/>
        <family val="2"/>
      </rPr>
      <t xml:space="preserve">原文為「逾</t>
    </r>
    <r>
      <rPr>
        <sz val="11"/>
        <color theme="1"/>
        <rFont val="Calibri"/>
        <family val="2"/>
        <charset val="1"/>
      </rPr>
      <t xml:space="preserve">478MW</t>
    </r>
    <r>
      <rPr>
        <sz val="11"/>
        <color theme="1"/>
        <rFont val="Noto Sans CJK SC"/>
        <family val="2"/>
      </rPr>
      <t xml:space="preserve">」，表中寫成精確值</t>
    </r>
    <r>
      <rPr>
        <sz val="11"/>
        <color theme="1"/>
        <rFont val="Calibri"/>
        <family val="2"/>
        <charset val="1"/>
      </rPr>
      <t xml:space="preserve">478</t>
    </r>
    <r>
      <rPr>
        <sz val="11"/>
        <color theme="1"/>
        <rFont val="Noto Sans CJK SC"/>
        <family val="2"/>
      </rPr>
      <t xml:space="preserve">。基準為營運容量，未區分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或設施。官網</t>
    </r>
    <r>
      <rPr>
        <sz val="11"/>
        <color theme="1"/>
        <rFont val="Calibri"/>
        <family val="2"/>
        <charset val="1"/>
      </rPr>
      <t xml:space="preserve">390MW</t>
    </r>
    <r>
      <rPr>
        <sz val="11"/>
        <color theme="1"/>
        <rFont val="Noto Sans CJK SC"/>
        <family val="2"/>
      </rPr>
      <t xml:space="preserve">、延遲交付、</t>
    </r>
    <r>
      <rPr>
        <sz val="11"/>
        <color theme="1"/>
        <rFont val="Calibri"/>
        <family val="2"/>
        <charset val="1"/>
      </rPr>
      <t xml:space="preserve">ByteDance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等說法在此文找不到。</t>
    </r>
  </si>
  <si>
    <t xml:space="preserve">https://missionmedia.asia/dayone-data-centers-malaysia-training-hub-expansion/</t>
  </si>
  <si>
    <t xml:space="preserve">S#370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</si>
  <si>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Johor </t>
    </r>
    <r>
      <rPr>
        <sz val="11"/>
        <color theme="1"/>
        <rFont val="Noto Sans CJK SC"/>
        <family val="2"/>
      </rPr>
      <t xml:space="preserve">訂約量）｜簽約</t>
    </r>
  </si>
  <si>
    <r>
      <rPr>
        <sz val="11"/>
        <color theme="1"/>
        <rFont val="Calibri"/>
        <family val="2"/>
        <charset val="1"/>
      </rPr>
      <t xml:space="preserve">1.4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家客戶、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家超大規模業者皆與原文相符。但文章日期是 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（申報日 </t>
    </r>
    <r>
      <rPr>
        <sz val="11"/>
        <color theme="1"/>
        <rFont val="Calibri"/>
        <family val="2"/>
        <charset val="1"/>
      </rPr>
      <t xml:space="preserve">10-05</t>
    </r>
    <r>
      <rPr>
        <sz val="11"/>
        <color theme="1"/>
        <rFont val="Noto Sans CJK SC"/>
        <family val="2"/>
      </rPr>
      <t xml:space="preserve">），並非 </t>
    </r>
    <r>
      <rPr>
        <sz val="11"/>
        <color theme="1"/>
        <rFont val="Calibri"/>
        <family val="2"/>
        <charset val="1"/>
      </rPr>
      <t xml:space="preserve">10-07</t>
    </r>
    <r>
      <rPr>
        <sz val="11"/>
        <color theme="1"/>
        <rFont val="Noto Sans CJK SC"/>
        <family val="2"/>
      </rPr>
      <t xml:space="preserve">。原文用 </t>
    </r>
    <r>
      <rPr>
        <sz val="11"/>
        <color theme="1"/>
        <rFont val="Calibri"/>
        <family val="2"/>
        <charset val="1"/>
      </rPr>
      <t xml:space="preserve">bookings</t>
    </r>
    <r>
      <rPr>
        <sz val="11"/>
        <color theme="1"/>
        <rFont val="Noto Sans CJK SC"/>
        <family val="2"/>
      </rPr>
      <t xml:space="preserve">，譯為「簽約」略寬鬆。</t>
    </r>
  </si>
  <si>
    <t xml:space="preserve">https://apac.entrepreneur.com/business-news/singapores-dayone-heads-for-nasdaq-as-malaysia-drives-87-of-its-revenue</t>
  </si>
  <si>
    <t xml:space="preserve">S#371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</si>
  <si>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GDS International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</si>
  <si>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GDS International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NTP </t>
    </r>
    <r>
      <rPr>
        <sz val="11"/>
        <color theme="1"/>
        <rFont val="Noto Sans CJK SC"/>
        <family val="2"/>
      </rPr>
      <t xml:space="preserve">第一期（</t>
    </r>
    <r>
      <rPr>
        <sz val="11"/>
        <color theme="1"/>
        <rFont val="Calibri"/>
        <family val="2"/>
        <charset val="1"/>
      </rPr>
      <t xml:space="preserve">NTP1–3</t>
    </r>
    <r>
      <rPr>
        <sz val="11"/>
        <color theme="1"/>
        <rFont val="Noto Sans CJK SC"/>
        <family val="2"/>
      </rPr>
      <t xml:space="preserve">）｜上線</t>
    </r>
  </si>
  <si>
    <t xml:space="preserve">69.5 MW</t>
  </si>
  <si>
    <r>
      <rPr>
        <sz val="11"/>
        <color theme="1"/>
        <rFont val="Noto Sans CJK SC"/>
        <family val="2"/>
      </rPr>
      <t xml:space="preserve">數字、日期、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口徑皆符。但來源是第三方網站編譯，並非公司本人；標 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、「公司本人」與原文不符。</t>
    </r>
  </si>
  <si>
    <t xml:space="preserve">https://getcommercialproperty.com/data-centres/dayone-nusajaya-tech-park</t>
  </si>
  <si>
    <t xml:space="preserve">S#372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</si>
  <si>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NTP </t>
    </r>
    <r>
      <rPr>
        <sz val="11"/>
        <color theme="1"/>
        <rFont val="Noto Sans CJK SC"/>
        <family val="2"/>
      </rPr>
      <t xml:space="preserve">第二期以後（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估計，目前）｜上線</t>
    </r>
  </si>
  <si>
    <r>
      <rPr>
        <sz val="11"/>
        <color theme="1"/>
        <rFont val="Noto Sans CJK SC"/>
        <family val="2"/>
      </rPr>
      <t xml:space="preserve">原文目前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電力為 </t>
    </r>
    <r>
      <rPr>
        <sz val="11"/>
        <color theme="1"/>
        <rFont val="Calibri"/>
        <family val="2"/>
        <charset val="1"/>
      </rPr>
      <t xml:space="preserve">473MW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2026-10-02 </t>
    </r>
    <r>
      <rPr>
        <sz val="11"/>
        <color theme="1"/>
        <rFont val="Noto Sans CJK SC"/>
        <family val="2"/>
      </rPr>
      <t xml:space="preserve">更新）。</t>
    </r>
    <r>
      <rPr>
        <sz val="11"/>
        <color theme="1"/>
        <rFont val="Calibri"/>
        <family val="2"/>
        <charset val="1"/>
      </rPr>
      <t xml:space="preserve">240MW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月的舊時點，不是目前值。排除第一期屬實。</t>
    </r>
  </si>
  <si>
    <t xml:space="preserve">https://epoch.ai/data/ai-data-centers/directory/dayone-nusajaya</t>
  </si>
  <si>
    <t xml:space="preserve">S#373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</si>
  <si>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NTP </t>
    </r>
    <r>
      <rPr>
        <sz val="11"/>
        <color theme="1"/>
        <rFont val="Noto Sans CJK SC"/>
        <family val="2"/>
      </rPr>
      <t xml:space="preserve">第二期以後（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2026 Q4</t>
    </r>
    <r>
      <rPr>
        <sz val="11"/>
        <color theme="1"/>
        <rFont val="Noto Sans CJK SC"/>
        <family val="2"/>
      </rPr>
      <t xml:space="preserve">）｜在建</t>
    </r>
  </si>
  <si>
    <t xml:space="preserve">473 MW</t>
  </si>
  <si>
    <r>
      <rPr>
        <sz val="11"/>
        <color theme="1"/>
        <rFont val="Calibri"/>
        <family val="2"/>
        <charset val="1"/>
      </rPr>
      <t xml:space="preserve">473MW </t>
    </r>
    <r>
      <rPr>
        <sz val="11"/>
        <color theme="1"/>
        <rFont val="Noto Sans CJK SC"/>
        <family val="2"/>
      </rPr>
      <t xml:space="preserve">數字屬實，但原文列為目前已營運（</t>
    </r>
    <r>
      <rPr>
        <sz val="11"/>
        <color theme="1"/>
        <rFont val="Calibri"/>
        <family val="2"/>
        <charset val="1"/>
      </rPr>
      <t xml:space="preserve">Operational</t>
    </r>
    <r>
      <rPr>
        <sz val="11"/>
        <color theme="1"/>
        <rFont val="Noto Sans CJK SC"/>
        <family val="2"/>
      </rPr>
      <t xml:space="preserve">），並非在建，也未寫「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升至」。</t>
    </r>
    <r>
      <rPr>
        <sz val="11"/>
        <color theme="1"/>
        <rFont val="Calibri"/>
        <family val="2"/>
        <charset val="1"/>
      </rPr>
      <t xml:space="preserve">Oct 2 </t>
    </r>
    <r>
      <rPr>
        <sz val="11"/>
        <color theme="1"/>
        <rFont val="Noto Sans CJK SC"/>
        <family val="2"/>
      </rPr>
      <t xml:space="preserve">是預估的全面營運時點。</t>
    </r>
  </si>
  <si>
    <t xml:space="preserve">S#374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</si>
  <si>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Kempas Tech Park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KTP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</si>
  <si>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Noto Sans CJK SC"/>
        <family val="2"/>
      </rPr>
      <t xml:space="preserve">官網只列兩園區合計容量（</t>
    </r>
    <r>
      <rPr>
        <sz val="11"/>
        <color theme="1"/>
        <rFont val="Calibri"/>
        <family val="2"/>
        <charset val="1"/>
      </rPr>
      <t xml:space="preserve">390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478 MW </t>
    </r>
    <r>
      <rPr>
        <sz val="11"/>
        <color theme="1"/>
        <rFont val="Noto Sans CJK SC"/>
        <family val="2"/>
      </rPr>
      <t xml:space="preserve">並存），未單列 </t>
    </r>
    <r>
      <rPr>
        <sz val="11"/>
        <color theme="1"/>
        <rFont val="Calibri"/>
        <family val="2"/>
        <charset val="1"/>
      </rPr>
      <t xml:space="preserve">KTP</t>
    </r>
    <r>
      <rPr>
        <sz val="11"/>
        <color theme="1"/>
        <rFont val="Noto Sans CJK SC"/>
        <family val="2"/>
      </rPr>
      <t xml:space="preserve">，頁面未標日期，與列內說法一致。</t>
    </r>
    <r>
      <rPr>
        <sz val="11"/>
        <color theme="1"/>
        <rFont val="Calibri"/>
        <family val="2"/>
        <charset val="1"/>
      </rPr>
      <t xml:space="preserve">108MW </t>
    </r>
    <r>
      <rPr>
        <sz val="11"/>
        <color theme="1"/>
        <rFont val="Noto Sans CJK SC"/>
        <family val="2"/>
      </rPr>
      <t xml:space="preserve">部落格說法不在本頁，但列中已註明未採用。</t>
    </r>
  </si>
  <si>
    <t xml:space="preserve">https://dayonedc.com/market/johor</t>
  </si>
  <si>
    <t xml:space="preserve">S#375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</si>
  <si>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DDCM III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</si>
  <si>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DDCM III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Gerbang Nusajaya </t>
    </r>
    <r>
      <rPr>
        <sz val="11"/>
        <color theme="1"/>
        <rFont val="Noto Sans CJK SC"/>
        <family val="2"/>
      </rPr>
      <t xml:space="preserve">新購地（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Noto Sans CJK SC"/>
        <family val="2"/>
      </rPr>
      <t xml:space="preserve">英畝）｜規劃</t>
    </r>
  </si>
  <si>
    <t xml:space="preserve">2026-06-26</t>
  </si>
  <si>
    <r>
      <rPr>
        <sz val="11"/>
        <color theme="1"/>
        <rFont val="Noto Sans CJK SC"/>
        <family val="2"/>
      </rPr>
      <t xml:space="preserve">價格、未公布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、農地轉用、</t>
    </r>
    <r>
      <rPr>
        <sz val="11"/>
        <color theme="1"/>
        <rFont val="Calibri"/>
        <family val="2"/>
        <charset val="1"/>
      </rPr>
      <t xml:space="preserve">2027 H2 </t>
    </r>
    <r>
      <rPr>
        <sz val="11"/>
        <color theme="1"/>
        <rFont val="Noto Sans CJK SC"/>
        <family val="2"/>
      </rPr>
      <t xml:space="preserve">完成皆屬實。原文地點是 </t>
    </r>
    <r>
      <rPr>
        <sz val="11"/>
        <color theme="1"/>
        <rFont val="Calibri"/>
        <family val="2"/>
        <charset val="1"/>
      </rPr>
      <t xml:space="preserve">Tanjung Kupang</t>
    </r>
    <r>
      <rPr>
        <sz val="11"/>
        <color theme="1"/>
        <rFont val="Noto Sans CJK SC"/>
        <family val="2"/>
      </rPr>
      <t xml:space="preserve">，沒有 </t>
    </r>
    <r>
      <rPr>
        <sz val="11"/>
        <color theme="1"/>
        <rFont val="Calibri"/>
        <family val="2"/>
        <charset val="1"/>
      </rPr>
      <t xml:space="preserve">Gerbang Nusajaya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公頃約 </t>
    </r>
    <r>
      <rPr>
        <sz val="11"/>
        <color theme="1"/>
        <rFont val="Calibri"/>
        <family val="2"/>
        <charset val="1"/>
      </rPr>
      <t xml:space="preserve">64 </t>
    </r>
    <r>
      <rPr>
        <sz val="11"/>
        <color theme="1"/>
        <rFont val="Noto Sans CJK SC"/>
        <family val="2"/>
      </rPr>
      <t xml:space="preserve">英畝，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Noto Sans CJK SC"/>
        <family val="2"/>
      </rPr>
      <t xml:space="preserve">為近似。申報人是賣方 </t>
    </r>
    <r>
      <rPr>
        <sz val="11"/>
        <color theme="1"/>
        <rFont val="Calibri"/>
        <family val="2"/>
        <charset val="1"/>
      </rPr>
      <t xml:space="preserve">Paragon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，「公司本人」標示稍偏。</t>
    </r>
  </si>
  <si>
    <t xml:space="preserve">https://w.media/dayone-deepens-johor-data-center-push-with-us-96-6-million-land-deal/</t>
  </si>
  <si>
    <t xml:space="preserve">S#376</t>
  </si>
  <si>
    <t xml:space="preserve">Firmus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</si>
  <si>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 Malaysia AI Factories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KVTP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Kuala Lumpur</t>
    </r>
    <r>
      <rPr>
        <sz val="11"/>
        <color theme="1"/>
        <rFont val="Noto Sans CJK SC"/>
        <family val="2"/>
      </rPr>
      <t xml:space="preserve">）｜簽約</t>
    </r>
  </si>
  <si>
    <t xml:space="preserve">192 MW</t>
  </si>
  <si>
    <r>
      <rPr>
        <sz val="11"/>
        <color theme="1"/>
        <rFont val="Calibri"/>
        <family val="2"/>
        <charset val="1"/>
      </rPr>
      <t xml:space="preserve">192MW </t>
    </r>
    <r>
      <rPr>
        <sz val="11"/>
        <color theme="1"/>
        <rFont val="Noto Sans CJK SC"/>
        <family val="2"/>
      </rPr>
      <t xml:space="preserve">是規劃中的新增算力，並非簽約容量。原文也沒有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、租用第三方機房或招股文件載明的說法。「</t>
    </r>
    <r>
      <rPr>
        <sz val="11"/>
        <color theme="1"/>
        <rFont val="Calibri"/>
        <family val="2"/>
        <charset val="1"/>
      </rPr>
      <t xml:space="preserve">Phased completion from 2027</t>
    </r>
    <r>
      <rPr>
        <sz val="11"/>
        <color theme="1"/>
        <rFont val="Noto Sans CJK SC"/>
        <family val="2"/>
      </rPr>
      <t xml:space="preserve">」是分階段完工自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起，不是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完工。</t>
    </r>
  </si>
  <si>
    <t xml:space="preserve">https://www.smartcompany.com.au/artificial-intelligence/firmus-could-slash-share-price-by-nearly-20-or-pull-ipo/</t>
  </si>
  <si>
    <t xml:space="preserve">S#377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</si>
  <si>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 Malaysia AI Factories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SVTP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Kuala Lumpur</t>
    </r>
    <r>
      <rPr>
        <sz val="11"/>
        <color theme="1"/>
        <rFont val="Noto Sans CJK SC"/>
        <family val="2"/>
      </rPr>
      <t xml:space="preserve">）｜簽約</t>
    </r>
  </si>
  <si>
    <t xml:space="preserve">206 MW</t>
  </si>
  <si>
    <r>
      <rPr>
        <sz val="11"/>
        <color theme="1"/>
        <rFont val="Calibri"/>
        <family val="2"/>
        <charset val="1"/>
      </rPr>
      <t xml:space="preserve">206MW </t>
    </r>
    <r>
      <rPr>
        <sz val="11"/>
        <color theme="1"/>
        <rFont val="Noto Sans CJK SC"/>
        <family val="2"/>
      </rPr>
      <t xml:space="preserve">是專案規劃容量（</t>
    </r>
    <r>
      <rPr>
        <sz val="11"/>
        <color theme="1"/>
        <rFont val="Calibri"/>
        <family val="2"/>
        <charset val="1"/>
      </rPr>
      <t xml:space="preserve">would provide</t>
    </r>
    <r>
      <rPr>
        <sz val="11"/>
        <color theme="1"/>
        <rFont val="Noto Sans CJK SC"/>
        <family val="2"/>
      </rPr>
      <t xml:space="preserve">），原文未稱已簽約。來源是經券商摘要流傳的內容，招股書要到 </t>
    </r>
    <r>
      <rPr>
        <sz val="11"/>
        <color theme="1"/>
        <rFont val="Calibri"/>
        <family val="2"/>
        <charset val="1"/>
      </rPr>
      <t xml:space="preserve">10/12 </t>
    </r>
    <r>
      <rPr>
        <sz val="11"/>
        <color theme="1"/>
        <rFont val="Noto Sans CJK SC"/>
        <family val="2"/>
      </rPr>
      <t xml:space="preserve">才送件，不是招股文件。標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</t>
    </r>
  </si>
  <si>
    <t xml:space="preserve">https://www.startupdaily.net/topic/asx/firmus-will-spend-4-4-billion-on-servers-and-deployment-from-asx-raise/</t>
  </si>
  <si>
    <t xml:space="preserve">S#378</t>
  </si>
  <si>
    <t xml:space="preserve">Galaxy Data Center</t>
  </si>
  <si>
    <r>
      <rPr>
        <sz val="11"/>
        <color theme="1"/>
        <rFont val="Calibri"/>
        <family val="2"/>
        <charset val="1"/>
      </rPr>
      <t xml:space="preserve">Galaxy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Data Center Banchang Campus</t>
    </r>
    <r>
      <rPr>
        <sz val="11"/>
        <color theme="1"/>
        <rFont val="Noto Sans CJK SC"/>
        <family val="2"/>
      </rPr>
      <t xml:space="preserve">｜全園區｜規劃</t>
    </r>
  </si>
  <si>
    <t xml:space="preserve">404 MW</t>
  </si>
  <si>
    <r>
      <rPr>
        <sz val="11"/>
        <color theme="1"/>
        <rFont val="Calibri"/>
        <family val="2"/>
        <charset val="1"/>
      </rPr>
      <t xml:space="preserve">404MW IT </t>
    </r>
    <r>
      <rPr>
        <sz val="11"/>
        <color theme="1"/>
        <rFont val="Noto Sans CJK SC"/>
        <family val="2"/>
      </rPr>
      <t xml:space="preserve">與原文一致，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利害關係人合理；頁面無發布日，日期為查詢日，已註明。</t>
    </r>
    <r>
      <rPr>
        <sz val="11"/>
        <color theme="1"/>
        <rFont val="Calibri"/>
        <family val="2"/>
        <charset val="1"/>
      </rPr>
      <t xml:space="preserve">dcpulse </t>
    </r>
    <r>
      <rPr>
        <sz val="11"/>
        <color theme="1"/>
        <rFont val="Noto Sans CJK SC"/>
        <family val="2"/>
      </rPr>
      <t xml:space="preserve">部分不在原文，屬研究者說明，不影響數值。</t>
    </r>
  </si>
  <si>
    <t xml:space="preserve">https://www.galaxy-dc.com/</t>
  </si>
  <si>
    <t xml:space="preserve">S#379</t>
  </si>
  <si>
    <t xml:space="preserve">Galaxy Peak Data Center Co., Ltd.</t>
  </si>
  <si>
    <r>
      <rPr>
        <sz val="11"/>
        <color theme="1"/>
        <rFont val="Calibri"/>
        <family val="2"/>
        <charset val="1"/>
      </rPr>
      <t xml:space="preserve">Galaxy Peak Data Center Co., Ltd.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Data Center Banchang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Peak Data Center Co., Ltd.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核准案）｜規劃</t>
    </r>
  </si>
  <si>
    <t xml:space="preserve">160 MW</t>
  </si>
  <si>
    <t xml:space="preserve">2025-05-19</t>
  </si>
  <si>
    <r>
      <rPr>
        <sz val="11"/>
        <color theme="1"/>
        <rFont val="Calibri"/>
        <family val="2"/>
        <charset val="1"/>
      </rPr>
      <t xml:space="preserve">160MW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23.55 </t>
    </r>
    <r>
      <rPr>
        <sz val="11"/>
        <color theme="1"/>
        <rFont val="Noto Sans CJK SC"/>
        <family val="2"/>
      </rPr>
      <t xml:space="preserve">十億泰銖、</t>
    </r>
    <r>
      <rPr>
        <sz val="11"/>
        <color theme="1"/>
        <rFont val="Calibri"/>
        <family val="2"/>
        <charset val="1"/>
      </rPr>
      <t xml:space="preserve">Rayong </t>
    </r>
    <r>
      <rPr>
        <sz val="11"/>
        <color theme="1"/>
        <rFont val="Noto Sans CJK SC"/>
        <family val="2"/>
      </rPr>
      <t xml:space="preserve">皆屬實。但來源是 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官方新聞稿，卻標為第三方；與 </t>
    </r>
    <r>
      <rPr>
        <sz val="11"/>
        <color theme="1"/>
        <rFont val="Calibri"/>
        <family val="2"/>
        <charset val="1"/>
      </rPr>
      <t xml:space="preserve">Banchang </t>
    </r>
    <r>
      <rPr>
        <sz val="11"/>
        <color theme="1"/>
        <rFont val="Noto Sans CJK SC"/>
        <family val="2"/>
      </rPr>
      <t xml:space="preserve">園區的對應原文未提，列中自己也說未經官方確認，不該標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</si>
  <si>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https://www.boi.go.th/index.php?page=press_releases_detail&amp;topic_id=136939&amp;_module=news&amp;from_page=press_releases2&amp;language=en</t>
  </si>
  <si>
    <t xml:space="preserve">S#380</t>
  </si>
  <si>
    <r>
      <rPr>
        <sz val="11"/>
        <color theme="1"/>
        <rFont val="Calibri"/>
        <family val="2"/>
        <charset val="1"/>
      </rPr>
      <t xml:space="preserve">Galaxy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Data Center Banchang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Data Center Pte. Ltd.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核准案）｜規劃</t>
    </r>
  </si>
  <si>
    <r>
      <rPr>
        <sz val="11"/>
        <color theme="1"/>
        <rFont val="Calibri"/>
        <family val="2"/>
        <charset val="1"/>
      </rPr>
      <t xml:space="preserve">150MW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22.31 </t>
    </r>
    <r>
      <rPr>
        <sz val="11"/>
        <color theme="1"/>
        <rFont val="Noto Sans CJK SC"/>
        <family val="2"/>
      </rPr>
      <t xml:space="preserve">十億泰銖（</t>
    </r>
    <r>
      <rPr>
        <sz val="11"/>
        <color theme="1"/>
        <rFont val="Calibri"/>
        <family val="2"/>
        <charset val="1"/>
      </rPr>
      <t xml:space="preserve">223.1 </t>
    </r>
    <r>
      <rPr>
        <sz val="11"/>
        <color theme="1"/>
        <rFont val="Noto Sans CJK SC"/>
        <family val="2"/>
      </rPr>
      <t xml:space="preserve">億）、新加坡註冊中資皆屬實。但來源為 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官方，卻標為第三方；與 </t>
    </r>
    <r>
      <rPr>
        <sz val="11"/>
        <color theme="1"/>
        <rFont val="Calibri"/>
        <family val="2"/>
        <charset val="1"/>
      </rPr>
      <t xml:space="preserve">Banchang </t>
    </r>
    <r>
      <rPr>
        <sz val="11"/>
        <color theme="1"/>
        <rFont val="Noto Sans CJK SC"/>
        <family val="2"/>
      </rPr>
      <t xml:space="preserve">園區的對應原文未提，不該標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</si>
  <si>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S#381</t>
  </si>
  <si>
    <t xml:space="preserve">NEXTDC</t>
  </si>
  <si>
    <r>
      <rPr>
        <sz val="11"/>
        <color theme="1"/>
        <rFont val="Calibri"/>
        <family val="2"/>
        <charset val="1"/>
      </rPr>
      <t xml:space="preserve">NEXTDC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NEXTDC S7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</si>
  <si>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612 MW</t>
  </si>
  <si>
    <r>
      <rPr>
        <sz val="11"/>
        <color theme="1"/>
        <rFont val="Calibri"/>
        <family val="2"/>
        <charset val="1"/>
      </rPr>
      <t xml:space="preserve">612MW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2026-07-02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550MW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2024-10</t>
    </r>
    <r>
      <rPr>
        <sz val="11"/>
        <color theme="1"/>
        <rFont val="Noto Sans CJK SC"/>
        <family val="2"/>
      </rPr>
      <t xml:space="preserve">）屬實。但原文是「準備環評報告」，不是「審查中」。</t>
    </r>
    <r>
      <rPr>
        <sz val="11"/>
        <color theme="1"/>
        <rFont val="Calibri"/>
        <family val="2"/>
        <charset val="1"/>
      </rPr>
      <t xml:space="preserve">Capital Brief 650MW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上線、非約束性、初始承租方在此文找不到，應另有來源。</t>
    </r>
  </si>
  <si>
    <t xml:space="preserve">https://www.datacenterdynamics.com/en/news/australian-stargate-data-center-in-sydney-will-offer-612mw-of-capacity/</t>
  </si>
  <si>
    <t xml:space="preserve">S#382</t>
  </si>
  <si>
    <r>
      <rPr>
        <sz val="11"/>
        <color theme="1"/>
        <rFont val="Calibri"/>
        <family val="2"/>
        <charset val="1"/>
      </rPr>
      <t xml:space="preserve">NEXTDC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NEXTDC S7 AI Campus</t>
    </r>
    <r>
      <rPr>
        <sz val="11"/>
        <color theme="1"/>
        <rFont val="Noto Sans CJK SC"/>
        <family val="2"/>
      </rPr>
      <t xml:space="preserve">｜第一期｜規劃</t>
    </r>
  </si>
  <si>
    <r>
      <rPr>
        <sz val="11"/>
        <color theme="1"/>
        <rFont val="Noto Sans CJK SC"/>
        <family val="2"/>
      </rPr>
      <t xml:space="preserve">原文支持公司稱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下半年交付，也未揭露第一期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（只說 </t>
    </r>
    <r>
      <rPr>
        <sz val="11"/>
        <color theme="1"/>
        <rFont val="Calibri"/>
        <family val="2"/>
        <charset val="1"/>
      </rPr>
      <t xml:space="preserve">S7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550MW</t>
    </r>
    <r>
      <rPr>
        <sz val="11"/>
        <color theme="1"/>
        <rFont val="Noto Sans CJK SC"/>
        <family val="2"/>
      </rPr>
      <t xml:space="preserve">）。但「須待核准」和「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月污水冷卻改案」原文都沒有，可能來自其他來源。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寫「公司本人」，實為 </t>
    </r>
    <r>
      <rPr>
        <sz val="11"/>
        <color theme="1"/>
        <rFont val="Calibri"/>
        <family val="2"/>
        <charset val="1"/>
      </rPr>
      <t xml:space="preserve">iTnews </t>
    </r>
    <r>
      <rPr>
        <sz val="11"/>
        <color theme="1"/>
        <rFont val="Noto Sans CJK SC"/>
        <family val="2"/>
      </rPr>
      <t xml:space="preserve">報導。</t>
    </r>
  </si>
  <si>
    <t xml:space="preserve">https://www.itnews.com.au/news/nextdc-to-build-ai-campus-and-gpu-supercluster-in-sydney-622380</t>
  </si>
  <si>
    <t xml:space="preserve">S#383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</si>
  <si>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Southgate (St Leonards, Launceston)</t>
    </r>
    <r>
      <rPr>
        <sz val="11"/>
        <color theme="1"/>
        <rFont val="Noto Sans CJK SC"/>
        <family val="2"/>
      </rPr>
      <t xml:space="preserve">｜全園區｜在建</t>
    </r>
  </si>
  <si>
    <t xml:space="preserve">84 MW</t>
  </si>
  <si>
    <r>
      <rPr>
        <sz val="11"/>
        <color theme="1"/>
        <rFont val="Calibri"/>
        <family val="2"/>
        <charset val="1"/>
      </rPr>
      <t xml:space="preserve">84MW </t>
    </r>
    <r>
      <rPr>
        <sz val="11"/>
        <color theme="1"/>
        <rFont val="Noto Sans CJK SC"/>
        <family val="2"/>
      </rPr>
      <t xml:space="preserve">關鍵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負載屬實。但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上線、原定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上半年、原住民遺物暫停、議會核准 </t>
    </r>
    <r>
      <rPr>
        <sz val="11"/>
        <color theme="1"/>
        <rFont val="Calibri"/>
        <family val="2"/>
        <charset val="1"/>
      </rPr>
      <t xml:space="preserve">90MW </t>
    </r>
    <r>
      <rPr>
        <sz val="11"/>
        <color theme="1"/>
        <rFont val="Noto Sans CJK SC"/>
        <family val="2"/>
      </rPr>
      <t xml:space="preserve">皆查無，「在建」也未明說。最新新聞日是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09-28</t>
    </r>
    <r>
      <rPr>
        <sz val="11"/>
        <color theme="1"/>
        <rFont val="Noto Sans CJK SC"/>
        <family val="2"/>
      </rPr>
      <t xml:space="preserve">。</t>
    </r>
  </si>
  <si>
    <t xml:space="preserve">https://firmus.co/infrastructure/southgate</t>
  </si>
  <si>
    <t xml:space="preserve">S#384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</si>
  <si>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Southgate (St Leonards, Launceston)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1a</t>
    </r>
    <r>
      <rPr>
        <sz val="11"/>
        <color theme="1"/>
        <rFont val="Noto Sans CJK SC"/>
        <family val="2"/>
      </rPr>
      <t xml:space="preserve">｜在建</t>
    </r>
  </si>
  <si>
    <t xml:space="preserve">44 MW</t>
  </si>
  <si>
    <r>
      <rPr>
        <sz val="11"/>
        <color theme="1"/>
        <rFont val="Calibri"/>
        <family val="2"/>
        <charset val="1"/>
      </rPr>
      <t xml:space="preserve">44MW </t>
    </r>
    <r>
      <rPr>
        <sz val="11"/>
        <color theme="1"/>
        <rFont val="Noto Sans CJK SC"/>
        <family val="2"/>
      </rPr>
      <t xml:space="preserve">是議會 </t>
    </r>
    <r>
      <rPr>
        <sz val="11"/>
        <color theme="1"/>
        <rFont val="Calibri"/>
        <family val="2"/>
        <charset val="1"/>
      </rPr>
      <t xml:space="preserve">2025-09 </t>
    </r>
    <r>
      <rPr>
        <sz val="11"/>
        <color theme="1"/>
        <rFont val="Noto Sans CJK SC"/>
        <family val="2"/>
      </rPr>
      <t xml:space="preserve">的核准容量（</t>
    </r>
    <r>
      <rPr>
        <sz val="11"/>
        <color theme="1"/>
        <rFont val="Calibri"/>
        <family val="2"/>
        <charset val="1"/>
      </rPr>
      <t xml:space="preserve">consented</t>
    </r>
    <r>
      <rPr>
        <sz val="11"/>
        <color theme="1"/>
        <rFont val="Noto Sans CJK SC"/>
        <family val="2"/>
      </rPr>
      <t xml:space="preserve">），不是在建容量。原文稱 </t>
    </r>
    <r>
      <rPr>
        <sz val="11"/>
        <color theme="1"/>
        <rFont val="Calibri"/>
        <family val="2"/>
        <charset val="1"/>
      </rPr>
      <t xml:space="preserve">St Leonards </t>
    </r>
    <r>
      <rPr>
        <sz val="11"/>
        <color theme="1"/>
        <rFont val="Noto Sans CJK SC"/>
        <family val="2"/>
      </rPr>
      <t xml:space="preserve">在建、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初啟用，但沒有延遲、原住民遺物、暫停施工或客戶已簽約的說法。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也不宜標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</si>
  <si>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https://certifiedstrategic.com/neoclouds/firmus</t>
  </si>
  <si>
    <t xml:space="preserve">S#385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</si>
  <si>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Southgate (St Leonards, Launceston)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1b</t>
    </r>
    <r>
      <rPr>
        <sz val="11"/>
        <color theme="1"/>
        <rFont val="Noto Sans CJK SC"/>
        <family val="2"/>
      </rPr>
      <t xml:space="preserve">｜規劃</t>
    </r>
  </si>
  <si>
    <t xml:space="preserve">46 MW</t>
  </si>
  <si>
    <t xml:space="preserve">2025-07-02</t>
  </si>
  <si>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44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年皆見於原文，</t>
    </r>
    <r>
      <rPr>
        <sz val="11"/>
        <color theme="1"/>
        <rFont val="Calibri"/>
        <family val="2"/>
        <charset val="1"/>
      </rPr>
      <t xml:space="preserve">90−44=46 </t>
    </r>
    <r>
      <rPr>
        <sz val="11"/>
        <color theme="1"/>
        <rFont val="Noto Sans CJK SC"/>
        <family val="2"/>
      </rPr>
      <t xml:space="preserve">成立。但原文只標「</t>
    </r>
    <r>
      <rPr>
        <sz val="11"/>
        <color theme="1"/>
        <rFont val="Calibri"/>
        <family val="2"/>
        <charset val="1"/>
      </rPr>
      <t xml:space="preserve">July 2025</t>
    </r>
    <r>
      <rPr>
        <sz val="11"/>
        <color theme="1"/>
        <rFont val="Noto Sans CJK SC"/>
        <family val="2"/>
      </rPr>
      <t xml:space="preserve">」，且此頁為 </t>
    </r>
    <r>
      <rPr>
        <sz val="11"/>
        <color theme="1"/>
        <rFont val="Calibri"/>
        <family val="2"/>
        <charset val="1"/>
      </rPr>
      <t xml:space="preserve">Firmus </t>
    </r>
    <r>
      <rPr>
        <sz val="11"/>
        <color theme="1"/>
        <rFont val="Noto Sans CJK SC"/>
        <family val="2"/>
      </rPr>
      <t xml:space="preserve">官方稿，不是「記者推論」。</t>
    </r>
  </si>
  <si>
    <t xml:space="preserve">https://firmus.co/newsroom/tasmanian-world-first-ai-factory-zone-clears-path-for-firmus-project-southgate</t>
  </si>
  <si>
    <t xml:space="preserve">S#386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</si>
  <si>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Southgate (St Leonards, Launceston)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2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</si>
  <si>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原文確有 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第二階段「當時報導規劃、待最終核准」，且 </t>
    </r>
    <r>
      <rPr>
        <sz val="11"/>
        <color theme="1"/>
        <rFont val="Calibri"/>
        <family val="2"/>
        <charset val="1"/>
      </rPr>
      <t xml:space="preserve">Firmus </t>
    </r>
    <r>
      <rPr>
        <sz val="11"/>
        <color theme="1"/>
        <rFont val="Noto Sans CJK SC"/>
        <family val="2"/>
      </rPr>
      <t xml:space="preserve">現行資料已無第二階段數字，與備註一致。利害關係人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可接受；日期為推算。</t>
    </r>
  </si>
  <si>
    <t xml:space="preserve">S#387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</si>
  <si>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CDC Data Centres</t>
    </r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</si>
  <si>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Firmus–CDC Southgate Melbourne AI Factory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Brooklyn </t>
    </r>
    <r>
      <rPr>
        <sz val="11"/>
        <color theme="1"/>
        <rFont val="Noto Sans CJK SC"/>
        <family val="2"/>
      </rPr>
      <t xml:space="preserve">已部署）｜上線</t>
    </r>
  </si>
  <si>
    <r>
      <rPr>
        <sz val="11"/>
        <color theme="1"/>
        <rFont val="Calibri"/>
        <family val="2"/>
        <charset val="1"/>
      </rPr>
      <t xml:space="preserve">42MW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Firmus </t>
    </r>
    <r>
      <rPr>
        <sz val="11"/>
        <color theme="1"/>
        <rFont val="Noto Sans CJK SC"/>
        <family val="2"/>
      </rPr>
      <t xml:space="preserve">自述、服務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皆與原文相符，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正確。原文沒有 </t>
    </r>
    <r>
      <rPr>
        <sz val="11"/>
        <color theme="1"/>
        <rFont val="Calibri"/>
        <family val="2"/>
        <charset val="1"/>
      </rPr>
      <t xml:space="preserve">CDC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40MW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2026-04 </t>
    </r>
    <r>
      <rPr>
        <sz val="11"/>
        <color theme="1"/>
        <rFont val="Noto Sans CJK SC"/>
        <family val="2"/>
      </rPr>
      <t xml:space="preserve">目標，應出自他處。</t>
    </r>
  </si>
  <si>
    <t xml:space="preserve">S#388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</si>
  <si>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Firmus–CDC Southgate Melbourne AI Factory</t>
    </r>
    <r>
      <rPr>
        <sz val="11"/>
        <color theme="1"/>
        <rFont val="Noto Sans CJK SC"/>
        <family val="2"/>
      </rPr>
      <t xml:space="preserve">｜第一期客戶合約（約 </t>
    </r>
    <r>
      <rPr>
        <sz val="11"/>
        <color theme="1"/>
        <rFont val="Calibri"/>
        <family val="2"/>
        <charset val="1"/>
      </rPr>
      <t xml:space="preserve">18,400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）｜簽約</t>
    </r>
  </si>
  <si>
    <t xml:space="preserve">2026-03-02</t>
  </si>
  <si>
    <r>
      <rPr>
        <sz val="11"/>
        <color theme="1"/>
        <rFont val="Noto Sans CJK SC"/>
        <family val="2"/>
      </rPr>
      <t xml:space="preserve">合約規模、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顆數、客戶未具名且無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皆屬實。但原文未提 </t>
    </r>
    <r>
      <rPr>
        <sz val="11"/>
        <color theme="1"/>
        <rFont val="Calibri"/>
        <family val="2"/>
        <charset val="1"/>
      </rPr>
      <t xml:space="preserve">CDC</t>
    </r>
    <r>
      <rPr>
        <sz val="11"/>
        <color theme="1"/>
        <rFont val="Noto Sans CJK SC"/>
        <family val="2"/>
      </rPr>
      <t xml:space="preserve">，也未給墨爾本上線時間；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年底是塔斯馬尼亞園區。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是外部報導，原文沒有。</t>
    </r>
  </si>
  <si>
    <t xml:space="preserve">https://firmus.co/newsroom/firmus-signs-multi-year-agreement-with-global-hyperscale-customer-at-project-southgate</t>
  </si>
  <si>
    <t xml:space="preserve">S#389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</si>
  <si>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Firmus–CDC Southgate Melbourne AI Factory</t>
    </r>
    <r>
      <rPr>
        <sz val="11"/>
        <color theme="1"/>
        <rFont val="Noto Sans CJK SC"/>
        <family val="2"/>
      </rPr>
      <t xml:space="preserve">｜原規劃擴建至 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（已不會擴建）｜規劃</t>
    </r>
  </si>
  <si>
    <r>
      <rPr>
        <sz val="11"/>
        <color theme="1"/>
        <rFont val="Calibri"/>
        <family val="2"/>
        <charset val="1"/>
      </rPr>
      <t xml:space="preserve">150MW </t>
    </r>
    <r>
      <rPr>
        <sz val="11"/>
        <color theme="1"/>
        <rFont val="Noto Sans CJK SC"/>
        <family val="2"/>
      </rPr>
      <t xml:space="preserve">不再擴建屬實（據 </t>
    </r>
    <r>
      <rPr>
        <sz val="11"/>
        <color theme="1"/>
        <rFont val="Calibri"/>
        <family val="2"/>
        <charset val="1"/>
      </rPr>
      <t xml:space="preserve">AFR</t>
    </r>
    <r>
      <rPr>
        <sz val="11"/>
        <color theme="1"/>
        <rFont val="Noto Sans CJK SC"/>
        <family val="2"/>
      </rPr>
      <t xml:space="preserve">）。但「</t>
    </r>
    <r>
      <rPr>
        <sz val="11"/>
        <color theme="1"/>
        <rFont val="Calibri"/>
        <family val="2"/>
        <charset val="1"/>
      </rPr>
      <t xml:space="preserve">150MW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原公告數字」原文未載，原文僅稱最初規劃。「本人說」成分屬 </t>
    </r>
    <r>
      <rPr>
        <sz val="11"/>
        <color theme="1"/>
        <rFont val="Calibri"/>
        <family val="2"/>
        <charset val="1"/>
      </rPr>
      <t xml:space="preserve">AFR </t>
    </r>
    <r>
      <rPr>
        <sz val="11"/>
        <color theme="1"/>
        <rFont val="Noto Sans CJK SC"/>
        <family val="2"/>
      </rPr>
      <t xml:space="preserve">轉述；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與原文日期一致。</t>
    </r>
  </si>
  <si>
    <t xml:space="preserve">https://w.media/firmus-and-cdc-end-project-southgate-partnership-after-42mw-rollout/</t>
  </si>
  <si>
    <t xml:space="preserve">S#390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</si>
  <si>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Firmus–CDC Southgate Melbourne AI Factory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</si>
  <si>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1.6GW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42MW </t>
    </r>
    <r>
      <rPr>
        <sz val="11"/>
        <color theme="1"/>
        <rFont val="Noto Sans CJK SC"/>
        <family val="2"/>
      </rPr>
      <t xml:space="preserve">皆有出現。但原文稱「跨澳洲」是全國部署，而非全園區；「全國目標非墨爾本單點」可成立，</t>
    </r>
    <r>
      <rPr>
        <sz val="11"/>
        <color theme="1"/>
        <rFont val="Calibri"/>
        <family val="2"/>
        <charset val="1"/>
      </rPr>
      <t xml:space="preserve">site_or_scope </t>
    </r>
    <r>
      <rPr>
        <sz val="11"/>
        <color theme="1"/>
        <rFont val="Noto Sans CJK SC"/>
        <family val="2"/>
      </rPr>
      <t xml:space="preserve">寫「全園區」稍偏。</t>
    </r>
  </si>
  <si>
    <t xml:space="preserve">S#391</t>
  </si>
  <si>
    <t xml:space="preserve">Elea Data Centers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</si>
  <si>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RJO1</t>
    </r>
    <r>
      <rPr>
        <sz val="11"/>
        <color theme="1"/>
        <rFont val="Noto Sans CJK SC"/>
        <family val="2"/>
      </rPr>
      <t xml:space="preserve">｜上線</t>
    </r>
  </si>
  <si>
    <t xml:space="preserve">2025-05-08</t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</si>
  <si>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RJO1 </t>
    </r>
    <r>
      <rPr>
        <sz val="11"/>
        <color theme="1"/>
        <rFont val="Noto Sans CJK SC"/>
        <family val="2"/>
      </rPr>
      <t xml:space="preserve">已營運、</t>
    </r>
    <r>
      <rPr>
        <sz val="11"/>
        <color theme="1"/>
        <rFont val="Calibri"/>
        <family val="2"/>
        <charset val="1"/>
      </rPr>
      <t xml:space="preserve">Tier 3</t>
    </r>
    <r>
      <rPr>
        <sz val="11"/>
        <color theme="1"/>
        <rFont val="Noto Sans CJK SC"/>
        <family val="2"/>
      </rPr>
      <t xml:space="preserve">，且未給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奧運、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說法屬外部補充，不影響核對。日期 </t>
    </r>
    <r>
      <rPr>
        <sz val="11"/>
        <color theme="1"/>
        <rFont val="Calibri"/>
        <family val="2"/>
        <charset val="1"/>
      </rPr>
      <t xml:space="preserve">2025-05-08 </t>
    </r>
    <r>
      <rPr>
        <sz val="11"/>
        <color theme="1"/>
        <rFont val="Noto Sans CJK SC"/>
        <family val="2"/>
      </rPr>
      <t xml:space="preserve">與原文相符。</t>
    </r>
  </si>
  <si>
    <t xml:space="preserve">https://www.prnewswire.com/news-releases/elea-announces-rio-ai-city-a-landmark-brazilian-data-center-project-with-capacity-up-to-3-2-gw-of-renewable-energy-supporting-ai-growth-302449289.html</t>
  </si>
  <si>
    <t xml:space="preserve">S#392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</si>
  <si>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RJO2</t>
    </r>
    <r>
      <rPr>
        <sz val="11"/>
        <color theme="1"/>
        <rFont val="Noto Sans CJK SC"/>
        <family val="2"/>
      </rPr>
      <t xml:space="preserve">｜在建</t>
    </r>
  </si>
  <si>
    <t xml:space="preserve">80 MW</t>
  </si>
  <si>
    <t xml:space="preserve">2025-05-16</t>
  </si>
  <si>
    <r>
      <rPr>
        <sz val="11"/>
        <color theme="1"/>
        <rFont val="Noto Sans CJK SC"/>
        <family val="2"/>
      </rPr>
      <t xml:space="preserve">原文：</t>
    </r>
    <r>
      <rPr>
        <sz val="11"/>
        <color theme="1"/>
        <rFont val="Calibri"/>
        <family val="2"/>
        <charset val="1"/>
      </rPr>
      <t xml:space="preserve">RJO2 </t>
    </r>
    <r>
      <rPr>
        <sz val="11"/>
        <color theme="1"/>
        <rFont val="Noto Sans CJK SC"/>
        <family val="2"/>
      </rPr>
      <t xml:space="preserve">在建、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年啟用、</t>
    </r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，與列相符。基準未說明、公司本人說法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正確。「官網近期改稱」的部分不在此頁，屬附加說明，不影響數值。</t>
    </r>
  </si>
  <si>
    <t xml:space="preserve">https://eleadatacenters.com/2025/05/16/cidade-de-data-centers-no-rio-de-janeiro-o-anuncio-bilionario-da-elea/</t>
  </si>
  <si>
    <t xml:space="preserve">S#393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</si>
  <si>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RJO3–RJO4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</si>
  <si>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RJO3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RJO4 </t>
    </r>
    <r>
      <rPr>
        <sz val="11"/>
        <color theme="1"/>
        <rFont val="Noto Sans CJK SC"/>
        <family val="2"/>
      </rPr>
      <t xml:space="preserve">合計增加 </t>
    </r>
    <r>
      <rPr>
        <sz val="11"/>
        <color theme="1"/>
        <rFont val="Calibri"/>
        <family val="2"/>
        <charset val="1"/>
      </rPr>
      <t xml:space="preserve">120MW</t>
    </r>
    <r>
      <rPr>
        <sz val="11"/>
        <color theme="1"/>
        <rFont val="Noto Sans CJK SC"/>
        <family val="2"/>
      </rPr>
      <t xml:space="preserve">，接續 </t>
    </r>
    <r>
      <rPr>
        <sz val="11"/>
        <color theme="1"/>
        <rFont val="Calibri"/>
        <family val="2"/>
        <charset val="1"/>
      </rPr>
      <t xml:space="preserve">RJO2</t>
    </r>
    <r>
      <rPr>
        <sz val="11"/>
        <color theme="1"/>
        <rFont val="Noto Sans CJK SC"/>
        <family val="2"/>
      </rPr>
      <t xml:space="preserve">，原文未給單棟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與時程，與列相符。</t>
    </r>
  </si>
  <si>
    <t xml:space="preserve">S#394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</si>
  <si>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｜第一階段（含 </t>
    </r>
    <r>
      <rPr>
        <sz val="11"/>
        <color theme="1"/>
        <rFont val="Calibri"/>
        <family val="2"/>
        <charset val="1"/>
      </rPr>
      <t xml:space="preserve">RJO1</t>
    </r>
    <r>
      <rPr>
        <sz val="11"/>
        <color theme="1"/>
        <rFont val="Noto Sans CJK SC"/>
        <family val="2"/>
      </rPr>
      <t xml:space="preserve">，目標總量）｜規劃</t>
    </r>
  </si>
  <si>
    <t xml:space="preserve">2026-06-08</t>
  </si>
  <si>
    <r>
      <rPr>
        <sz val="11"/>
        <color theme="1"/>
        <rFont val="Noto Sans CJK SC"/>
        <family val="2"/>
      </rPr>
      <t xml:space="preserve">初期</t>
    </r>
    <r>
      <rPr>
        <sz val="11"/>
        <color theme="1"/>
        <rFont val="Calibri"/>
        <family val="2"/>
        <charset val="1"/>
      </rPr>
      <t xml:space="preserve">1.5GW </t>
    </r>
    <r>
      <rPr>
        <sz val="11"/>
        <color theme="1"/>
        <rFont val="Noto Sans CJK SC"/>
        <family val="2"/>
      </rPr>
      <t xml:space="preserve">屬實，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亦對。但原文未提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JSA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1.8GW </t>
    </r>
    <r>
      <rPr>
        <sz val="11"/>
        <color theme="1"/>
        <rFont val="Noto Sans CJK SC"/>
        <family val="2"/>
      </rPr>
      <t xml:space="preserve">市長說法，且未說明 </t>
    </r>
    <r>
      <rPr>
        <sz val="11"/>
        <color theme="1"/>
        <rFont val="Calibri"/>
        <family val="2"/>
        <charset val="1"/>
      </rPr>
      <t xml:space="preserve">IT/</t>
    </r>
    <r>
      <rPr>
        <sz val="11"/>
        <color theme="1"/>
        <rFont val="Noto Sans CJK SC"/>
        <family val="2"/>
      </rPr>
      <t xml:space="preserve">設施口徑。來源是 </t>
    </r>
    <r>
      <rPr>
        <sz val="11"/>
        <color theme="1"/>
        <rFont val="Calibri"/>
        <family val="2"/>
        <charset val="1"/>
      </rPr>
      <t xml:space="preserve">Teletime </t>
    </r>
    <r>
      <rPr>
        <sz val="11"/>
        <color theme="1"/>
        <rFont val="Noto Sans CJK SC"/>
        <family val="2"/>
      </rPr>
      <t xml:space="preserve">報導引述公司，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寫「公司本人」不準。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年擴至 </t>
    </r>
    <r>
      <rPr>
        <sz val="11"/>
        <color theme="1"/>
        <rFont val="Calibri"/>
        <family val="2"/>
        <charset val="1"/>
      </rPr>
      <t xml:space="preserve">3GW </t>
    </r>
    <r>
      <rPr>
        <sz val="11"/>
        <color theme="1"/>
        <rFont val="Noto Sans CJK SC"/>
        <family val="2"/>
      </rPr>
      <t xml:space="preserve">未入表。</t>
    </r>
  </si>
  <si>
    <t xml:space="preserve">https://teletime.com.br/08/06/2026/elea-data-centers-anuncia-aporte-de-us-550-milhoes-no-rio-ai-city/</t>
  </si>
  <si>
    <t xml:space="preserve">S#395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</si>
  <si>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｜全園區｜規劃</t>
    </r>
  </si>
  <si>
    <t xml:space="preserve">3200 MW</t>
  </si>
  <si>
    <r>
      <rPr>
        <sz val="11"/>
        <color theme="1"/>
        <rFont val="Calibri"/>
        <family val="2"/>
        <charset val="1"/>
      </rPr>
      <t xml:space="preserve">3200 MW </t>
    </r>
    <r>
      <rPr>
        <sz val="11"/>
        <color theme="1"/>
        <rFont val="Noto Sans CJK SC"/>
        <family val="2"/>
      </rPr>
      <t xml:space="preserve">上限、含第一階段 </t>
    </r>
    <r>
      <rPr>
        <sz val="11"/>
        <color theme="1"/>
        <rFont val="Calibri"/>
        <family val="2"/>
        <charset val="1"/>
      </rPr>
      <t xml:space="preserve">1.5GW</t>
    </r>
    <r>
      <rPr>
        <sz val="11"/>
        <color theme="1"/>
        <rFont val="Noto Sans CJK SC"/>
        <family val="2"/>
      </rPr>
      <t xml:space="preserve">、日期皆屬實。</t>
    </r>
    <r>
      <rPr>
        <sz val="11"/>
        <color theme="1"/>
        <rFont val="Calibri"/>
        <family val="2"/>
        <charset val="1"/>
      </rPr>
      <t xml:space="preserve">2032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 Squared 5.5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MoU </t>
    </r>
    <r>
      <rPr>
        <sz val="11"/>
        <color theme="1"/>
        <rFont val="Noto Sans CJK SC"/>
        <family val="2"/>
      </rPr>
      <t xml:space="preserve">不在原文，需由他處佐證，且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引自 </t>
    </r>
    <r>
      <rPr>
        <sz val="11"/>
        <color theme="1"/>
        <rFont val="Calibri"/>
        <family val="2"/>
        <charset val="1"/>
      </rPr>
      <t xml:space="preserve">JSA </t>
    </r>
    <r>
      <rPr>
        <sz val="11"/>
        <color theme="1"/>
        <rFont val="Noto Sans CJK SC"/>
        <family val="2"/>
      </rPr>
      <t xml:space="preserve">報導。</t>
    </r>
  </si>
  <si>
    <t xml:space="preserve">S#396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</si>
  <si>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｜電網接入許可（</t>
    </r>
    <r>
      <rPr>
        <sz val="11"/>
        <color theme="1"/>
        <rFont val="Calibri"/>
        <family val="2"/>
        <charset val="1"/>
      </rPr>
      <t xml:space="preserve">ONS 225MW</t>
    </r>
    <r>
      <rPr>
        <sz val="11"/>
        <color theme="1"/>
        <rFont val="Noto Sans CJK SC"/>
        <family val="2"/>
      </rPr>
      <t xml:space="preserve">）｜規劃</t>
    </r>
  </si>
  <si>
    <t xml:space="preserve">225 MW</t>
  </si>
  <si>
    <t xml:space="preserve">2026-08-24</t>
  </si>
  <si>
    <t xml:space="preserve">https://orbis.borealbrasil.com.br/infocenter_contentview/elea-recebe-parecer-para-conectar-data-center-no-rio-de-janeiro-1787598194687x785928602886864900</t>
  </si>
  <si>
    <t xml:space="preserve">S#397</t>
  </si>
  <si>
    <t xml:space="preserve">Scala Data Centers</t>
  </si>
  <si>
    <r>
      <rPr>
        <sz val="11"/>
        <color theme="1"/>
        <rFont val="Calibri"/>
        <family val="2"/>
        <charset val="1"/>
      </rPr>
      <t xml:space="preserve">Scala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Scala AI City</t>
    </r>
    <r>
      <rPr>
        <sz val="11"/>
        <color theme="1"/>
        <rFont val="Noto Sans CJK SC"/>
        <family val="2"/>
      </rPr>
      <t xml:space="preserve">｜第一期｜規劃</t>
    </r>
  </si>
  <si>
    <t xml:space="preserve">54 MW</t>
  </si>
  <si>
    <r>
      <rPr>
        <sz val="11"/>
        <color theme="1"/>
        <rFont val="Calibri"/>
        <family val="2"/>
        <charset val="1"/>
      </rPr>
      <t xml:space="preserve">54 MW</t>
    </r>
    <r>
      <rPr>
        <sz val="11"/>
        <color theme="1"/>
        <rFont val="Noto Sans CJK SC"/>
        <family val="2"/>
      </rPr>
      <t xml:space="preserve">、首期 </t>
    </r>
    <r>
      <rPr>
        <sz val="11"/>
        <color theme="1"/>
        <rFont val="Calibri"/>
        <family val="2"/>
        <charset val="1"/>
      </rPr>
      <t xml:space="preserve">R$3 </t>
    </r>
    <r>
      <rPr>
        <sz val="11"/>
        <color theme="1"/>
        <rFont val="Noto Sans CJK SC"/>
        <family val="2"/>
      </rPr>
      <t xml:space="preserve">十億（</t>
    </r>
    <r>
      <rPr>
        <sz val="11"/>
        <color theme="1"/>
        <rFont val="Calibri"/>
        <family val="2"/>
        <charset val="1"/>
      </rPr>
      <t xml:space="preserve">=R$30 </t>
    </r>
    <r>
      <rPr>
        <sz val="11"/>
        <color theme="1"/>
        <rFont val="Noto Sans CJK SC"/>
        <family val="2"/>
      </rPr>
      <t xml:space="preserve">億）、日期皆符。但原文未說明是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無依據，應為未說明。</t>
    </r>
  </si>
  <si>
    <t xml:space="preserve">https://www.datacenterdynamics.com/br/not%C3%ADcias/scala-avan%C3%A7a-na-expans%C3%A3o-do-campus-tambor%C3%A9-e-projeta-at%C3%A9-17-data-centers-verticais-em-barueri/</t>
  </si>
  <si>
    <t xml:space="preserve">S#398</t>
  </si>
  <si>
    <r>
      <rPr>
        <sz val="11"/>
        <color theme="1"/>
        <rFont val="Calibri"/>
        <family val="2"/>
        <charset val="1"/>
      </rPr>
      <t xml:space="preserve">Scala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Scala AI City</t>
    </r>
    <r>
      <rPr>
        <sz val="11"/>
        <color theme="1"/>
        <rFont val="Noto Sans CJK SC"/>
        <family val="2"/>
      </rPr>
      <t xml:space="preserve">｜電網接入（</t>
    </r>
    <r>
      <rPr>
        <sz val="11"/>
        <color theme="1"/>
        <rFont val="Calibri"/>
        <family val="2"/>
        <charset val="1"/>
      </rPr>
      <t xml:space="preserve">ONS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Aneel </t>
    </r>
    <r>
      <rPr>
        <sz val="11"/>
        <color theme="1"/>
        <rFont val="Noto Sans CJK SC"/>
        <family val="2"/>
      </rPr>
      <t xml:space="preserve">許可）｜簽約</t>
    </r>
  </si>
  <si>
    <r>
      <rPr>
        <sz val="11"/>
        <color theme="1"/>
        <rFont val="Calibri"/>
        <family val="2"/>
        <charset val="1"/>
      </rPr>
      <t xml:space="preserve">120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月、日期皆屬實。但原文是 </t>
    </r>
    <r>
      <rPr>
        <sz val="11"/>
        <color theme="1"/>
        <rFont val="Calibri"/>
        <family val="2"/>
        <charset val="1"/>
      </rPr>
      <t xml:space="preserve">ONS </t>
    </r>
    <r>
      <rPr>
        <sz val="11"/>
        <color theme="1"/>
        <rFont val="Noto Sans CJK SC"/>
        <family val="2"/>
      </rPr>
      <t xml:space="preserve">的「電力需求」，並非簽約容量。原文只提到 </t>
    </r>
    <r>
      <rPr>
        <sz val="11"/>
        <color theme="1"/>
        <rFont val="Calibri"/>
        <family val="2"/>
        <charset val="1"/>
      </rPr>
      <t xml:space="preserve">CUST </t>
    </r>
    <r>
      <rPr>
        <sz val="11"/>
        <color theme="1"/>
        <rFont val="Noto Sans CJK SC"/>
        <family val="2"/>
      </rPr>
      <t xml:space="preserve">已簽，沒有說 </t>
    </r>
    <r>
      <rPr>
        <sz val="11"/>
        <color theme="1"/>
        <rFont val="Calibri"/>
        <family val="2"/>
        <charset val="1"/>
      </rPr>
      <t xml:space="preserve">120 MW </t>
    </r>
    <r>
      <rPr>
        <sz val="11"/>
        <color theme="1"/>
        <rFont val="Noto Sans CJK SC"/>
        <family val="2"/>
      </rPr>
      <t xml:space="preserve">是簽約量，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標「簽約」口徑有偏。</t>
    </r>
  </si>
  <si>
    <t xml:space="preserve">https://telesintese.com.br/aneel-autoriza-conexao-da-scala-ai-city-a-rede-eletrica-no-rs/</t>
  </si>
  <si>
    <t xml:space="preserve">S#399</t>
  </si>
  <si>
    <r>
      <rPr>
        <sz val="11"/>
        <color theme="1"/>
        <rFont val="Calibri"/>
        <family val="2"/>
        <charset val="1"/>
      </rPr>
      <t xml:space="preserve">Scala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Scala AI City</t>
    </r>
    <r>
      <rPr>
        <sz val="11"/>
        <color theme="1"/>
        <rFont val="Noto Sans CJK SC"/>
        <family val="2"/>
      </rPr>
      <t xml:space="preserve">｜全園區｜規劃</t>
    </r>
  </si>
  <si>
    <t xml:space="preserve">4750 MW</t>
  </si>
  <si>
    <r>
      <rPr>
        <sz val="11"/>
        <color theme="1"/>
        <rFont val="Calibri"/>
        <family val="2"/>
        <charset val="1"/>
      </rPr>
      <t xml:space="preserve">4.75 GW</t>
    </r>
    <r>
      <rPr>
        <sz val="11"/>
        <color theme="1"/>
        <rFont val="Noto Sans CJK SC"/>
        <family val="2"/>
      </rPr>
      <t xml:space="preserve">、最多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m²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MME </t>
    </r>
    <r>
      <rPr>
        <sz val="11"/>
        <color theme="1"/>
        <rFont val="Noto Sans CJK SC"/>
        <family val="2"/>
      </rPr>
      <t xml:space="preserve">授權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併網皆與原文一致。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標未說明正確。</t>
    </r>
  </si>
  <si>
    <t xml:space="preserve">S#400</t>
  </si>
  <si>
    <r>
      <rPr>
        <sz val="11"/>
        <color theme="1"/>
        <rFont val="Calibri"/>
        <family val="2"/>
        <charset val="1"/>
      </rPr>
      <t xml:space="preserve">Omnia Data Centers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Pátria Investimentos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</si>
  <si>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Omnia Data Centers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Pátria Investimentos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ByteDance/TikTok Pecém Data Center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簽約；共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data hall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</si>
  <si>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  <r>
      <rPr>
        <sz val="11"/>
        <color theme="1"/>
        <rFont val="Calibri"/>
        <family val="2"/>
        <charset val="1"/>
      </rPr>
      <t xml:space="preserve">200MW IT</t>
    </r>
    <r>
      <rPr>
        <sz val="11"/>
        <color theme="1"/>
        <rFont val="Noto Sans CJK SC"/>
        <family val="2"/>
      </rPr>
      <t xml:space="preserve">、耗電約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Q3 </t>
    </r>
    <r>
      <rPr>
        <sz val="11"/>
        <color theme="1"/>
        <rFont val="Noto Sans CJK SC"/>
        <family val="2"/>
      </rPr>
      <t xml:space="preserve">上線均與原文一致。但原文未提「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data hall</t>
    </r>
    <r>
      <rPr>
        <sz val="11"/>
        <color theme="1"/>
        <rFont val="Noto Sans CJK SC"/>
        <family val="2"/>
      </rPr>
      <t xml:space="preserve">」，且原文是計畫建置容量（</t>
    </r>
    <r>
      <rPr>
        <sz val="11"/>
        <color theme="1"/>
        <rFont val="Calibri"/>
        <family val="2"/>
        <charset val="1"/>
      </rPr>
      <t xml:space="preserve">obras </t>
    </r>
    <r>
      <rPr>
        <sz val="11"/>
        <color theme="1"/>
        <rFont val="Noto Sans CJK SC"/>
        <family val="2"/>
      </rPr>
      <t xml:space="preserve">在整地階段），非實際在建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利害關係人說法合理。</t>
    </r>
  </si>
  <si>
    <t xml:space="preserve">https://www.abrazpe.org.br/index.php/2026/05/20/omnia-firma-acordo-de-us-2-bi-para-data-center-do-tiktok-no-ce/</t>
  </si>
  <si>
    <t xml:space="preserve">S#401</t>
  </si>
  <si>
    <r>
      <rPr>
        <sz val="11"/>
        <color theme="1"/>
        <rFont val="Calibri"/>
        <family val="2"/>
        <charset val="1"/>
      </rPr>
      <t xml:space="preserve">Omnia Data Centers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Pátria Investimentos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ByteDance/TikTok Pecém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</si>
  <si>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期約</t>
    </r>
    <r>
      <rPr>
        <sz val="11"/>
        <color theme="1"/>
        <rFont val="Calibri"/>
        <family val="2"/>
        <charset val="1"/>
      </rPr>
      <t xml:space="preserve">200MW IT</t>
    </r>
    <r>
      <rPr>
        <sz val="11"/>
        <color theme="1"/>
        <rFont val="Noto Sans CJK SC"/>
        <family val="2"/>
      </rPr>
      <t xml:space="preserve">、口徑未說明皆屬實。但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匿名稱初期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、二期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在本文找不到，且不影響</t>
    </r>
    <r>
      <rPr>
        <sz val="11"/>
        <color theme="1"/>
        <rFont val="Calibri"/>
        <family val="2"/>
        <charset val="1"/>
      </rPr>
      <t xml:space="preserve">1000MW</t>
    </r>
    <r>
      <rPr>
        <sz val="11"/>
        <color theme="1"/>
        <rFont val="Noto Sans CJK SC"/>
        <family val="2"/>
      </rPr>
      <t xml:space="preserve">數值。</t>
    </r>
  </si>
  <si>
    <t xml:space="preserve">https://clickpetroleoegas.com.br/data-center-de-r-200-bilhoes-do-tiktok-comeca-a-sair-do-chao-no-ceara-transforma-o-pecem-em-canteiro-de-infraestrutura-digital-vml97/</t>
  </si>
  <si>
    <t xml:space="preserve">S#402</t>
  </si>
  <si>
    <r>
      <rPr>
        <sz val="11"/>
        <color theme="1"/>
        <rFont val="Calibri"/>
        <family val="2"/>
        <charset val="1"/>
      </rPr>
      <t xml:space="preserve">Sur Energy</t>
    </r>
    <r>
      <rPr>
        <sz val="11"/>
        <color theme="1"/>
        <rFont val="Noto Sans CJK SC"/>
        <family val="2"/>
      </rPr>
      <t xml:space="preserve">（與未具名雲端基建商合資）</t>
    </r>
  </si>
  <si>
    <r>
      <rPr>
        <sz val="11"/>
        <color theme="1"/>
        <rFont val="Calibri"/>
        <family val="2"/>
        <charset val="1"/>
      </rPr>
      <t xml:space="preserve">Sur Energy</t>
    </r>
    <r>
      <rPr>
        <sz val="11"/>
        <color theme="1"/>
        <rFont val="Noto Sans CJK SC"/>
        <family val="2"/>
      </rPr>
      <t xml:space="preserve">（與未具名雲端基建商合資）｜</t>
    </r>
    <r>
      <rPr>
        <sz val="11"/>
        <color theme="1"/>
        <rFont val="Calibri"/>
        <family val="2"/>
        <charset val="1"/>
      </rPr>
      <t xml:space="preserve">Stargate Argentina</t>
    </r>
    <r>
      <rPr>
        <sz val="11"/>
        <color theme="1"/>
        <rFont val="Noto Sans CJK SC"/>
        <family val="2"/>
      </rPr>
      <t xml:space="preserve">｜全園區｜規劃</t>
    </r>
  </si>
  <si>
    <t xml:space="preserve">2025-10-10</t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</si>
  <si>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「最高」、</t>
    </r>
    <r>
      <rPr>
        <sz val="11"/>
        <color theme="1"/>
        <rFont val="Calibri"/>
        <family val="2"/>
        <charset val="1"/>
      </rPr>
      <t xml:space="preserve">LOI</t>
    </r>
    <r>
      <rPr>
        <sz val="11"/>
        <color theme="1"/>
        <rFont val="Noto Sans CJK SC"/>
        <family val="2"/>
      </rPr>
      <t xml:space="preserve">、合資、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為潛在買方皆屬實。但原文無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營運、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Neuquén </t>
    </r>
    <r>
      <rPr>
        <sz val="11"/>
        <color theme="1"/>
        <rFont val="Noto Sans CJK SC"/>
        <family val="2"/>
      </rPr>
      <t xml:space="preserve">場址、</t>
    </r>
    <r>
      <rPr>
        <sz val="11"/>
        <color theme="1"/>
        <rFont val="Calibri"/>
        <family val="2"/>
        <charset val="1"/>
      </rPr>
      <t xml:space="preserve">4/29 </t>
    </r>
    <r>
      <rPr>
        <sz val="11"/>
        <color theme="1"/>
        <rFont val="Noto Sans CJK SC"/>
        <family val="2"/>
      </rPr>
      <t xml:space="preserve">經濟部說法，這些須由其他來源支持。</t>
    </r>
  </si>
  <si>
    <t xml:space="preserve">https://www.sur.energy/press-release</t>
  </si>
  <si>
    <t xml:space="preserve">S#403</t>
  </si>
  <si>
    <r>
      <rPr>
        <sz val="11"/>
        <color theme="1"/>
        <rFont val="Calibri"/>
        <family val="2"/>
        <charset val="1"/>
      </rPr>
      <t xml:space="preserve">Sur Energy</t>
    </r>
    <r>
      <rPr>
        <sz val="11"/>
        <color theme="1"/>
        <rFont val="Noto Sans CJK SC"/>
        <family val="2"/>
      </rPr>
      <t xml:space="preserve">（與未具名雲端基建商合資）｜</t>
    </r>
    <r>
      <rPr>
        <sz val="11"/>
        <color theme="1"/>
        <rFont val="Calibri"/>
        <family val="2"/>
        <charset val="1"/>
      </rPr>
      <t xml:space="preserve">Stargate Argentina</t>
    </r>
    <r>
      <rPr>
        <sz val="11"/>
        <color theme="1"/>
        <rFont val="Noto Sans CJK SC"/>
        <family val="2"/>
      </rPr>
      <t xml:space="preserve">｜第一期（約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</si>
  <si>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2025-10-13 </t>
    </r>
    <r>
      <rPr>
        <sz val="11"/>
        <color theme="1"/>
        <rFont val="Noto Sans CJK SC"/>
        <family val="2"/>
      </rPr>
      <t xml:space="preserve">與原文相符，並明確為報導／當地媒體說法。但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寫「記者推論」並非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標題，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也偏（較接近 </t>
    </r>
    <r>
      <rPr>
        <sz val="11"/>
        <color theme="1"/>
        <rFont val="Calibri"/>
        <family val="2"/>
        <charset val="1"/>
      </rPr>
      <t xml:space="preserve">Derived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延遲說明不在此原文，由他源補充。</t>
    </r>
  </si>
  <si>
    <t xml:space="preserve">https://www.datacenterdynamics.com/en/news/openai-plans-500mw-data-center-in-argentina/</t>
  </si>
  <si>
    <t xml:space="preserve">S#404</t>
  </si>
  <si>
    <t xml:space="preserve">CloudHQ</t>
  </si>
  <si>
    <r>
      <rPr>
        <sz val="11"/>
        <color theme="1"/>
        <rFont val="Calibri"/>
        <family val="2"/>
        <charset val="1"/>
      </rPr>
      <t xml:space="preserve">CloudHQ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CloudHQ Querétaro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</si>
  <si>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升至近</t>
    </r>
    <r>
      <rPr>
        <sz val="11"/>
        <color theme="1"/>
        <rFont val="Calibri"/>
        <family val="2"/>
        <charset val="1"/>
      </rPr>
      <t xml:space="preserve">1,000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、公司宣布皆屬實。但</t>
    </r>
    <r>
      <rPr>
        <sz val="11"/>
        <color theme="1"/>
        <rFont val="Calibri"/>
        <family val="2"/>
        <charset val="1"/>
      </rPr>
      <t xml:space="preserve">2027 Q2</t>
    </r>
    <r>
      <rPr>
        <sz val="11"/>
        <color theme="1"/>
        <rFont val="Noto Sans CJK SC"/>
        <family val="2"/>
      </rPr>
      <t xml:space="preserve">上線、進度符合計畫、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的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在本文找不到；來源是媒體報導，非公司本人。</t>
    </r>
    <r>
      <rPr>
        <sz val="11"/>
        <color theme="1"/>
        <rFont val="Calibri"/>
        <family val="2"/>
        <charset val="1"/>
      </rPr>
      <t xml:space="preserve">value 1000</t>
    </r>
    <r>
      <rPr>
        <sz val="11"/>
        <color theme="1"/>
        <rFont val="Noto Sans CJK SC"/>
        <family val="2"/>
      </rPr>
      <t xml:space="preserve">為約數。</t>
    </r>
  </si>
  <si>
    <t xml:space="preserve">https://rotativo.com.mx/cloudhq-centros-datos-queretaro-energia-san-juan-del-rio</t>
  </si>
  <si>
    <t xml:space="preserve">S#405</t>
  </si>
  <si>
    <r>
      <rPr>
        <sz val="11"/>
        <color theme="1"/>
        <rFont val="Calibri"/>
        <family val="2"/>
        <charset val="1"/>
      </rPr>
      <t xml:space="preserve">CloudHQ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CloudHQ Querétaro Campus</t>
    </r>
    <r>
      <rPr>
        <sz val="11"/>
        <color theme="1"/>
        <rFont val="Noto Sans CJK SC"/>
        <family val="2"/>
      </rPr>
      <t xml:space="preserve">｜首期（已取得電力）｜規劃</t>
    </r>
  </si>
  <si>
    <r>
      <rPr>
        <sz val="11"/>
        <color theme="1"/>
        <rFont val="Noto Sans CJK SC"/>
        <family val="2"/>
      </rPr>
      <t xml:space="preserve">原文有首批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供電、屬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的一部分（</t>
    </r>
    <r>
      <rPr>
        <sz val="11"/>
        <color theme="1"/>
        <rFont val="Calibri"/>
        <family val="2"/>
        <charset val="1"/>
      </rPr>
      <t xml:space="preserve">2025-09-25</t>
    </r>
    <r>
      <rPr>
        <sz val="11"/>
        <color theme="1"/>
        <rFont val="Noto Sans CJK SC"/>
        <family val="2"/>
      </rPr>
      <t xml:space="preserve">）。但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為公司說法卻標 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「公司本人」，原文是媒體轉述；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上線、變電站完工進度、</t>
    </r>
    <r>
      <rPr>
        <sz val="11"/>
        <color theme="1"/>
        <rFont val="Calibri"/>
        <family val="2"/>
        <charset val="1"/>
      </rPr>
      <t xml:space="preserve">BNamericas </t>
    </r>
    <r>
      <rPr>
        <sz val="11"/>
        <color theme="1"/>
        <rFont val="Noto Sans CJK SC"/>
        <family val="2"/>
      </rPr>
      <t xml:space="preserve">引述均不在此文。</t>
    </r>
  </si>
  <si>
    <t xml:space="preserve">https://clusterindustrial.com.mx/cloudhq-invertira-4-800-mdd-en-un-campus-de-seis-centros-de-datos-en-queretaro/</t>
  </si>
  <si>
    <t xml:space="preserve">S#406</t>
  </si>
  <si>
    <r>
      <rPr>
        <sz val="11"/>
        <color theme="1"/>
        <rFont val="Calibri"/>
        <family val="2"/>
        <charset val="1"/>
      </rPr>
      <t xml:space="preserve">CloudHQ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CloudHQ Querétaro Campus</t>
    </r>
    <r>
      <rPr>
        <sz val="11"/>
        <color theme="1"/>
        <rFont val="Noto Sans CJK SC"/>
        <family val="2"/>
      </rPr>
      <t xml:space="preserve">｜六棟設計容量（每棟</t>
    </r>
    <r>
      <rPr>
        <sz val="11"/>
        <color theme="1"/>
        <rFont val="Calibri"/>
        <family val="2"/>
        <charset val="1"/>
      </rPr>
      <t xml:space="preserve">48MW IT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</si>
  <si>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原文引 </t>
    </r>
    <r>
      <rPr>
        <sz val="11"/>
        <color theme="1"/>
        <rFont val="Calibri"/>
        <family val="2"/>
        <charset val="1"/>
      </rPr>
      <t xml:space="preserve">CloudHQ </t>
    </r>
    <r>
      <rPr>
        <sz val="11"/>
        <color theme="1"/>
        <rFont val="Noto Sans CJK SC"/>
        <family val="2"/>
      </rPr>
      <t xml:space="preserve">官網為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棟</t>
    </r>
    <r>
      <rPr>
        <sz val="11"/>
        <color theme="1"/>
        <rFont val="Calibri"/>
        <family val="2"/>
        <charset val="1"/>
      </rPr>
      <t xml:space="preserve">×48MW IT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6×48=288MW </t>
    </r>
    <r>
      <rPr>
        <sz val="11"/>
        <color theme="1"/>
        <rFont val="Noto Sans CJK SC"/>
        <family val="2"/>
      </rPr>
      <t xml:space="preserve">算式正確。</t>
    </r>
    <r>
      <rPr>
        <sz val="11"/>
        <color theme="1"/>
        <rFont val="Calibri"/>
        <family val="2"/>
        <charset val="1"/>
      </rPr>
      <t xml:space="preserve">900MW </t>
    </r>
    <r>
      <rPr>
        <sz val="11"/>
        <color theme="1"/>
        <rFont val="Noto Sans CJK SC"/>
        <family val="2"/>
      </rPr>
      <t xml:space="preserve">為另一說法，原文確實並列未解釋。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年完工為公司主管說法，日期</t>
    </r>
    <r>
      <rPr>
        <sz val="11"/>
        <color theme="1"/>
        <rFont val="Calibri"/>
        <family val="2"/>
        <charset val="1"/>
      </rPr>
      <t xml:space="preserve">2025-09-25</t>
    </r>
    <r>
      <rPr>
        <sz val="11"/>
        <color theme="1"/>
        <rFont val="Noto Sans CJK SC"/>
        <family val="2"/>
      </rPr>
      <t xml:space="preserve">一致。</t>
    </r>
    <r>
      <rPr>
        <sz val="11"/>
        <color theme="1"/>
        <rFont val="Calibri"/>
        <family val="2"/>
        <charset val="1"/>
      </rPr>
      <t xml:space="preserve">tag [Derived] </t>
    </r>
    <r>
      <rPr>
        <sz val="11"/>
        <color theme="1"/>
        <rFont val="Noto Sans CJK SC"/>
        <family val="2"/>
      </rPr>
      <t xml:space="preserve">合理。</t>
    </r>
  </si>
  <si>
    <t xml:space="preserve">https://mexiconewsdaily.com/business/cloudhq-4b-queretaro-data-centers/</t>
  </si>
  <si>
    <t xml:space="preserve">S#407</t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</si>
  <si>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EcoCloud</t>
    </r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</si>
  <si>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EcoCloud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Microsoft–G42 Olkaria AI Campus</t>
    </r>
    <r>
      <rPr>
        <sz val="11"/>
        <color theme="1"/>
        <rFont val="Noto Sans CJK SC"/>
        <family val="2"/>
      </rPr>
      <t xml:space="preserve">｜第一期（初期）｜規劃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</si>
  <si>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月目標、電力不足暫停皆屬實。但付款保證談判破裂、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個月上線、官員稱談判持續、</t>
    </r>
    <r>
      <rPr>
        <sz val="11"/>
        <color theme="1"/>
        <rFont val="Calibri"/>
        <family val="2"/>
        <charset val="1"/>
      </rPr>
      <t xml:space="preserve">DCD/TechRadar </t>
    </r>
    <r>
      <rPr>
        <sz val="11"/>
        <color theme="1"/>
        <rFont val="Noto Sans CJK SC"/>
        <family val="2"/>
      </rPr>
      <t xml:space="preserve">皆不在原文，原文反稱案子已擱置。</t>
    </r>
  </si>
  <si>
    <t xml:space="preserve">https://khusoko.com/2026/05/08/kenya-microsoft-g42-data-centre-suspended-power-capacity/</t>
  </si>
  <si>
    <t xml:space="preserve">S#408</t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</si>
  <si>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EcoCloud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Microsoft–G42 Olkaria AI Campus</t>
    </r>
    <r>
      <rPr>
        <sz val="11"/>
        <color theme="1"/>
        <rFont val="Noto Sans CJK SC"/>
        <family val="2"/>
      </rPr>
      <t xml:space="preserve">｜全園區（遠期擴建）｜規劃</t>
    </r>
  </si>
  <si>
    <t xml:space="preserve">2026-09-07</t>
  </si>
  <si>
    <r>
      <rPr>
        <sz val="11"/>
        <color theme="1"/>
        <rFont val="Noto Sans CJK SC"/>
        <family val="2"/>
      </rPr>
      <t xml:space="preserve">文章日期為 </t>
    </r>
    <r>
      <rPr>
        <sz val="11"/>
        <color theme="1"/>
        <rFont val="Calibri"/>
        <family val="2"/>
        <charset val="1"/>
      </rPr>
      <t xml:space="preserve">2026-05-07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09-07</t>
    </r>
    <r>
      <rPr>
        <sz val="11"/>
        <color theme="1"/>
        <rFont val="Noto Sans CJK SC"/>
        <family val="2"/>
      </rPr>
      <t xml:space="preserve">。原文只稱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為擬議容量，未說是 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稱可擴至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；初期為 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、三分之一、半個國家斷電與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縮編皆屬實。</t>
    </r>
  </si>
  <si>
    <t xml:space="preserve">https://www.datacenterdynamics.com/en/news/microsoft-and-g42-data-center-in-kenya-stalled-due-to-lack-of-power-capacity/</t>
  </si>
  <si>
    <t xml:space="preserve">S#409</t>
  </si>
  <si>
    <t xml:space="preserve">EcoCloud</t>
  </si>
  <si>
    <r>
      <rPr>
        <sz val="11"/>
        <color theme="1"/>
        <rFont val="Calibri"/>
        <family val="2"/>
        <charset val="1"/>
      </rPr>
      <t xml:space="preserve">EcoCloud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Microsoft–G42 Olkaria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EcoCloud Project Eagle </t>
    </r>
    <r>
      <rPr>
        <sz val="11"/>
        <color theme="1"/>
        <rFont val="Noto Sans CJK SC"/>
        <family val="2"/>
      </rPr>
      <t xml:space="preserve">園區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Campus 1</t>
    </r>
    <r>
      <rPr>
        <sz val="11"/>
        <color theme="1"/>
        <rFont val="Noto Sans CJK SC"/>
        <family val="2"/>
      </rPr>
      <t xml:space="preserve">）｜規劃</t>
    </r>
  </si>
  <si>
    <t xml:space="preserve">2023-09-02</t>
  </si>
  <si>
    <t xml:space="preserve">https://aptantech.com/2023/09/02/kengen-commissions-ecocloud-data-centre-at-olkaria-to-run-on-geothermal-energy/</t>
  </si>
  <si>
    <t xml:space="preserve">S#410</t>
  </si>
  <si>
    <r>
      <rPr>
        <sz val="11"/>
        <color theme="1"/>
        <rFont val="Calibri"/>
        <family val="2"/>
        <charset val="1"/>
      </rPr>
      <t xml:space="preserve">EcoCloud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Microsoft–G42 Olkaria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EcoCloud </t>
    </r>
    <r>
      <rPr>
        <sz val="11"/>
        <color theme="1"/>
        <rFont val="Noto Sans CJK SC"/>
        <family val="2"/>
      </rPr>
      <t xml:space="preserve">全部三個園區（</t>
    </r>
    <r>
      <rPr>
        <sz val="11"/>
        <color theme="1"/>
        <rFont val="Calibri"/>
        <family val="2"/>
        <charset val="1"/>
      </rPr>
      <t xml:space="preserve">Campus 1–3</t>
    </r>
    <r>
      <rPr>
        <sz val="11"/>
        <color theme="1"/>
        <rFont val="Noto Sans CJK SC"/>
        <family val="2"/>
      </rPr>
      <t xml:space="preserve">）｜規劃</t>
    </r>
  </si>
  <si>
    <t xml:space="preserve">2023-08-31</t>
  </si>
  <si>
    <r>
      <rPr>
        <sz val="11"/>
        <color theme="1"/>
        <rFont val="Calibri"/>
        <family val="2"/>
        <charset val="1"/>
      </rPr>
      <t xml:space="preserve">60MW IT </t>
    </r>
    <r>
      <rPr>
        <sz val="11"/>
        <color theme="1"/>
        <rFont val="Noto Sans CJK SC"/>
        <family val="2"/>
      </rPr>
      <t xml:space="preserve">及 </t>
    </r>
    <r>
      <rPr>
        <sz val="11"/>
        <color theme="1"/>
        <rFont val="Calibri"/>
        <family val="2"/>
        <charset val="1"/>
      </rPr>
      <t xml:space="preserve">24+24+12 </t>
    </r>
    <r>
      <rPr>
        <sz val="11"/>
        <color theme="1"/>
        <rFont val="Noto Sans CJK SC"/>
        <family val="2"/>
      </rPr>
      <t xml:space="preserve">與原文一致，動工日為週四 </t>
    </r>
    <r>
      <rPr>
        <sz val="11"/>
        <color theme="1"/>
        <rFont val="Calibri"/>
        <family val="2"/>
        <charset val="1"/>
      </rPr>
      <t xml:space="preserve">8/31</t>
    </r>
    <r>
      <rPr>
        <sz val="11"/>
        <color theme="1"/>
        <rFont val="Noto Sans CJK SC"/>
        <family val="2"/>
      </rPr>
      <t xml:space="preserve">。但文章發布日是 </t>
    </r>
    <r>
      <rPr>
        <sz val="11"/>
        <color theme="1"/>
        <rFont val="Calibri"/>
        <family val="2"/>
        <charset val="1"/>
      </rPr>
      <t xml:space="preserve">9/1</t>
    </r>
    <r>
      <rPr>
        <sz val="11"/>
        <color theme="1"/>
        <rFont val="Noto Sans CJK SC"/>
        <family val="2"/>
      </rPr>
      <t xml:space="preserve">，來源是 </t>
    </r>
    <r>
      <rPr>
        <sz val="11"/>
        <color theme="1"/>
        <rFont val="Calibri"/>
        <family val="2"/>
        <charset val="1"/>
      </rPr>
      <t xml:space="preserve">Citizen Digital </t>
    </r>
    <r>
      <rPr>
        <sz val="11"/>
        <color theme="1"/>
        <rFont val="Noto Sans CJK SC"/>
        <family val="2"/>
      </rPr>
      <t xml:space="preserve">報導而非公司文件，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與來源標題略偏。</t>
    </r>
  </si>
  <si>
    <t xml:space="preserve">https://www.citizen.digital/article/geothermal-powered-data-centre-launched-in-olkaria-n326497</t>
  </si>
  <si>
    <r>
      <rPr>
        <sz val="11"/>
        <color theme="1"/>
        <rFont val="Calibri"/>
        <family val="2"/>
        <charset val="1"/>
      </rPr>
      <t xml:space="preserve">Sources — </t>
    </r>
    <r>
      <rPr>
        <sz val="11"/>
        <color theme="1"/>
        <rFont val="Noto Sans CJK SC"/>
        <family val="2"/>
      </rPr>
      <t xml:space="preserve">來源 </t>
    </r>
    <r>
      <rPr>
        <sz val="11"/>
        <color theme="1"/>
        <rFont val="Calibri"/>
        <family val="2"/>
        <charset val="1"/>
      </rPr>
      <t xml:space="preserve">ID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</si>
  <si>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t xml:space="preserve">路徑</t>
  </si>
  <si>
    <r>
      <rPr>
        <sz val="11"/>
        <color theme="1"/>
        <rFont val="Noto Sans CJK SC"/>
        <family val="2"/>
      </rPr>
      <t xml:space="preserve">待證據（</t>
    </r>
    <r>
      <rPr>
        <sz val="11"/>
        <color theme="1"/>
        <rFont val="Calibri"/>
        <family val="2"/>
        <charset val="1"/>
      </rPr>
      <t xml:space="preserve">wattonomics/evidence_raw </t>
    </r>
    <r>
      <rPr>
        <sz val="11"/>
        <color theme="1"/>
        <rFont val="Noto Sans CJK SC"/>
        <family val="2"/>
      </rPr>
      <t xml:space="preserve">由查證代理產出，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端複核後入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）</t>
    </r>
  </si>
  <si>
    <t xml:space="preserve">siliconomics/data/tokenomics_snapshot_v21.7.json</t>
  </si>
  <si>
    <r>
      <rPr>
        <sz val="11"/>
        <color theme="1"/>
        <rFont val="Calibri"/>
        <family val="2"/>
        <charset val="1"/>
      </rPr>
      <t xml:space="preserve">Tokenomics v21.7 </t>
    </r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鏡像）</t>
    </r>
  </si>
  <si>
    <t xml:space="preserve">SRC_GL_002</t>
  </si>
  <si>
    <t xml:space="preserve">siliconomics/data/CURRENT_SNAPSHOT → siliconomics_snapshot_v0.7.1.json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</si>
  <si>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SIL_In </t>
    </r>
    <r>
      <rPr>
        <sz val="11"/>
        <color theme="1"/>
        <rFont val="Noto Sans CJK SC"/>
        <family val="2"/>
      </rPr>
      <t xml:space="preserve">鏡像）</t>
    </r>
  </si>
  <si>
    <r>
      <rPr>
        <sz val="11"/>
        <color theme="1"/>
        <rFont val="Calibri"/>
        <family val="2"/>
        <charset val="1"/>
      </rPr>
      <t xml:space="preserve">docs/plan/20261028_</t>
    </r>
    <r>
      <rPr>
        <sz val="11"/>
        <color theme="1"/>
        <rFont val="Noto Sans CJK SC"/>
        <family val="2"/>
      </rPr>
      <t xml:space="preserve">全市場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帳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規劃</t>
    </r>
    <r>
      <rPr>
        <sz val="11"/>
        <color theme="1"/>
        <rFont val="Calibri"/>
        <family val="2"/>
        <charset val="1"/>
      </rPr>
      <t xml:space="preserve">.md</t>
    </r>
  </si>
  <si>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帳規劃書（第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節單位、</t>
    </r>
    <r>
      <rPr>
        <sz val="11"/>
        <color theme="1"/>
        <rFont val="Calibri"/>
        <family val="2"/>
        <charset val="1"/>
      </rPr>
      <t xml:space="preserve">G6 </t>
    </r>
    <r>
      <rPr>
        <sz val="11"/>
        <color theme="1"/>
        <rFont val="Noto Sans CJK SC"/>
        <family val="2"/>
      </rPr>
      <t xml:space="preserve">容許帶）</t>
    </r>
  </si>
  <si>
    <t xml:space="preserve">wattonomics/docs/workorders/20261028_Wattonomics_v0.1.md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</si>
  <si>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工作單</t>
    </r>
  </si>
  <si>
    <t xml:space="preserve">SRC_GL_005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</si>
  <si>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建置指示：延遲參數佔位值）</t>
    </r>
  </si>
  <si>
    <r>
      <rPr>
        <sz val="11"/>
        <color theme="1"/>
        <rFont val="Calibri"/>
        <family val="2"/>
        <charset val="1"/>
      </rPr>
      <t xml:space="preserve">D1 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綁定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、再延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月（佔位，待 </t>
    </r>
    <r>
      <rPr>
        <sz val="11"/>
        <color theme="1"/>
        <rFont val="Calibri"/>
        <family val="2"/>
        <charset val="1"/>
      </rPr>
      <t xml:space="preserve">B_delay.csv </t>
    </r>
    <r>
      <rPr>
        <sz val="11"/>
        <color theme="1"/>
        <rFont val="Noto Sans CJK SC"/>
        <family val="2"/>
      </rPr>
      <t xml:space="preserve">校準）</t>
    </r>
  </si>
  <si>
    <t xml:space="preserve">microsoft/company.json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</si>
  <si>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texts.mwFacts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aiOpenIT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externalShare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mag.leases.notCommenced</t>
    </r>
  </si>
  <si>
    <t xml:space="preserve">microsoft/data/consensus_msft_20261008.json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</si>
  <si>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</si>
  <si>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alphabet/company.json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</si>
  <si>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texts.mwFacts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mag.ai.mwInService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mag.balance.leases</t>
    </r>
  </si>
  <si>
    <t xml:space="preserve">alphabet/data/consensus_googl_20261008.json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</si>
  <si>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companyGuidance.2026</t>
    </r>
  </si>
  <si>
    <t xml:space="preserve">amazon/company.json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</si>
  <si>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aiInServiceIT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externalShare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epochSites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leases.facts</t>
    </r>
  </si>
  <si>
    <t xml:space="preserve">amazon/data/consensus_amzn_20261008.json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</si>
  <si>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companyGuidance.FY2026.cashCapex</t>
    </r>
  </si>
  <si>
    <t xml:space="preserve">oracle/company.json</t>
  </si>
  <si>
    <r>
      <rPr>
        <sz val="11"/>
        <color theme="1"/>
        <rFont val="Calibri"/>
        <family val="2"/>
        <charset val="1"/>
      </rPr>
      <t xml:space="preserve">scenarios.mwPath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fleet.openMw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texts.mwFacts</t>
    </r>
  </si>
  <si>
    <t xml:space="preserve">oracle/data/consensus_orcl_20261022.json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</si>
  <si>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companyGuidance.FY27 capex</t>
    </r>
  </si>
  <si>
    <t xml:space="preserve">coreweave/company.json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</si>
  <si>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callFacts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activeGw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yeActiveGw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gw2030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contractedGw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meta.mwBasis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</t>
    </r>
  </si>
  <si>
    <t xml:space="preserve">coreweave/data/consensus_crwv_20260925.json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</si>
  <si>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companyGuidance.FY26</t>
    </r>
  </si>
  <si>
    <t xml:space="preserve">nebius/company.json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</si>
  <si>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nebius.mw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connectedYE26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scenarios.mwPath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</t>
    </r>
  </si>
  <si>
    <t xml:space="preserve">nebius/data/consensus_nbis_20261007.json</t>
  </si>
  <si>
    <r>
      <rPr>
        <sz val="11"/>
        <color theme="1"/>
        <rFont val="Calibri"/>
        <family val="2"/>
        <charset val="1"/>
      </rPr>
      <t xml:space="preserve">companyGuidance.FY26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contractedPowerGW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annualEstimates.capex</t>
    </r>
  </si>
  <si>
    <t xml:space="preserve">whitefiber/company.json</t>
  </si>
  <si>
    <r>
      <rPr>
        <sz val="11"/>
        <color theme="1"/>
        <rFont val="Calibri"/>
        <family val="2"/>
        <charset val="1"/>
      </rPr>
      <t xml:space="preserve">scenarios.mwPath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</t>
    </r>
  </si>
  <si>
    <t xml:space="preserve">SRC_GL_080</t>
  </si>
  <si>
    <t xml:space="preserve">openai/model/20261025_OpenAI_v0.6.3.xlsx</t>
  </si>
  <si>
    <r>
      <rPr>
        <sz val="11"/>
        <color theme="1"/>
        <rFont val="Calibri"/>
        <family val="2"/>
        <charset val="1"/>
      </rPr>
      <t xml:space="preserve">Inputs B284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口徑三）、</t>
    </r>
    <r>
      <rPr>
        <sz val="11"/>
        <color theme="1"/>
        <rFont val="Calibri"/>
        <family val="2"/>
        <charset val="1"/>
      </rPr>
      <t xml:space="preserve">Checks B116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）</t>
    </r>
  </si>
  <si>
    <t xml:space="preserve">SRC_GL_090</t>
  </si>
  <si>
    <t xml:space="preserve">anthropic/model/20261024_Anthropic_v0.1.5.xlsx</t>
  </si>
  <si>
    <r>
      <rPr>
        <sz val="11"/>
        <color theme="1"/>
        <rFont val="Calibri"/>
        <family val="2"/>
        <charset val="1"/>
      </rPr>
      <t xml:space="preserve">Compute B174</t>
    </r>
    <r>
      <rPr>
        <sz val="11"/>
        <color theme="1"/>
        <rFont val="Noto Sans CJK SC"/>
        <family val="2"/>
      </rPr>
      <t xml:space="preserve">（報導年底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</si>
  <si>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coreweave/company.json fleet.openMix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SIF_vr26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SIF_UnitsPlat_*</t>
    </r>
  </si>
  <si>
    <t xml:space="preserve">世代組合</t>
  </si>
  <si>
    <t xml:space="preserve">SRC_GL_006</t>
  </si>
  <si>
    <r>
      <rPr>
        <sz val="11"/>
        <color theme="1"/>
        <rFont val="Calibri"/>
        <family val="2"/>
        <charset val="1"/>
      </rPr>
      <t xml:space="preserve">Tokenomics/model/20261025_Tokenomics_v21.7.xlsx Interface!C8:Q8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730b6a5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</si>
  <si>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IF_FacilityGW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對應設施電力）；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未含此名稱，直接讀活頁簿（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裁定）</t>
    </r>
  </si>
  <si>
    <t xml:space="preserve">wattonomics/evidence_raw/A_us_cloud.csv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</si>
  <si>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段美國雲與新雲證據（列號 </t>
    </r>
    <r>
      <rPr>
        <sz val="11"/>
        <color theme="1"/>
        <rFont val="Calibri"/>
        <family val="2"/>
        <charset val="1"/>
      </rPr>
      <t xml:space="preserve">A#n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行）</t>
    </r>
  </si>
  <si>
    <t xml:space="preserve">wattonomics/evidence_raw/B_labs_china_totals.csv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</si>
  <si>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段實驗室、中國、主權、第三方總量（</t>
    </r>
    <r>
      <rPr>
        <sz val="11"/>
        <color theme="1"/>
        <rFont val="Calibri"/>
        <family val="2"/>
        <charset val="1"/>
      </rPr>
      <t xml:space="preserve">B#n</t>
    </r>
    <r>
      <rPr>
        <sz val="11"/>
        <color theme="1"/>
        <rFont val="Noto Sans CJK SC"/>
        <family val="2"/>
      </rPr>
      <t xml:space="preserve">）</t>
    </r>
  </si>
  <si>
    <t xml:space="preserve">wattonomics/evidence_raw/B_delay.csv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</si>
  <si>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段基建延遲（</t>
    </r>
    <r>
      <rPr>
        <sz val="11"/>
        <color theme="1"/>
        <rFont val="Calibri"/>
        <family val="2"/>
        <charset val="1"/>
      </rPr>
      <t xml:space="preserve">D#n</t>
    </r>
    <r>
      <rPr>
        <sz val="11"/>
        <color theme="1"/>
        <rFont val="Noto Sans CJK SC"/>
        <family val="2"/>
      </rPr>
      <t xml:space="preserve">）</t>
    </r>
  </si>
  <si>
    <t xml:space="preserve">wattonomics/evidence_raw/C_review.md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</si>
  <si>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段獨立核對（判定以此為準）</t>
    </r>
  </si>
  <si>
    <t xml:space="preserve">wattonomics/evidence_raw/B_summary.md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</si>
  <si>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段摘要（營運者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使用者關係、延遲建議）</t>
    </r>
  </si>
  <si>
    <t xml:space="preserve">wattonomics/evidence_raw/A_us_cloud.md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</si>
  <si>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段摘要（各家最佳估計）</t>
    </r>
  </si>
  <si>
    <t xml:space="preserve">SRC_GL_300</t>
  </si>
  <si>
    <t xml:space="preserve">wattonomics/evidence_raw/F_funding.csv</t>
  </si>
  <si>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段融資證據（</t>
    </r>
    <r>
      <rPr>
        <sz val="11"/>
        <color theme="1"/>
        <rFont val="Calibri"/>
        <family val="2"/>
        <charset val="1"/>
      </rPr>
      <t xml:space="preserve">F#n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</si>
  <si>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wattonomics/evidence_raw/P_facility_power.csv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P_facility_power.md</t>
    </r>
  </si>
  <si>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段廠房與發電（</t>
    </r>
    <r>
      <rPr>
        <sz val="11"/>
        <color theme="1"/>
        <rFont val="Calibri"/>
        <family val="2"/>
        <charset val="1"/>
      </rPr>
      <t xml:space="preserve">P#n</t>
    </r>
    <r>
      <rPr>
        <sz val="11"/>
        <color theme="1"/>
        <rFont val="Noto Sans CJK SC"/>
        <family val="2"/>
      </rPr>
      <t xml:space="preserve">；第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節拆分表）</t>
    </r>
  </si>
  <si>
    <t xml:space="preserve">wattonomics/evidence_raw/G_review_funding_facility.md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</si>
  <si>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段獨立核對（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判定與更正，以此為準）</t>
    </r>
  </si>
  <si>
    <t xml:space="preserve">SRC_GL_303</t>
  </si>
  <si>
    <r>
      <rPr>
        <sz val="11"/>
        <color theme="1"/>
        <rFont val="Calibri"/>
        <family val="2"/>
        <charset val="1"/>
      </rPr>
      <t xml:space="preserve">markets/invest_map/data/segments_ai_semis_v0.2.3.csv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5dea5c8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</si>
  <si>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次產業『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  <r>
      <rPr>
        <sz val="11"/>
        <color theme="1"/>
        <rFont val="Noto Sans CJK SC"/>
        <family val="2"/>
      </rPr>
      <t xml:space="preserve">』比例（</t>
    </r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拆分）</t>
    </r>
  </si>
  <si>
    <t xml:space="preserve">wattonomics/evidence_raw/S_sites.csv</t>
  </si>
  <si>
    <r>
      <rPr>
        <sz val="11"/>
        <color theme="1"/>
        <rFont val="Calibri"/>
        <family val="2"/>
        <charset val="1"/>
      </rPr>
      <t xml:space="preserve">S </t>
    </r>
    <r>
      <rPr>
        <sz val="11"/>
        <color theme="1"/>
        <rFont val="Noto Sans CJK SC"/>
        <family val="2"/>
      </rPr>
      <t xml:space="preserve">段全球園區候選（</t>
    </r>
    <r>
      <rPr>
        <sz val="11"/>
        <color theme="1"/>
        <rFont val="Calibri"/>
        <family val="2"/>
        <charset val="1"/>
      </rPr>
      <t xml:space="preserve">site_pipeline 2026-10-28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409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S#n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行；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回查判定附於 </t>
    </r>
    <r>
      <rPr>
        <sz val="11"/>
        <color theme="1"/>
        <rFont val="Calibri"/>
        <family val="2"/>
        <charset val="1"/>
      </rPr>
      <t xml:space="preserve">S_sites_audit.csv</t>
    </r>
    <r>
      <rPr>
        <sz val="11"/>
        <color theme="1"/>
        <rFont val="Noto Sans CJK SC"/>
        <family val="2"/>
      </rPr>
      <t xml:space="preserve">）</t>
    </r>
  </si>
  <si>
    <t xml:space="preserve">SRC_GL_207</t>
  </si>
  <si>
    <t xml:space="preserve">wattonomics/evidence_raw/I_review_sites.md</t>
  </si>
  <si>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段：園區合併前未參與代理開原文抽查（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項；判定以此為準）</t>
    </r>
  </si>
  <si>
    <r>
      <rPr>
        <sz val="11"/>
        <color theme="1"/>
        <rFont val="Calibri"/>
        <family val="2"/>
        <charset val="1"/>
      </rPr>
      <t xml:space="preserve">Requests —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權威改值或新增名稱的請求（本庫不改其檔案；工作單第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節停止條件）</t>
    </r>
  </si>
  <si>
    <t xml:space="preserve">對象</t>
  </si>
  <si>
    <t xml:space="preserve">請求</t>
  </si>
  <si>
    <t xml:space="preserve">原因</t>
  </si>
  <si>
    <t xml:space="preserve">R1</t>
  </si>
  <si>
    <t xml:space="preserve">Tokenomics</t>
  </si>
  <si>
    <r>
      <rPr>
        <sz val="11"/>
        <color theme="1"/>
        <rFont val="Noto Sans CJK SC"/>
        <family val="2"/>
      </rPr>
      <t xml:space="preserve">確認每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口徑</t>
    </r>
  </si>
  <si>
    <r>
      <rPr>
        <sz val="11"/>
        <color theme="1"/>
        <rFont val="Noto Sans CJK SC"/>
        <family val="2"/>
      </rPr>
      <t xml:space="preserve">已裁定（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TK Interface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關鍵電力；</t>
    </r>
    <r>
      <rPr>
        <sz val="11"/>
        <color theme="1"/>
        <rFont val="Calibri"/>
        <family val="2"/>
        <charset val="1"/>
      </rPr>
      <t xml:space="preserve">IF_FacilityGW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列＝每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對應設施電力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1.1–1.3</t>
    </r>
    <r>
      <rPr>
        <sz val="11"/>
        <color theme="1"/>
        <rFont val="Noto Sans CJK SC"/>
        <family val="2"/>
      </rPr>
      <t xml:space="preserve">）；瓦帳主口徑改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g_ITtoFac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</si>
  <si>
    <t xml:space="preserve">已裁定</t>
  </si>
  <si>
    <t xml:space="preserve">R2</t>
  </si>
  <si>
    <t xml:space="preserve">Siliconomics</t>
  </si>
  <si>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頁標籤</t>
    </r>
  </si>
  <si>
    <r>
      <rPr>
        <sz val="11"/>
        <color theme="1"/>
        <rFont val="Noto Sans CJK SC"/>
        <family val="2"/>
      </rPr>
      <t xml:space="preserve">撤回（規劃書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電力標籤正確）</t>
    </r>
  </si>
  <si>
    <t xml:space="preserve">撤回</t>
  </si>
  <si>
    <t xml:space="preserve">R3</t>
  </si>
  <si>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顆數與每顆功率的 </t>
    </r>
    <r>
      <rPr>
        <sz val="11"/>
        <color theme="1"/>
        <rFont val="Calibri"/>
        <family val="2"/>
        <charset val="1"/>
      </rPr>
      <t xml:space="preserve">IF_ </t>
    </r>
    <r>
      <rPr>
        <sz val="11"/>
        <color theme="1"/>
        <rFont val="Noto Sans CJK SC"/>
        <family val="2"/>
      </rPr>
      <t xml:space="preserve">名稱（</t>
    </r>
    <r>
      <rPr>
        <sz val="11"/>
        <color theme="1"/>
        <rFont val="Calibri"/>
        <family val="2"/>
        <charset val="1"/>
      </rPr>
      <t xml:space="preserve">v0.2 C2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</si>
  <si>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規劃書第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</t>
    </r>
  </si>
  <si>
    <t xml:space="preserve">v0.2</t>
  </si>
  <si>
    <t xml:space="preserve">R4</t>
  </si>
  <si>
    <r>
      <rPr>
        <sz val="11"/>
        <color theme="1"/>
        <rFont val="Noto Sans CJK SC"/>
        <family val="2"/>
      </rPr>
      <t xml:space="preserve">瓦帳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</si>
  <si>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晶片合約對帳：</t>
    </r>
    <r>
      <rPr>
        <sz val="11"/>
        <color theme="1"/>
        <rFont val="Calibri"/>
        <family val="2"/>
        <charset val="1"/>
      </rPr>
      <t xml:space="preserve">OpenAI–AMD 6 GW</t>
    </r>
    <r>
      <rPr>
        <sz val="11"/>
        <color theme="1"/>
        <rFont val="Noto Sans CJK SC"/>
        <family val="2"/>
      </rPr>
      <t xml:space="preserve">（晶片功耗）、</t>
    </r>
    <r>
      <rPr>
        <sz val="11"/>
        <color theme="1"/>
        <rFont val="Calibri"/>
        <family val="2"/>
        <charset val="1"/>
      </rPr>
      <t xml:space="preserve">Broadcom 10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Vera Rubin 5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Anthropic–AMD 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TPU 3.5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</si>
  <si>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B_summary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點：晶片合約與機房合約是同一批容量的兩面，不入 </t>
    </r>
    <r>
      <rPr>
        <sz val="11"/>
        <color theme="1"/>
        <rFont val="Calibri"/>
        <family val="2"/>
        <charset val="1"/>
      </rPr>
      <t xml:space="preserve">C0</t>
    </r>
  </si>
  <si>
    <t xml:space="preserve">R5</t>
  </si>
  <si>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tokenomics_snapshot</t>
    </r>
    <r>
      <rPr>
        <sz val="11"/>
        <color theme="1"/>
        <rFont val="Noto Sans CJK SC"/>
        <family val="2"/>
      </rPr>
      <t xml:space="preserve">）加入 </t>
    </r>
    <r>
      <rPr>
        <sz val="11"/>
        <color theme="1"/>
        <rFont val="Calibri"/>
        <family val="2"/>
        <charset val="1"/>
      </rPr>
      <t xml:space="preserve">IF_FacilityGW</t>
    </r>
  </si>
  <si>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快照未含；瓦帳暫直接讀活頁簿 </t>
    </r>
    <r>
      <rPr>
        <sz val="11"/>
        <color theme="1"/>
        <rFont val="Calibri"/>
        <family val="2"/>
        <charset val="1"/>
      </rPr>
      <t xml:space="preserve">Interface!C8:Q8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730b6a5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</si>
  <si>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TK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</si>
</sst>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#,##0.0"/>
    <numFmt numFmtId="167" formatCode="0.00"/>
    <numFmt numFmtId="168" formatCode="0%"/>
    <numFmt numFmtId="169" formatCode="0.000"/>
    <numFmt numFmtId="170" formatCode="0"/>
    <numFmt numFmtId="171" formatCode="0.000000"/>
    <numFmt numFmtId="172" formatCode="0.0"/>
    <numFmt numFmtId="173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Cambria"/>
      <family val="0"/>
      <charset val="1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FF"/>
      <name val="Noto Sans CJK SC"/>
      <family val="2"/>
    </font>
    <font>
      <sz val="11"/>
      <color rgb="FF808080"/>
      <name val="Cambria"/>
      <family val="0"/>
      <charset val="1"/>
    </font>
    <font>
      <sz val="11"/>
      <color rgb="FF808080"/>
      <name val="Noto Sans CJK SC"/>
      <family val="2"/>
    </font>
    <font>
      <sz val="11"/>
      <color rgb="FF008000"/>
      <name val="Cambria"/>
      <family val="0"/>
      <charset val="1"/>
    </font>
    <font>
      <b val="true"/>
      <sz val="12"/>
      <name val="Noto Sans CJK SC"/>
      <family val="2"/>
    </font>
    <font>
      <b val="true"/>
      <sz val="12"/>
      <name val="Cambria"/>
      <family val="0"/>
      <charset val="1"/>
    </font>
    <font>
      <b val="true"/>
      <sz val="11"/>
      <color rgb="FFC00000"/>
      <name val="Noto Sans CJK SC"/>
      <family val="2"/>
    </font>
    <font>
      <b val="true"/>
      <sz val="11"/>
      <color rgb="FFC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48.5" hidden="false" customHeight="false" outlineLevel="0" collapsed="false">
      <c r="A3" s="2" t="s">
        <v>2</v>
      </c>
    </row>
    <row r="4" customFormat="false" ht="32.8" hidden="false" customHeight="false" outlineLevel="0" collapsed="false">
      <c r="A4" s="2" t="s">
        <v>3</v>
      </c>
    </row>
    <row r="5" customFormat="false" ht="32.8" hidden="false" customHeight="false" outlineLevel="0" collapsed="false">
      <c r="A5" s="2" t="s">
        <v>4</v>
      </c>
    </row>
    <row r="6" customFormat="false" ht="32.8" hidden="false" customHeight="false" outlineLevel="0" collapsed="false">
      <c r="A6" s="3" t="s">
        <v>5</v>
      </c>
    </row>
    <row r="7" customFormat="false" ht="38.8" hidden="false" customHeight="false" outlineLevel="0" collapsed="false">
      <c r="A7" s="1" t="s">
        <v>6</v>
      </c>
    </row>
    <row r="8" customFormat="false" ht="57.45" hidden="false" customHeight="false" outlineLevel="0" collapsed="false">
      <c r="A8" s="4" t="s">
        <v>7</v>
      </c>
    </row>
    <row r="9" customFormat="false" ht="94.75" hidden="false" customHeight="false" outlineLevel="0" collapsed="false">
      <c r="A9" s="4" t="s">
        <v>8</v>
      </c>
    </row>
    <row r="10" customFormat="false" ht="17.15" hidden="false" customHeight="false" outlineLevel="0" collapsed="false">
      <c r="A10" s="2" t="s">
        <v>9</v>
      </c>
    </row>
    <row r="11" customFormat="false" ht="17.15" hidden="false" customHeight="false" outlineLevel="0" collapsed="false">
      <c r="A11" s="3" t="s">
        <v>10</v>
      </c>
    </row>
    <row r="12" customFormat="false" ht="17.15" hidden="false" customHeight="false" outlineLevel="0" collapsed="false">
      <c r="A12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70"/>
    <col collapsed="false" customWidth="true" hidden="false" outlineLevel="0" max="18" min="8" style="0" width="9"/>
    <col collapsed="false" customWidth="true" hidden="false" outlineLevel="0" max="19" min="19" style="0" width="5"/>
  </cols>
  <sheetData>
    <row r="1" customFormat="false" ht="17.15" hidden="false" customHeight="false" outlineLevel="0" collapsed="false">
      <c r="A1" s="0" t="s">
        <v>12</v>
      </c>
    </row>
    <row r="2" customFormat="false" ht="17.15" hidden="false" customHeight="false" outlineLevel="0" collapsed="false">
      <c r="A2" s="5" t="s">
        <v>13</v>
      </c>
    </row>
    <row r="4" customFormat="false" ht="17.15" hidden="false" customHeight="false" outlineLevel="0" collapsed="false">
      <c r="A4" s="6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7" t="s">
        <v>21</v>
      </c>
      <c r="I4" s="7" t="s">
        <v>22</v>
      </c>
      <c r="J4" s="7" t="s">
        <v>23</v>
      </c>
      <c r="K4" s="7" t="s">
        <v>24</v>
      </c>
      <c r="L4" s="7" t="s">
        <v>25</v>
      </c>
      <c r="M4" s="7" t="s">
        <v>26</v>
      </c>
      <c r="N4" s="7" t="s">
        <v>27</v>
      </c>
      <c r="O4" s="7" t="s">
        <v>28</v>
      </c>
      <c r="P4" s="7" t="s">
        <v>29</v>
      </c>
      <c r="Q4" s="7" t="s">
        <v>30</v>
      </c>
      <c r="R4" s="6"/>
      <c r="S4" s="6" t="s">
        <v>31</v>
      </c>
    </row>
    <row r="5" customFormat="false" ht="17.15" hidden="false" customHeight="false" outlineLevel="0" collapsed="false">
      <c r="A5" s="8" t="s">
        <v>32</v>
      </c>
    </row>
    <row r="6" customFormat="false" ht="17.15" hidden="false" customHeight="false" outlineLevel="0" collapsed="false">
      <c r="A6" s="0" t="s">
        <v>33</v>
      </c>
      <c r="B6" s="5" t="s">
        <v>34</v>
      </c>
      <c r="C6" s="0" t="s">
        <v>35</v>
      </c>
      <c r="D6" s="0" t="s">
        <v>36</v>
      </c>
      <c r="E6" s="0" t="s">
        <v>37</v>
      </c>
      <c r="F6" s="0" t="s">
        <v>38</v>
      </c>
      <c r="G6" s="0" t="s">
        <v>39</v>
      </c>
      <c r="I6" s="9" t="n">
        <v>1</v>
      </c>
      <c r="S6" s="0" t="n">
        <v>1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0" t="s">
        <v>35</v>
      </c>
      <c r="D7" s="0" t="s">
        <v>36</v>
      </c>
      <c r="E7" s="0" t="s">
        <v>42</v>
      </c>
      <c r="F7" s="0" t="s">
        <v>43</v>
      </c>
      <c r="G7" s="5" t="s">
        <v>44</v>
      </c>
      <c r="H7" s="9" t="n">
        <v>1.65</v>
      </c>
      <c r="I7" s="9" t="n">
        <v>1.85</v>
      </c>
      <c r="J7" s="9" t="n">
        <v>2.08</v>
      </c>
      <c r="S7" s="0" t="n">
        <v>1</v>
      </c>
    </row>
    <row r="8" customFormat="false" ht="17.15" hidden="false" customHeight="false" outlineLevel="0" collapsed="false">
      <c r="A8" s="0" t="s">
        <v>45</v>
      </c>
      <c r="B8" s="5" t="s">
        <v>46</v>
      </c>
      <c r="C8" s="0" t="s">
        <v>35</v>
      </c>
      <c r="D8" s="5" t="s">
        <v>47</v>
      </c>
      <c r="E8" s="0" t="s">
        <v>37</v>
      </c>
      <c r="F8" s="0" t="s">
        <v>48</v>
      </c>
      <c r="G8" s="0" t="s">
        <v>49</v>
      </c>
      <c r="I8" s="9" t="n">
        <v>2026.825</v>
      </c>
      <c r="S8" s="0" t="n">
        <v>1</v>
      </c>
    </row>
    <row r="9" customFormat="false" ht="17.15" hidden="false" customHeight="false" outlineLevel="0" collapsed="false">
      <c r="A9" s="0" t="s">
        <v>50</v>
      </c>
      <c r="B9" s="5" t="s">
        <v>51</v>
      </c>
      <c r="C9" s="0" t="s">
        <v>35</v>
      </c>
      <c r="D9" s="0" t="s">
        <v>52</v>
      </c>
      <c r="E9" s="0" t="s">
        <v>53</v>
      </c>
      <c r="F9" s="0" t="s">
        <v>38</v>
      </c>
      <c r="G9" s="5" t="s">
        <v>54</v>
      </c>
      <c r="H9" s="10" t="n">
        <v>0.1</v>
      </c>
      <c r="I9" s="10" t="n">
        <v>0.15</v>
      </c>
      <c r="J9" s="10" t="n">
        <v>0.2</v>
      </c>
      <c r="S9" s="0" t="n">
        <v>1</v>
      </c>
    </row>
    <row r="10" customFormat="false" ht="17.15" hidden="false" customHeight="false" outlineLevel="0" collapsed="false">
      <c r="A10" s="0" t="s">
        <v>55</v>
      </c>
      <c r="B10" s="5" t="s">
        <v>56</v>
      </c>
      <c r="C10" s="0" t="s">
        <v>35</v>
      </c>
      <c r="D10" s="5" t="s">
        <v>57</v>
      </c>
      <c r="E10" s="0" t="s">
        <v>53</v>
      </c>
      <c r="F10" s="0" t="s">
        <v>48</v>
      </c>
      <c r="G10" s="5" t="s">
        <v>58</v>
      </c>
      <c r="H10" s="9" t="n">
        <v>12</v>
      </c>
      <c r="I10" s="9" t="n">
        <v>18</v>
      </c>
      <c r="J10" s="9" t="n">
        <v>24</v>
      </c>
      <c r="S10" s="0" t="n">
        <v>1</v>
      </c>
    </row>
    <row r="11" customFormat="false" ht="17.15" hidden="false" customHeight="false" outlineLevel="0" collapsed="false">
      <c r="A11" s="0" t="s">
        <v>59</v>
      </c>
      <c r="B11" s="5" t="s">
        <v>60</v>
      </c>
      <c r="C11" s="0" t="s">
        <v>35</v>
      </c>
      <c r="D11" s="0" t="s">
        <v>52</v>
      </c>
      <c r="E11" s="0" t="s">
        <v>53</v>
      </c>
      <c r="F11" s="0" t="s">
        <v>48</v>
      </c>
      <c r="G11" s="5" t="s">
        <v>61</v>
      </c>
      <c r="H11" s="10" t="n">
        <v>0.05</v>
      </c>
      <c r="I11" s="10" t="n">
        <v>0.1</v>
      </c>
      <c r="J11" s="10" t="n">
        <v>0.15</v>
      </c>
      <c r="S11" s="0" t="n">
        <v>1</v>
      </c>
    </row>
    <row r="12" customFormat="false" ht="17.15" hidden="false" customHeight="false" outlineLevel="0" collapsed="false">
      <c r="A12" s="8" t="s">
        <v>62</v>
      </c>
    </row>
    <row r="13" customFormat="false" ht="17.15" hidden="false" customHeight="false" outlineLevel="0" collapsed="false">
      <c r="A13" s="0" t="s">
        <v>63</v>
      </c>
      <c r="B13" s="5" t="s">
        <v>64</v>
      </c>
      <c r="C13" s="0" t="s">
        <v>35</v>
      </c>
      <c r="D13" s="0" t="s">
        <v>52</v>
      </c>
      <c r="E13" s="0" t="s">
        <v>53</v>
      </c>
      <c r="F13" s="0" t="s">
        <v>48</v>
      </c>
      <c r="G13" s="0" t="s">
        <v>65</v>
      </c>
      <c r="H13" s="10" t="n">
        <v>0.75</v>
      </c>
      <c r="I13" s="10" t="n">
        <v>0.85</v>
      </c>
      <c r="J13" s="10" t="n">
        <v>0.95</v>
      </c>
      <c r="S13" s="0" t="n">
        <v>1</v>
      </c>
    </row>
    <row r="14" customFormat="false" ht="17.15" hidden="false" customHeight="false" outlineLevel="0" collapsed="false">
      <c r="A14" s="0" t="s">
        <v>66</v>
      </c>
      <c r="B14" s="0" t="s">
        <v>67</v>
      </c>
      <c r="C14" s="0" t="s">
        <v>35</v>
      </c>
      <c r="D14" s="0" t="s">
        <v>52</v>
      </c>
      <c r="E14" s="0" t="s">
        <v>37</v>
      </c>
      <c r="F14" s="0" t="s">
        <v>68</v>
      </c>
      <c r="G14" s="0" t="s">
        <v>69</v>
      </c>
      <c r="H14" s="10" t="n">
        <v>0.6</v>
      </c>
      <c r="I14" s="10" t="n">
        <v>0.68</v>
      </c>
      <c r="J14" s="10" t="n">
        <v>0.75</v>
      </c>
      <c r="S14" s="0" t="n">
        <v>1</v>
      </c>
    </row>
    <row r="15" customFormat="false" ht="17.15" hidden="false" customHeight="false" outlineLevel="0" collapsed="false">
      <c r="A15" s="0" t="s">
        <v>70</v>
      </c>
      <c r="B15" s="5" t="s">
        <v>71</v>
      </c>
      <c r="C15" s="0" t="s">
        <v>35</v>
      </c>
      <c r="D15" s="0" t="s">
        <v>52</v>
      </c>
      <c r="E15" s="0" t="s">
        <v>53</v>
      </c>
      <c r="F15" s="0" t="s">
        <v>48</v>
      </c>
      <c r="G15" s="5" t="s">
        <v>72</v>
      </c>
      <c r="H15" s="10" t="n">
        <v>0</v>
      </c>
      <c r="I15" s="10" t="n">
        <v>0.1</v>
      </c>
      <c r="J15" s="10" t="n">
        <v>0.15</v>
      </c>
      <c r="S15" s="0" t="n">
        <v>1</v>
      </c>
    </row>
    <row r="16" customFormat="false" ht="17.15" hidden="false" customHeight="false" outlineLevel="0" collapsed="false">
      <c r="A16" s="8" t="s">
        <v>73</v>
      </c>
    </row>
    <row r="17" customFormat="false" ht="17.15" hidden="false" customHeight="false" outlineLevel="0" collapsed="false">
      <c r="A17" s="0" t="s">
        <v>74</v>
      </c>
      <c r="B17" s="5" t="s">
        <v>75</v>
      </c>
      <c r="C17" s="5" t="s">
        <v>76</v>
      </c>
      <c r="D17" s="0" t="s">
        <v>77</v>
      </c>
      <c r="E17" s="0" t="s">
        <v>42</v>
      </c>
      <c r="F17" s="0" t="s">
        <v>78</v>
      </c>
      <c r="G17" s="0" t="s">
        <v>79</v>
      </c>
      <c r="H17" s="9" t="n">
        <v>36</v>
      </c>
      <c r="I17" s="9" t="n">
        <v>40</v>
      </c>
      <c r="J17" s="9" t="n">
        <v>44</v>
      </c>
      <c r="S17" s="0" t="n">
        <v>1</v>
      </c>
    </row>
    <row r="18" customFormat="false" ht="17.15" hidden="false" customHeight="false" outlineLevel="0" collapsed="false">
      <c r="A18" s="0" t="s">
        <v>80</v>
      </c>
      <c r="B18" s="5" t="s">
        <v>81</v>
      </c>
      <c r="C18" s="5" t="s">
        <v>76</v>
      </c>
      <c r="D18" s="0" t="s">
        <v>77</v>
      </c>
      <c r="E18" s="0" t="s">
        <v>42</v>
      </c>
      <c r="F18" s="0" t="s">
        <v>78</v>
      </c>
      <c r="G18" s="0" t="s">
        <v>82</v>
      </c>
      <c r="H18" s="9" t="n">
        <v>60</v>
      </c>
      <c r="I18" s="9" t="n">
        <v>60</v>
      </c>
      <c r="J18" s="9" t="n">
        <v>70</v>
      </c>
      <c r="S18" s="0" t="n">
        <v>1</v>
      </c>
    </row>
    <row r="19" customFormat="false" ht="17.15" hidden="false" customHeight="false" outlineLevel="0" collapsed="false">
      <c r="A19" s="0" t="s">
        <v>83</v>
      </c>
      <c r="B19" s="5" t="s">
        <v>84</v>
      </c>
      <c r="C19" s="0" t="s">
        <v>35</v>
      </c>
      <c r="D19" s="0" t="s">
        <v>52</v>
      </c>
      <c r="E19" s="0" t="s">
        <v>42</v>
      </c>
      <c r="F19" s="0" t="s">
        <v>78</v>
      </c>
      <c r="G19" s="0" t="s">
        <v>79</v>
      </c>
      <c r="H19" s="10" t="n">
        <v>0.351</v>
      </c>
      <c r="I19" s="10" t="n">
        <v>0.39</v>
      </c>
      <c r="J19" s="10" t="n">
        <v>0.429</v>
      </c>
      <c r="S19" s="0" t="n">
        <v>1</v>
      </c>
    </row>
    <row r="20" customFormat="false" ht="17.15" hidden="false" customHeight="false" outlineLevel="0" collapsed="false">
      <c r="A20" s="0" t="s">
        <v>85</v>
      </c>
      <c r="B20" s="5" t="s">
        <v>86</v>
      </c>
      <c r="C20" s="0" t="s">
        <v>35</v>
      </c>
      <c r="D20" s="0" t="s">
        <v>52</v>
      </c>
      <c r="E20" s="0" t="s">
        <v>42</v>
      </c>
      <c r="F20" s="0" t="s">
        <v>78</v>
      </c>
      <c r="G20" s="0" t="s">
        <v>87</v>
      </c>
      <c r="H20" s="10" t="n">
        <v>0.432</v>
      </c>
      <c r="I20" s="10" t="n">
        <v>0.48</v>
      </c>
      <c r="J20" s="10" t="n">
        <v>0.528</v>
      </c>
      <c r="S20" s="0" t="n">
        <v>1</v>
      </c>
    </row>
    <row r="21" customFormat="false" ht="17.15" hidden="false" customHeight="false" outlineLevel="0" collapsed="false">
      <c r="A21" s="8" t="s">
        <v>88</v>
      </c>
    </row>
    <row r="22" customFormat="false" ht="17.15" hidden="false" customHeight="false" outlineLevel="0" collapsed="false">
      <c r="A22" s="0" t="s">
        <v>89</v>
      </c>
      <c r="B22" s="0" t="s">
        <v>90</v>
      </c>
      <c r="C22" s="0" t="s">
        <v>35</v>
      </c>
      <c r="D22" s="0" t="s">
        <v>52</v>
      </c>
      <c r="E22" s="0" t="s">
        <v>37</v>
      </c>
      <c r="F22" s="0" t="s">
        <v>91</v>
      </c>
      <c r="G22" s="0" t="s">
        <v>92</v>
      </c>
      <c r="H22" s="10" t="n">
        <v>0.25</v>
      </c>
      <c r="I22" s="10" t="n">
        <v>0.35</v>
      </c>
      <c r="J22" s="10" t="n">
        <v>0.45</v>
      </c>
      <c r="S22" s="0" t="n">
        <v>1</v>
      </c>
    </row>
    <row r="23" customFormat="false" ht="17.15" hidden="false" customHeight="false" outlineLevel="0" collapsed="false">
      <c r="A23" s="0" t="s">
        <v>93</v>
      </c>
      <c r="B23" s="0" t="s">
        <v>94</v>
      </c>
      <c r="C23" s="0" t="s">
        <v>35</v>
      </c>
      <c r="D23" s="5" t="s">
        <v>57</v>
      </c>
      <c r="E23" s="0" t="s">
        <v>37</v>
      </c>
      <c r="F23" s="0" t="s">
        <v>91</v>
      </c>
      <c r="G23" s="0" t="s">
        <v>95</v>
      </c>
      <c r="H23" s="9" t="n">
        <v>3</v>
      </c>
      <c r="I23" s="9" t="n">
        <v>6</v>
      </c>
      <c r="J23" s="9" t="n">
        <v>12</v>
      </c>
      <c r="S23" s="0" t="n">
        <v>1</v>
      </c>
    </row>
    <row r="24" customFormat="false" ht="17.15" hidden="false" customHeight="false" outlineLevel="0" collapsed="false">
      <c r="A24" s="0" t="s">
        <v>96</v>
      </c>
      <c r="B24" s="0" t="s">
        <v>97</v>
      </c>
      <c r="C24" s="0" t="s">
        <v>35</v>
      </c>
      <c r="D24" s="0" t="s">
        <v>52</v>
      </c>
      <c r="E24" s="0" t="s">
        <v>37</v>
      </c>
      <c r="F24" s="0" t="s">
        <v>91</v>
      </c>
      <c r="G24" s="0" t="s">
        <v>98</v>
      </c>
      <c r="H24" s="10" t="n">
        <v>0.3</v>
      </c>
      <c r="I24" s="10" t="n">
        <v>0.4</v>
      </c>
      <c r="J24" s="10" t="n">
        <v>0.5</v>
      </c>
      <c r="S24" s="0" t="n">
        <v>1</v>
      </c>
    </row>
    <row r="25" customFormat="false" ht="17.15" hidden="false" customHeight="false" outlineLevel="0" collapsed="false">
      <c r="A25" s="0" t="s">
        <v>99</v>
      </c>
      <c r="B25" s="0" t="s">
        <v>100</v>
      </c>
      <c r="C25" s="0" t="s">
        <v>35</v>
      </c>
      <c r="D25" s="5" t="s">
        <v>57</v>
      </c>
      <c r="E25" s="0" t="s">
        <v>37</v>
      </c>
      <c r="F25" s="0" t="s">
        <v>91</v>
      </c>
      <c r="G25" s="0" t="s">
        <v>101</v>
      </c>
      <c r="H25" s="9" t="n">
        <v>12</v>
      </c>
      <c r="I25" s="9" t="n">
        <v>12</v>
      </c>
      <c r="J25" s="9" t="n">
        <v>12</v>
      </c>
      <c r="S25" s="0" t="n">
        <v>1</v>
      </c>
    </row>
    <row r="26" customFormat="false" ht="17.15" hidden="false" customHeight="false" outlineLevel="0" collapsed="false">
      <c r="A26" s="0" t="s">
        <v>102</v>
      </c>
      <c r="B26" s="0" t="s">
        <v>103</v>
      </c>
      <c r="C26" s="0" t="s">
        <v>35</v>
      </c>
      <c r="D26" s="5" t="s">
        <v>47</v>
      </c>
      <c r="E26" s="0" t="s">
        <v>37</v>
      </c>
      <c r="F26" s="0" t="s">
        <v>91</v>
      </c>
      <c r="G26" s="0" t="s">
        <v>104</v>
      </c>
      <c r="I26" s="9" t="n">
        <v>2027</v>
      </c>
      <c r="S26" s="0" t="n">
        <v>1</v>
      </c>
    </row>
    <row r="27" customFormat="false" ht="17.15" hidden="false" customHeight="false" outlineLevel="0" collapsed="false">
      <c r="A27" s="0" t="s">
        <v>105</v>
      </c>
      <c r="B27" s="0" t="s">
        <v>106</v>
      </c>
      <c r="C27" s="0" t="s">
        <v>35</v>
      </c>
      <c r="D27" s="5" t="s">
        <v>47</v>
      </c>
      <c r="E27" s="0" t="s">
        <v>37</v>
      </c>
      <c r="F27" s="0" t="s">
        <v>91</v>
      </c>
      <c r="G27" s="5" t="s">
        <v>107</v>
      </c>
      <c r="I27" s="9" t="n">
        <v>2028</v>
      </c>
      <c r="S27" s="0" t="n">
        <v>1</v>
      </c>
    </row>
    <row r="28" customFormat="false" ht="17.15" hidden="false" customHeight="false" outlineLevel="0" collapsed="false">
      <c r="A28" s="8" t="s">
        <v>108</v>
      </c>
    </row>
    <row r="29" customFormat="false" ht="17.15" hidden="false" customHeight="false" outlineLevel="0" collapsed="false">
      <c r="A29" s="0" t="s">
        <v>109</v>
      </c>
      <c r="B29" s="0" t="s">
        <v>110</v>
      </c>
      <c r="C29" s="0" t="s">
        <v>111</v>
      </c>
      <c r="D29" s="0" t="s">
        <v>112</v>
      </c>
      <c r="E29" s="0" t="s">
        <v>113</v>
      </c>
      <c r="F29" s="0" t="s">
        <v>114</v>
      </c>
      <c r="G29" s="0" t="s">
        <v>115</v>
      </c>
      <c r="H29" s="9" t="n">
        <v>3500</v>
      </c>
      <c r="I29" s="9" t="n">
        <v>4500</v>
      </c>
      <c r="J29" s="9" t="n">
        <v>5500</v>
      </c>
      <c r="S29" s="0" t="n">
        <v>1</v>
      </c>
    </row>
    <row r="30" customFormat="false" ht="17.15" hidden="false" customHeight="false" outlineLevel="0" collapsed="false">
      <c r="A30" s="0" t="s">
        <v>116</v>
      </c>
      <c r="B30" s="0" t="s">
        <v>117</v>
      </c>
      <c r="C30" s="0" t="s">
        <v>35</v>
      </c>
      <c r="D30" s="5" t="s">
        <v>47</v>
      </c>
      <c r="E30" s="0" t="s">
        <v>118</v>
      </c>
      <c r="F30" s="0" t="s">
        <v>114</v>
      </c>
      <c r="G30" s="0" t="s">
        <v>119</v>
      </c>
      <c r="I30" s="9" t="n">
        <v>2026.5</v>
      </c>
      <c r="S30" s="0" t="n">
        <v>1</v>
      </c>
    </row>
    <row r="31" customFormat="false" ht="17.15" hidden="false" customHeight="false" outlineLevel="0" collapsed="false">
      <c r="A31" s="0" t="s">
        <v>120</v>
      </c>
      <c r="B31" s="0" t="s">
        <v>121</v>
      </c>
      <c r="C31" s="5" t="s">
        <v>122</v>
      </c>
      <c r="D31" s="0" t="s">
        <v>112</v>
      </c>
      <c r="E31" s="0" t="s">
        <v>37</v>
      </c>
      <c r="F31" s="0" t="s">
        <v>123</v>
      </c>
      <c r="G31" s="0" t="s">
        <v>124</v>
      </c>
      <c r="I31" s="9" t="n">
        <v>3841</v>
      </c>
      <c r="S31" s="0" t="n">
        <v>1</v>
      </c>
    </row>
    <row r="32" customFormat="false" ht="17.15" hidden="false" customHeight="false" outlineLevel="0" collapsed="false">
      <c r="A32" s="0" t="s">
        <v>125</v>
      </c>
      <c r="B32" s="0" t="s">
        <v>126</v>
      </c>
      <c r="C32" s="0" t="s">
        <v>35</v>
      </c>
      <c r="D32" s="5" t="s">
        <v>47</v>
      </c>
      <c r="E32" s="0" t="s">
        <v>118</v>
      </c>
      <c r="F32" s="0" t="s">
        <v>123</v>
      </c>
      <c r="G32" s="0" t="s">
        <v>119</v>
      </c>
      <c r="I32" s="9" t="n">
        <v>2026.5</v>
      </c>
      <c r="S32" s="0" t="n">
        <v>1</v>
      </c>
    </row>
    <row r="33" customFormat="false" ht="17.15" hidden="false" customHeight="false" outlineLevel="0" collapsed="false">
      <c r="A33" s="0" t="s">
        <v>127</v>
      </c>
      <c r="B33" s="0" t="s">
        <v>128</v>
      </c>
      <c r="C33" s="0" t="s">
        <v>111</v>
      </c>
      <c r="D33" s="0" t="s">
        <v>112</v>
      </c>
      <c r="E33" s="0" t="s">
        <v>113</v>
      </c>
      <c r="F33" s="0" t="s">
        <v>68</v>
      </c>
      <c r="G33" s="0" t="s">
        <v>129</v>
      </c>
      <c r="H33" s="9" t="n">
        <v>2000</v>
      </c>
      <c r="I33" s="9" t="n">
        <v>2600</v>
      </c>
      <c r="J33" s="9" t="n">
        <v>3300</v>
      </c>
      <c r="S33" s="0" t="n">
        <v>1</v>
      </c>
    </row>
    <row r="34" customFormat="false" ht="17.15" hidden="false" customHeight="false" outlineLevel="0" collapsed="false">
      <c r="A34" s="0" t="s">
        <v>130</v>
      </c>
      <c r="B34" s="0" t="s">
        <v>131</v>
      </c>
      <c r="C34" s="0" t="s">
        <v>35</v>
      </c>
      <c r="D34" s="5" t="s">
        <v>47</v>
      </c>
      <c r="E34" s="0" t="s">
        <v>118</v>
      </c>
      <c r="F34" s="0" t="s">
        <v>68</v>
      </c>
      <c r="G34" s="0" t="s">
        <v>119</v>
      </c>
      <c r="I34" s="9" t="n">
        <v>2026.5</v>
      </c>
      <c r="S34" s="0" t="n">
        <v>1</v>
      </c>
    </row>
    <row r="35" customFormat="false" ht="17.15" hidden="false" customHeight="false" outlineLevel="0" collapsed="false">
      <c r="A35" s="0" t="s">
        <v>132</v>
      </c>
      <c r="B35" s="0" t="s">
        <v>133</v>
      </c>
      <c r="C35" s="0" t="s">
        <v>111</v>
      </c>
      <c r="D35" s="0" t="s">
        <v>112</v>
      </c>
      <c r="E35" s="0" t="s">
        <v>37</v>
      </c>
      <c r="F35" s="0" t="s">
        <v>134</v>
      </c>
      <c r="G35" s="0" t="s">
        <v>135</v>
      </c>
      <c r="I35" s="9" t="n">
        <v>2543</v>
      </c>
      <c r="S35" s="0" t="n">
        <v>1</v>
      </c>
    </row>
    <row r="36" customFormat="false" ht="17.15" hidden="false" customHeight="false" outlineLevel="0" collapsed="false">
      <c r="A36" s="0" t="s">
        <v>136</v>
      </c>
      <c r="B36" s="0" t="s">
        <v>137</v>
      </c>
      <c r="C36" s="0" t="s">
        <v>35</v>
      </c>
      <c r="D36" s="5" t="s">
        <v>47</v>
      </c>
      <c r="E36" s="0" t="s">
        <v>118</v>
      </c>
      <c r="F36" s="0" t="s">
        <v>134</v>
      </c>
      <c r="G36" s="0" t="s">
        <v>138</v>
      </c>
      <c r="I36" s="9" t="n">
        <v>2026.667</v>
      </c>
      <c r="S36" s="0" t="n">
        <v>1</v>
      </c>
    </row>
    <row r="37" customFormat="false" ht="17.15" hidden="false" customHeight="false" outlineLevel="0" collapsed="false">
      <c r="A37" s="0" t="s">
        <v>139</v>
      </c>
      <c r="B37" s="0" t="s">
        <v>140</v>
      </c>
      <c r="C37" s="0" t="s">
        <v>111</v>
      </c>
      <c r="D37" s="0" t="s">
        <v>112</v>
      </c>
      <c r="E37" s="0" t="s">
        <v>141</v>
      </c>
      <c r="F37" s="0" t="s">
        <v>142</v>
      </c>
      <c r="G37" s="0" t="s">
        <v>143</v>
      </c>
      <c r="I37" s="9" t="n">
        <v>1500</v>
      </c>
      <c r="S37" s="0" t="n">
        <v>1</v>
      </c>
    </row>
    <row r="38" customFormat="false" ht="17.15" hidden="false" customHeight="false" outlineLevel="0" collapsed="false">
      <c r="A38" s="0" t="s">
        <v>144</v>
      </c>
      <c r="B38" s="0" t="s">
        <v>145</v>
      </c>
      <c r="C38" s="0" t="s">
        <v>35</v>
      </c>
      <c r="D38" s="5" t="s">
        <v>47</v>
      </c>
      <c r="E38" s="0" t="s">
        <v>118</v>
      </c>
      <c r="F38" s="0" t="s">
        <v>142</v>
      </c>
      <c r="G38" s="0" t="s">
        <v>119</v>
      </c>
      <c r="I38" s="9" t="n">
        <v>2026.5</v>
      </c>
      <c r="S38" s="0" t="n">
        <v>1</v>
      </c>
    </row>
    <row r="39" customFormat="false" ht="17.15" hidden="false" customHeight="false" outlineLevel="0" collapsed="false">
      <c r="A39" s="0" t="s">
        <v>146</v>
      </c>
      <c r="B39" s="0" t="s">
        <v>147</v>
      </c>
      <c r="C39" s="5" t="s">
        <v>76</v>
      </c>
      <c r="D39" s="0" t="s">
        <v>112</v>
      </c>
      <c r="E39" s="0" t="s">
        <v>141</v>
      </c>
      <c r="F39" s="0" t="s">
        <v>78</v>
      </c>
      <c r="G39" s="0" t="s">
        <v>148</v>
      </c>
      <c r="I39" s="9" t="n">
        <v>1400</v>
      </c>
      <c r="S39" s="0" t="n">
        <v>1</v>
      </c>
    </row>
    <row r="40" customFormat="false" ht="17.15" hidden="false" customHeight="false" outlineLevel="0" collapsed="false">
      <c r="A40" s="0" t="s">
        <v>149</v>
      </c>
      <c r="B40" s="0" t="s">
        <v>150</v>
      </c>
      <c r="C40" s="0" t="s">
        <v>35</v>
      </c>
      <c r="D40" s="5" t="s">
        <v>47</v>
      </c>
      <c r="E40" s="0" t="s">
        <v>118</v>
      </c>
      <c r="F40" s="0" t="s">
        <v>78</v>
      </c>
      <c r="G40" s="0" t="s">
        <v>119</v>
      </c>
      <c r="I40" s="9" t="n">
        <v>2026.5</v>
      </c>
      <c r="S40" s="0" t="n">
        <v>1</v>
      </c>
    </row>
    <row r="41" customFormat="false" ht="17.15" hidden="false" customHeight="false" outlineLevel="0" collapsed="false">
      <c r="A41" s="8" t="s">
        <v>151</v>
      </c>
    </row>
    <row r="42" customFormat="false" ht="17.15" hidden="false" customHeight="false" outlineLevel="0" collapsed="false">
      <c r="A42" s="0" t="s">
        <v>152</v>
      </c>
      <c r="B42" s="0" t="s">
        <v>153</v>
      </c>
      <c r="C42" s="0" t="s">
        <v>111</v>
      </c>
      <c r="D42" s="0" t="s">
        <v>112</v>
      </c>
      <c r="E42" s="0" t="s">
        <v>37</v>
      </c>
      <c r="F42" s="0" t="s">
        <v>43</v>
      </c>
      <c r="G42" s="0" t="s">
        <v>154</v>
      </c>
      <c r="H42" s="9" t="n">
        <v>3900</v>
      </c>
      <c r="I42" s="9" t="n">
        <v>4300</v>
      </c>
      <c r="J42" s="9" t="n">
        <v>4900</v>
      </c>
      <c r="S42" s="0" t="n">
        <v>1</v>
      </c>
    </row>
    <row r="43" customFormat="false" ht="17.15" hidden="false" customHeight="false" outlineLevel="0" collapsed="false">
      <c r="A43" s="0" t="s">
        <v>155</v>
      </c>
      <c r="B43" s="0" t="s">
        <v>156</v>
      </c>
      <c r="C43" s="0" t="s">
        <v>111</v>
      </c>
      <c r="D43" s="0" t="s">
        <v>112</v>
      </c>
      <c r="E43" s="0" t="s">
        <v>37</v>
      </c>
      <c r="F43" s="0" t="s">
        <v>43</v>
      </c>
      <c r="G43" s="0" t="s">
        <v>157</v>
      </c>
      <c r="H43" s="9" t="n">
        <v>1900</v>
      </c>
      <c r="I43" s="9" t="n">
        <v>2200</v>
      </c>
      <c r="J43" s="9" t="n">
        <v>2600</v>
      </c>
      <c r="S43" s="0" t="n">
        <v>1</v>
      </c>
    </row>
    <row r="44" customFormat="false" ht="17.15" hidden="false" customHeight="false" outlineLevel="0" collapsed="false">
      <c r="A44" s="0" t="s">
        <v>158</v>
      </c>
      <c r="B44" s="0" t="s">
        <v>159</v>
      </c>
      <c r="C44" s="5" t="s">
        <v>76</v>
      </c>
      <c r="D44" s="0" t="s">
        <v>112</v>
      </c>
      <c r="E44" s="0" t="s">
        <v>42</v>
      </c>
      <c r="F44" s="0" t="s">
        <v>43</v>
      </c>
      <c r="G44" s="0" t="s">
        <v>160</v>
      </c>
      <c r="H44" s="9" t="n">
        <v>1000</v>
      </c>
      <c r="I44" s="9" t="n">
        <v>1200</v>
      </c>
      <c r="J44" s="9" t="n">
        <v>1500</v>
      </c>
      <c r="S44" s="0" t="n">
        <v>1</v>
      </c>
    </row>
    <row r="45" customFormat="false" ht="17.15" hidden="false" customHeight="false" outlineLevel="0" collapsed="false">
      <c r="A45" s="0" t="s">
        <v>161</v>
      </c>
      <c r="B45" s="5" t="s">
        <v>162</v>
      </c>
      <c r="C45" s="0" t="s">
        <v>111</v>
      </c>
      <c r="D45" s="0" t="s">
        <v>112</v>
      </c>
      <c r="E45" s="0" t="s">
        <v>53</v>
      </c>
      <c r="F45" s="0" t="s">
        <v>163</v>
      </c>
      <c r="G45" s="0" t="s">
        <v>164</v>
      </c>
      <c r="H45" s="9" t="n">
        <v>300</v>
      </c>
      <c r="I45" s="9" t="n">
        <v>500</v>
      </c>
      <c r="J45" s="9" t="n">
        <v>800</v>
      </c>
      <c r="S45" s="0" t="n">
        <v>1</v>
      </c>
    </row>
    <row r="46" customFormat="false" ht="17.15" hidden="false" customHeight="false" outlineLevel="0" collapsed="false">
      <c r="A46" s="0" t="s">
        <v>165</v>
      </c>
      <c r="B46" s="5" t="s">
        <v>166</v>
      </c>
      <c r="C46" s="5" t="s">
        <v>167</v>
      </c>
      <c r="D46" s="0" t="s">
        <v>112</v>
      </c>
      <c r="E46" s="0" t="s">
        <v>53</v>
      </c>
      <c r="F46" s="0" t="s">
        <v>43</v>
      </c>
      <c r="G46" s="0" t="s">
        <v>168</v>
      </c>
      <c r="H46" s="9" t="n">
        <v>8000</v>
      </c>
      <c r="I46" s="9" t="n">
        <v>10000</v>
      </c>
      <c r="J46" s="9" t="n">
        <v>12000</v>
      </c>
      <c r="S46" s="0" t="n">
        <v>1</v>
      </c>
    </row>
    <row r="47" customFormat="false" ht="17.15" hidden="false" customHeight="false" outlineLevel="0" collapsed="false">
      <c r="A47" s="0" t="s">
        <v>169</v>
      </c>
      <c r="B47" s="5" t="s">
        <v>170</v>
      </c>
      <c r="C47" s="5" t="s">
        <v>167</v>
      </c>
      <c r="D47" s="0" t="s">
        <v>112</v>
      </c>
      <c r="E47" s="0" t="s">
        <v>37</v>
      </c>
      <c r="F47" s="0" t="s">
        <v>78</v>
      </c>
      <c r="G47" s="0" t="s">
        <v>171</v>
      </c>
      <c r="H47" s="9" t="n">
        <v>12000</v>
      </c>
      <c r="I47" s="9" t="n">
        <v>14000</v>
      </c>
      <c r="J47" s="9" t="n">
        <v>16000</v>
      </c>
      <c r="S47" s="0" t="n">
        <v>1</v>
      </c>
    </row>
    <row r="48" customFormat="false" ht="17.15" hidden="false" customHeight="false" outlineLevel="0" collapsed="false">
      <c r="A48" s="0" t="s">
        <v>172</v>
      </c>
      <c r="B48" s="5" t="s">
        <v>173</v>
      </c>
      <c r="C48" s="0" t="s">
        <v>35</v>
      </c>
      <c r="D48" s="5" t="s">
        <v>174</v>
      </c>
      <c r="E48" s="0" t="s">
        <v>53</v>
      </c>
      <c r="F48" s="0" t="s">
        <v>43</v>
      </c>
      <c r="G48" s="0" t="s">
        <v>175</v>
      </c>
      <c r="H48" s="9" t="n">
        <v>0</v>
      </c>
      <c r="I48" s="9" t="n">
        <v>1</v>
      </c>
      <c r="J48" s="9" t="n">
        <v>1</v>
      </c>
      <c r="S48" s="0" t="n">
        <v>1</v>
      </c>
    </row>
    <row r="49" customFormat="false" ht="17.15" hidden="false" customHeight="false" outlineLevel="0" collapsed="false">
      <c r="A49" s="0" t="s">
        <v>176</v>
      </c>
      <c r="B49" s="5" t="s">
        <v>177</v>
      </c>
      <c r="C49" s="0" t="s">
        <v>111</v>
      </c>
      <c r="D49" s="0" t="s">
        <v>112</v>
      </c>
      <c r="E49" s="0" t="s">
        <v>53</v>
      </c>
      <c r="F49" s="0" t="s">
        <v>43</v>
      </c>
      <c r="G49" s="0" t="s">
        <v>178</v>
      </c>
      <c r="H49" s="9" t="n">
        <v>1500</v>
      </c>
      <c r="I49" s="9" t="n">
        <v>2000</v>
      </c>
      <c r="J49" s="9" t="n">
        <v>2500</v>
      </c>
      <c r="S49" s="0" t="n">
        <v>1</v>
      </c>
    </row>
    <row r="50" customFormat="false" ht="17.15" hidden="false" customHeight="false" outlineLevel="0" collapsed="false">
      <c r="A50" s="0" t="s">
        <v>179</v>
      </c>
      <c r="B50" s="5" t="s">
        <v>180</v>
      </c>
      <c r="C50" s="0" t="s">
        <v>111</v>
      </c>
      <c r="D50" s="0" t="s">
        <v>112</v>
      </c>
      <c r="E50" s="0" t="s">
        <v>53</v>
      </c>
      <c r="F50" s="0" t="s">
        <v>43</v>
      </c>
      <c r="G50" s="0" t="s">
        <v>181</v>
      </c>
      <c r="H50" s="9" t="n">
        <v>500</v>
      </c>
      <c r="I50" s="9" t="n">
        <v>1000</v>
      </c>
      <c r="J50" s="9" t="n">
        <v>2000</v>
      </c>
      <c r="S50" s="0" t="n">
        <v>1</v>
      </c>
    </row>
    <row r="51" customFormat="false" ht="17.15" hidden="false" customHeight="false" outlineLevel="0" collapsed="false">
      <c r="A51" s="8" t="s">
        <v>182</v>
      </c>
    </row>
    <row r="52" customFormat="false" ht="17.15" hidden="false" customHeight="false" outlineLevel="0" collapsed="false">
      <c r="A52" s="0" t="s">
        <v>183</v>
      </c>
      <c r="B52" s="0" t="s">
        <v>184</v>
      </c>
      <c r="C52" s="5" t="s">
        <v>76</v>
      </c>
      <c r="D52" s="0" t="s">
        <v>77</v>
      </c>
      <c r="E52" s="0" t="s">
        <v>141</v>
      </c>
      <c r="F52" s="0" t="s">
        <v>78</v>
      </c>
      <c r="G52" s="0" t="s">
        <v>185</v>
      </c>
      <c r="I52" s="9" t="n">
        <v>3</v>
      </c>
      <c r="S52" s="0" t="n">
        <v>1</v>
      </c>
    </row>
    <row r="53" customFormat="false" ht="17.15" hidden="false" customHeight="false" outlineLevel="0" collapsed="false">
      <c r="A53" s="0" t="s">
        <v>186</v>
      </c>
      <c r="B53" s="0" t="s">
        <v>187</v>
      </c>
      <c r="C53" s="5" t="s">
        <v>76</v>
      </c>
      <c r="D53" s="0" t="s">
        <v>77</v>
      </c>
      <c r="E53" s="0" t="s">
        <v>141</v>
      </c>
      <c r="F53" s="0" t="s">
        <v>188</v>
      </c>
      <c r="G53" s="0" t="s">
        <v>189</v>
      </c>
      <c r="I53" s="9" t="n">
        <v>4.2</v>
      </c>
      <c r="S53" s="0" t="n">
        <v>1</v>
      </c>
    </row>
    <row r="54" customFormat="false" ht="17.15" hidden="false" customHeight="false" outlineLevel="0" collapsed="false">
      <c r="A54" s="0" t="s">
        <v>190</v>
      </c>
      <c r="B54" s="0" t="s">
        <v>191</v>
      </c>
      <c r="C54" s="5" t="s">
        <v>76</v>
      </c>
      <c r="D54" s="0" t="s">
        <v>77</v>
      </c>
      <c r="E54" s="0" t="s">
        <v>141</v>
      </c>
      <c r="F54" s="0" t="s">
        <v>192</v>
      </c>
      <c r="G54" s="0" t="s">
        <v>193</v>
      </c>
      <c r="I54" s="9" t="n">
        <v>3.5</v>
      </c>
      <c r="S54" s="0" t="n">
        <v>1</v>
      </c>
    </row>
    <row r="55" customFormat="false" ht="17.15" hidden="false" customHeight="false" outlineLevel="0" collapsed="false">
      <c r="A55" s="0" t="s">
        <v>194</v>
      </c>
      <c r="B55" s="0" t="s">
        <v>195</v>
      </c>
      <c r="C55" s="5" t="s">
        <v>76</v>
      </c>
      <c r="D55" s="0" t="s">
        <v>77</v>
      </c>
      <c r="E55" s="0" t="s">
        <v>141</v>
      </c>
      <c r="F55" s="0" t="s">
        <v>188</v>
      </c>
      <c r="G55" s="0" t="s">
        <v>196</v>
      </c>
      <c r="I55" s="9" t="n">
        <v>4.5</v>
      </c>
      <c r="S55" s="0" t="n">
        <v>1</v>
      </c>
    </row>
    <row r="56" customFormat="false" ht="17.15" hidden="false" customHeight="false" outlineLevel="0" collapsed="false">
      <c r="A56" s="0" t="s">
        <v>197</v>
      </c>
      <c r="B56" s="0" t="s">
        <v>198</v>
      </c>
      <c r="C56" s="5" t="s">
        <v>76</v>
      </c>
      <c r="D56" s="0" t="s">
        <v>77</v>
      </c>
      <c r="E56" s="0" t="s">
        <v>141</v>
      </c>
      <c r="F56" s="0" t="s">
        <v>188</v>
      </c>
      <c r="G56" s="0" t="s">
        <v>199</v>
      </c>
      <c r="I56" s="9" t="n">
        <v>5</v>
      </c>
      <c r="S56" s="0" t="n">
        <v>1</v>
      </c>
    </row>
    <row r="57" customFormat="false" ht="17.15" hidden="false" customHeight="false" outlineLevel="0" collapsed="false">
      <c r="A57" s="0" t="s">
        <v>200</v>
      </c>
      <c r="B57" s="0" t="s">
        <v>201</v>
      </c>
      <c r="C57" s="5" t="s">
        <v>76</v>
      </c>
      <c r="D57" s="0" t="s">
        <v>77</v>
      </c>
      <c r="E57" s="0" t="s">
        <v>141</v>
      </c>
      <c r="F57" s="0" t="s">
        <v>188</v>
      </c>
      <c r="G57" s="0" t="s">
        <v>202</v>
      </c>
      <c r="I57" s="9" t="n">
        <v>1</v>
      </c>
      <c r="S57" s="0" t="n">
        <v>1</v>
      </c>
    </row>
    <row r="58" customFormat="false" ht="17.15" hidden="false" customHeight="false" outlineLevel="0" collapsed="false">
      <c r="A58" s="0" t="s">
        <v>203</v>
      </c>
      <c r="B58" s="0" t="s">
        <v>204</v>
      </c>
      <c r="C58" s="5" t="s">
        <v>76</v>
      </c>
      <c r="D58" s="0" t="s">
        <v>77</v>
      </c>
      <c r="E58" s="0" t="s">
        <v>141</v>
      </c>
      <c r="F58" s="0" t="s">
        <v>188</v>
      </c>
      <c r="G58" s="0" t="s">
        <v>205</v>
      </c>
      <c r="I58" s="9" t="n">
        <v>1</v>
      </c>
      <c r="S58" s="0" t="n">
        <v>1</v>
      </c>
    </row>
    <row r="59" customFormat="false" ht="17.15" hidden="false" customHeight="false" outlineLevel="0" collapsed="false">
      <c r="A59" s="0" t="s">
        <v>206</v>
      </c>
      <c r="B59" s="0" t="s">
        <v>207</v>
      </c>
      <c r="C59" s="5" t="s">
        <v>76</v>
      </c>
      <c r="D59" s="0" t="s">
        <v>77</v>
      </c>
      <c r="E59" s="0" t="s">
        <v>141</v>
      </c>
      <c r="F59" s="0" t="s">
        <v>78</v>
      </c>
      <c r="G59" s="0" t="s">
        <v>208</v>
      </c>
      <c r="I59" s="9" t="n">
        <v>10</v>
      </c>
      <c r="S59" s="0" t="n">
        <v>1</v>
      </c>
    </row>
    <row r="60" customFormat="false" ht="17.15" hidden="false" customHeight="false" outlineLevel="0" collapsed="false">
      <c r="A60" s="0" t="s">
        <v>209</v>
      </c>
      <c r="B60" s="0" t="s">
        <v>210</v>
      </c>
      <c r="C60" s="5" t="s">
        <v>76</v>
      </c>
      <c r="D60" s="0" t="s">
        <v>77</v>
      </c>
      <c r="E60" s="0" t="s">
        <v>141</v>
      </c>
      <c r="F60" s="0" t="s">
        <v>188</v>
      </c>
      <c r="G60" s="0" t="s">
        <v>211</v>
      </c>
      <c r="I60" s="9" t="n">
        <v>38</v>
      </c>
      <c r="S60" s="0" t="n">
        <v>1</v>
      </c>
    </row>
    <row r="61" customFormat="false" ht="17.15" hidden="false" customHeight="false" outlineLevel="0" collapsed="false">
      <c r="A61" s="0" t="s">
        <v>212</v>
      </c>
      <c r="B61" s="0" t="s">
        <v>213</v>
      </c>
      <c r="C61" s="0" t="s">
        <v>35</v>
      </c>
      <c r="D61" s="0" t="s">
        <v>214</v>
      </c>
      <c r="E61" s="0" t="s">
        <v>118</v>
      </c>
      <c r="F61" s="0" t="s">
        <v>114</v>
      </c>
      <c r="G61" s="0" t="s">
        <v>215</v>
      </c>
      <c r="I61" s="9" t="n">
        <v>329.1</v>
      </c>
      <c r="S61" s="0" t="n">
        <v>1</v>
      </c>
    </row>
    <row r="62" customFormat="false" ht="17.15" hidden="false" customHeight="false" outlineLevel="0" collapsed="false">
      <c r="A62" s="0" t="s">
        <v>216</v>
      </c>
      <c r="B62" s="0" t="s">
        <v>217</v>
      </c>
      <c r="C62" s="0" t="s">
        <v>35</v>
      </c>
      <c r="D62" s="0" t="s">
        <v>214</v>
      </c>
      <c r="E62" s="0" t="s">
        <v>118</v>
      </c>
      <c r="F62" s="0" t="s">
        <v>123</v>
      </c>
      <c r="G62" s="0" t="s">
        <v>218</v>
      </c>
      <c r="I62" s="9" t="n">
        <v>85.2</v>
      </c>
      <c r="S62" s="0" t="n">
        <v>1</v>
      </c>
    </row>
    <row r="63" customFormat="false" ht="17.15" hidden="false" customHeight="false" outlineLevel="0" collapsed="false">
      <c r="A63" s="0" t="s">
        <v>219</v>
      </c>
      <c r="B63" s="0" t="s">
        <v>220</v>
      </c>
      <c r="C63" s="0" t="s">
        <v>35</v>
      </c>
      <c r="D63" s="0" t="s">
        <v>214</v>
      </c>
      <c r="E63" s="0" t="s">
        <v>118</v>
      </c>
      <c r="F63" s="0" t="s">
        <v>68</v>
      </c>
      <c r="G63" s="0" t="s">
        <v>221</v>
      </c>
      <c r="I63" s="9" t="n">
        <v>137.214</v>
      </c>
      <c r="S63" s="0" t="n">
        <v>1</v>
      </c>
    </row>
    <row r="64" customFormat="false" ht="17.15" hidden="false" customHeight="false" outlineLevel="0" collapsed="false">
      <c r="A64" s="8" t="s">
        <v>222</v>
      </c>
    </row>
    <row r="65" customFormat="false" ht="17.15" hidden="false" customHeight="false" outlineLevel="0" collapsed="false">
      <c r="A65" s="0" t="s">
        <v>223</v>
      </c>
      <c r="B65" s="5" t="s">
        <v>224</v>
      </c>
      <c r="C65" s="0" t="s">
        <v>35</v>
      </c>
      <c r="D65" s="0" t="s">
        <v>225</v>
      </c>
      <c r="E65" s="0" t="s">
        <v>37</v>
      </c>
      <c r="F65" s="0" t="s">
        <v>226</v>
      </c>
      <c r="G65" s="0" t="s">
        <v>227</v>
      </c>
      <c r="H65" s="9" t="n">
        <v>2</v>
      </c>
      <c r="I65" s="9" t="n">
        <v>2.55</v>
      </c>
      <c r="J65" s="9" t="n">
        <v>3.4</v>
      </c>
      <c r="S65" s="0" t="n">
        <v>1</v>
      </c>
    </row>
    <row r="66" customFormat="false" ht="17.15" hidden="false" customHeight="false" outlineLevel="0" collapsed="false">
      <c r="A66" s="0" t="s">
        <v>228</v>
      </c>
      <c r="B66" s="5" t="s">
        <v>229</v>
      </c>
      <c r="C66" s="0" t="s">
        <v>35</v>
      </c>
      <c r="D66" s="0" t="s">
        <v>36</v>
      </c>
      <c r="E66" s="0" t="s">
        <v>53</v>
      </c>
      <c r="F66" s="0" t="s">
        <v>230</v>
      </c>
      <c r="G66" s="0" t="s">
        <v>231</v>
      </c>
      <c r="H66" s="9" t="n">
        <v>0</v>
      </c>
      <c r="I66" s="9" t="n">
        <v>1.6</v>
      </c>
      <c r="J66" s="9" t="n">
        <v>2.4</v>
      </c>
      <c r="S66" s="0" t="n">
        <v>1</v>
      </c>
    </row>
    <row r="67" customFormat="false" ht="17.15" hidden="false" customHeight="false" outlineLevel="0" collapsed="false">
      <c r="A67" s="0" t="s">
        <v>232</v>
      </c>
      <c r="B67" s="5" t="s">
        <v>233</v>
      </c>
      <c r="C67" s="0" t="s">
        <v>35</v>
      </c>
      <c r="D67" s="0" t="s">
        <v>234</v>
      </c>
      <c r="E67" s="0" t="s">
        <v>235</v>
      </c>
      <c r="F67" s="0" t="s">
        <v>226</v>
      </c>
      <c r="G67" s="0" t="s">
        <v>236</v>
      </c>
      <c r="H67" s="9" t="n">
        <v>0.5</v>
      </c>
      <c r="I67" s="9" t="n">
        <v>1</v>
      </c>
      <c r="J67" s="9" t="n">
        <v>1.2</v>
      </c>
      <c r="S67" s="0" t="n">
        <v>1</v>
      </c>
    </row>
    <row r="68" customFormat="false" ht="17.15" hidden="false" customHeight="false" outlineLevel="0" collapsed="false">
      <c r="A68" s="0" t="s">
        <v>237</v>
      </c>
      <c r="B68" s="0" t="s">
        <v>238</v>
      </c>
      <c r="C68" s="0" t="s">
        <v>35</v>
      </c>
      <c r="D68" s="0" t="s">
        <v>225</v>
      </c>
      <c r="E68" s="0" t="s">
        <v>37</v>
      </c>
      <c r="F68" s="0" t="s">
        <v>226</v>
      </c>
      <c r="G68" s="5" t="s">
        <v>239</v>
      </c>
      <c r="H68" s="9" t="n">
        <v>0.5</v>
      </c>
      <c r="I68" s="9" t="n">
        <v>0.75</v>
      </c>
      <c r="J68" s="9" t="n">
        <v>1.5</v>
      </c>
      <c r="S68" s="0" t="n">
        <v>1</v>
      </c>
    </row>
    <row r="69" customFormat="false" ht="17.15" hidden="false" customHeight="false" outlineLevel="0" collapsed="false">
      <c r="A69" s="0" t="s">
        <v>240</v>
      </c>
      <c r="B69" s="5" t="s">
        <v>241</v>
      </c>
      <c r="C69" s="0" t="s">
        <v>35</v>
      </c>
      <c r="D69" s="0" t="s">
        <v>225</v>
      </c>
      <c r="E69" s="0" t="s">
        <v>37</v>
      </c>
      <c r="F69" s="0" t="s">
        <v>226</v>
      </c>
      <c r="G69" s="0" t="s">
        <v>242</v>
      </c>
      <c r="H69" s="9" t="n">
        <v>1.5</v>
      </c>
      <c r="I69" s="9" t="n">
        <v>1.9</v>
      </c>
      <c r="J69" s="9" t="n">
        <v>3.5</v>
      </c>
      <c r="S69" s="0" t="n">
        <v>1</v>
      </c>
    </row>
    <row r="70" customFormat="false" ht="17.15" hidden="false" customHeight="false" outlineLevel="0" collapsed="false">
      <c r="A70" s="0" t="s">
        <v>243</v>
      </c>
      <c r="B70" s="5" t="s">
        <v>244</v>
      </c>
      <c r="C70" s="0" t="s">
        <v>35</v>
      </c>
      <c r="D70" s="0" t="s">
        <v>225</v>
      </c>
      <c r="E70" s="0" t="s">
        <v>37</v>
      </c>
      <c r="F70" s="0" t="s">
        <v>226</v>
      </c>
      <c r="G70" s="0" t="s">
        <v>245</v>
      </c>
      <c r="H70" s="9" t="n">
        <v>1.4</v>
      </c>
      <c r="I70" s="9" t="n">
        <v>1.7</v>
      </c>
      <c r="J70" s="9" t="n">
        <v>2.3</v>
      </c>
      <c r="S70" s="0" t="n">
        <v>1</v>
      </c>
    </row>
    <row r="71" customFormat="false" ht="17.15" hidden="false" customHeight="false" outlineLevel="0" collapsed="false">
      <c r="A71" s="0" t="s">
        <v>246</v>
      </c>
      <c r="B71" s="5" t="s">
        <v>247</v>
      </c>
      <c r="C71" s="0" t="s">
        <v>35</v>
      </c>
      <c r="D71" s="0" t="s">
        <v>225</v>
      </c>
      <c r="E71" s="0" t="s">
        <v>37</v>
      </c>
      <c r="F71" s="0" t="s">
        <v>226</v>
      </c>
      <c r="G71" s="0" t="s">
        <v>248</v>
      </c>
      <c r="H71" s="9" t="n">
        <v>2.4</v>
      </c>
      <c r="I71" s="9" t="n">
        <v>2.95</v>
      </c>
      <c r="J71" s="9" t="n">
        <v>3.4</v>
      </c>
      <c r="S71" s="0" t="n">
        <v>1</v>
      </c>
    </row>
    <row r="72" customFormat="false" ht="17.15" hidden="false" customHeight="false" outlineLevel="0" collapsed="false">
      <c r="A72" s="0" t="s">
        <v>249</v>
      </c>
      <c r="B72" s="5" t="s">
        <v>250</v>
      </c>
      <c r="C72" s="0" t="s">
        <v>35</v>
      </c>
      <c r="D72" s="0" t="s">
        <v>225</v>
      </c>
      <c r="E72" s="0" t="s">
        <v>37</v>
      </c>
      <c r="F72" s="0" t="s">
        <v>226</v>
      </c>
      <c r="G72" s="0" t="s">
        <v>251</v>
      </c>
      <c r="H72" s="9" t="n">
        <v>0.6</v>
      </c>
      <c r="I72" s="9" t="n">
        <v>0.9</v>
      </c>
      <c r="J72" s="9" t="n">
        <v>1.3</v>
      </c>
      <c r="S72" s="0" t="n">
        <v>1</v>
      </c>
    </row>
    <row r="73" customFormat="false" ht="17.15" hidden="false" customHeight="false" outlineLevel="0" collapsed="false">
      <c r="A73" s="0" t="s">
        <v>252</v>
      </c>
      <c r="B73" s="5" t="s">
        <v>253</v>
      </c>
      <c r="C73" s="0" t="s">
        <v>35</v>
      </c>
      <c r="D73" s="0" t="s">
        <v>225</v>
      </c>
      <c r="E73" s="0" t="s">
        <v>37</v>
      </c>
      <c r="F73" s="0" t="s">
        <v>226</v>
      </c>
      <c r="G73" s="0" t="s">
        <v>254</v>
      </c>
      <c r="H73" s="9" t="n">
        <v>0.25</v>
      </c>
      <c r="I73" s="9" t="n">
        <v>0.3</v>
      </c>
      <c r="J73" s="9" t="n">
        <v>0.9</v>
      </c>
      <c r="S73" s="0" t="n">
        <v>1</v>
      </c>
    </row>
    <row r="74" customFormat="false" ht="17.15" hidden="false" customHeight="false" outlineLevel="0" collapsed="false">
      <c r="A74" s="0" t="s">
        <v>255</v>
      </c>
      <c r="B74" s="5" t="s">
        <v>256</v>
      </c>
      <c r="C74" s="0" t="s">
        <v>35</v>
      </c>
      <c r="D74" s="0" t="s">
        <v>225</v>
      </c>
      <c r="E74" s="0" t="s">
        <v>37</v>
      </c>
      <c r="F74" s="0" t="s">
        <v>226</v>
      </c>
      <c r="G74" s="0" t="s">
        <v>257</v>
      </c>
      <c r="H74" s="9" t="n">
        <v>0.05</v>
      </c>
      <c r="I74" s="9" t="n">
        <v>0.2</v>
      </c>
      <c r="J74" s="9" t="n">
        <v>0.9</v>
      </c>
      <c r="S74" s="0" t="n">
        <v>1</v>
      </c>
    </row>
    <row r="75" customFormat="false" ht="17.15" hidden="false" customHeight="false" outlineLevel="0" collapsed="false">
      <c r="A75" s="0" t="s">
        <v>258</v>
      </c>
      <c r="B75" s="5" t="s">
        <v>259</v>
      </c>
      <c r="C75" s="0" t="s">
        <v>35</v>
      </c>
      <c r="D75" s="0" t="s">
        <v>225</v>
      </c>
      <c r="E75" s="0" t="s">
        <v>37</v>
      </c>
      <c r="F75" s="0" t="s">
        <v>226</v>
      </c>
      <c r="G75" s="0" t="s">
        <v>260</v>
      </c>
      <c r="H75" s="9" t="n">
        <v>1.4</v>
      </c>
      <c r="I75" s="9" t="n">
        <v>1.4</v>
      </c>
      <c r="J75" s="9" t="n">
        <v>1.4</v>
      </c>
      <c r="S75" s="0" t="n">
        <v>1</v>
      </c>
    </row>
    <row r="76" customFormat="false" ht="17.15" hidden="false" customHeight="false" outlineLevel="0" collapsed="false">
      <c r="A76" s="8" t="s">
        <v>261</v>
      </c>
    </row>
    <row r="77" customFormat="false" ht="17.15" hidden="false" customHeight="false" outlineLevel="0" collapsed="false">
      <c r="A77" s="0" t="s">
        <v>262</v>
      </c>
      <c r="B77" s="5" t="s">
        <v>263</v>
      </c>
      <c r="C77" s="0" t="s">
        <v>35</v>
      </c>
      <c r="D77" s="0" t="s">
        <v>36</v>
      </c>
      <c r="E77" s="0" t="s">
        <v>53</v>
      </c>
      <c r="F77" s="0" t="s">
        <v>226</v>
      </c>
      <c r="G77" s="0" t="s">
        <v>264</v>
      </c>
      <c r="H77" s="9" t="n">
        <v>1.1</v>
      </c>
      <c r="I77" s="9" t="n">
        <v>1.44</v>
      </c>
      <c r="J77" s="9" t="n">
        <v>1.8</v>
      </c>
      <c r="S77" s="0" t="n">
        <v>1</v>
      </c>
    </row>
    <row r="78" customFormat="false" ht="17.15" hidden="false" customHeight="false" outlineLevel="0" collapsed="false">
      <c r="A78" s="0" t="s">
        <v>265</v>
      </c>
      <c r="B78" s="5" t="s">
        <v>266</v>
      </c>
      <c r="C78" s="0" t="s">
        <v>35</v>
      </c>
      <c r="D78" s="0" t="s">
        <v>234</v>
      </c>
      <c r="E78" s="0" t="s">
        <v>42</v>
      </c>
      <c r="F78" s="0" t="s">
        <v>226</v>
      </c>
      <c r="G78" s="0" t="s">
        <v>267</v>
      </c>
      <c r="H78" s="9" t="n">
        <v>0.8</v>
      </c>
      <c r="I78" s="9" t="n">
        <v>1.6</v>
      </c>
      <c r="J78" s="9" t="n">
        <v>2.2</v>
      </c>
      <c r="S78" s="0" t="n">
        <v>1</v>
      </c>
    </row>
    <row r="79" customFormat="false" ht="17.15" hidden="false" customHeight="false" outlineLevel="0" collapsed="false">
      <c r="A79" s="0" t="s">
        <v>268</v>
      </c>
      <c r="B79" s="5" t="s">
        <v>269</v>
      </c>
      <c r="C79" s="0" t="s">
        <v>35</v>
      </c>
      <c r="D79" s="0" t="s">
        <v>52</v>
      </c>
      <c r="E79" s="0" t="s">
        <v>53</v>
      </c>
      <c r="F79" s="0" t="s">
        <v>48</v>
      </c>
      <c r="G79" s="0" t="s">
        <v>270</v>
      </c>
      <c r="H79" s="10" t="n">
        <v>0.1</v>
      </c>
      <c r="I79" s="10" t="n">
        <v>0.2</v>
      </c>
      <c r="J79" s="10" t="n">
        <v>0.35</v>
      </c>
      <c r="S79" s="0" t="n">
        <v>1</v>
      </c>
    </row>
    <row r="80" customFormat="false" ht="17.15" hidden="false" customHeight="false" outlineLevel="0" collapsed="false">
      <c r="A80" s="0" t="s">
        <v>271</v>
      </c>
      <c r="B80" s="5" t="s">
        <v>272</v>
      </c>
      <c r="C80" s="0" t="s">
        <v>35</v>
      </c>
      <c r="D80" s="0" t="s">
        <v>273</v>
      </c>
      <c r="E80" s="0" t="s">
        <v>37</v>
      </c>
      <c r="F80" s="0" t="s">
        <v>230</v>
      </c>
      <c r="G80" s="0" t="s">
        <v>274</v>
      </c>
      <c r="H80" s="9" t="n">
        <v>2.1</v>
      </c>
      <c r="I80" s="9" t="n">
        <v>2.67</v>
      </c>
      <c r="J80" s="9" t="n">
        <v>3.15</v>
      </c>
      <c r="S80" s="0" t="n">
        <v>1</v>
      </c>
    </row>
    <row r="81" customFormat="false" ht="17.15" hidden="false" customHeight="false" outlineLevel="0" collapsed="false">
      <c r="A81" s="0" t="s">
        <v>275</v>
      </c>
      <c r="B81" s="5" t="s">
        <v>276</v>
      </c>
      <c r="C81" s="0" t="s">
        <v>35</v>
      </c>
      <c r="D81" s="0" t="s">
        <v>77</v>
      </c>
      <c r="E81" s="0" t="s">
        <v>42</v>
      </c>
      <c r="F81" s="0" t="s">
        <v>226</v>
      </c>
      <c r="G81" s="0" t="s">
        <v>277</v>
      </c>
      <c r="H81" s="9" t="n">
        <v>5</v>
      </c>
      <c r="I81" s="9" t="n">
        <v>90</v>
      </c>
      <c r="J81" s="9" t="n">
        <v>90</v>
      </c>
      <c r="S81" s="0" t="n">
        <v>1</v>
      </c>
    </row>
    <row r="82" customFormat="false" ht="17.15" hidden="false" customHeight="false" outlineLevel="0" collapsed="false">
      <c r="A82" s="0" t="s">
        <v>278</v>
      </c>
      <c r="B82" s="5" t="s">
        <v>279</v>
      </c>
      <c r="C82" s="0" t="s">
        <v>35</v>
      </c>
      <c r="D82" s="0" t="s">
        <v>77</v>
      </c>
      <c r="E82" s="0" t="s">
        <v>42</v>
      </c>
      <c r="F82" s="0" t="s">
        <v>226</v>
      </c>
      <c r="G82" s="0" t="s">
        <v>280</v>
      </c>
      <c r="H82" s="9" t="n">
        <v>2</v>
      </c>
      <c r="I82" s="9" t="n">
        <v>2</v>
      </c>
      <c r="J82" s="9" t="n">
        <v>3.2</v>
      </c>
      <c r="S82" s="0" t="n">
        <v>1</v>
      </c>
    </row>
    <row r="83" customFormat="false" ht="17.15" hidden="false" customHeight="false" outlineLevel="0" collapsed="false">
      <c r="A83" s="0" t="s">
        <v>281</v>
      </c>
      <c r="B83" s="0" t="s">
        <v>282</v>
      </c>
      <c r="C83" s="0" t="s">
        <v>35</v>
      </c>
      <c r="D83" s="0" t="s">
        <v>36</v>
      </c>
      <c r="E83" s="0" t="s">
        <v>37</v>
      </c>
      <c r="F83" s="0" t="s">
        <v>283</v>
      </c>
      <c r="G83" s="0" t="s">
        <v>284</v>
      </c>
      <c r="H83" s="9" t="n">
        <v>0.5</v>
      </c>
      <c r="I83" s="9" t="n">
        <v>0.67</v>
      </c>
      <c r="J83" s="9" t="n">
        <v>0.85</v>
      </c>
      <c r="S83" s="0" t="n">
        <v>1</v>
      </c>
    </row>
    <row r="84" customFormat="false" ht="17.15" hidden="false" customHeight="false" outlineLevel="0" collapsed="false">
      <c r="A84" s="8" t="s">
        <v>285</v>
      </c>
    </row>
    <row r="85" customFormat="false" ht="17.15" hidden="false" customHeight="false" outlineLevel="0" collapsed="false">
      <c r="A85" s="0" t="s">
        <v>286</v>
      </c>
      <c r="B85" s="0" t="s">
        <v>287</v>
      </c>
      <c r="C85" s="0" t="s">
        <v>35</v>
      </c>
      <c r="D85" s="0" t="s">
        <v>52</v>
      </c>
      <c r="E85" s="0" t="s">
        <v>37</v>
      </c>
      <c r="F85" s="0" t="s">
        <v>123</v>
      </c>
      <c r="G85" s="0" t="s">
        <v>288</v>
      </c>
      <c r="I85" s="10" t="n">
        <v>0.753</v>
      </c>
      <c r="S85" s="0" t="n">
        <v>1</v>
      </c>
    </row>
    <row r="86" customFormat="false" ht="17.15" hidden="false" customHeight="false" outlineLevel="0" collapsed="false">
      <c r="A86" s="0" t="s">
        <v>289</v>
      </c>
      <c r="B86" s="0" t="s">
        <v>290</v>
      </c>
      <c r="C86" s="0" t="s">
        <v>35</v>
      </c>
      <c r="D86" s="0" t="s">
        <v>52</v>
      </c>
      <c r="E86" s="0" t="s">
        <v>37</v>
      </c>
      <c r="F86" s="0" t="s">
        <v>68</v>
      </c>
      <c r="G86" s="0" t="s">
        <v>291</v>
      </c>
      <c r="I86" s="10" t="n">
        <v>0.67</v>
      </c>
      <c r="S86" s="0" t="n">
        <v>1</v>
      </c>
    </row>
    <row r="87" customFormat="false" ht="17.15" hidden="false" customHeight="false" outlineLevel="0" collapsed="false">
      <c r="A87" s="0" t="s">
        <v>292</v>
      </c>
      <c r="B87" s="0" t="s">
        <v>293</v>
      </c>
      <c r="C87" s="0" t="s">
        <v>35</v>
      </c>
      <c r="D87" s="0" t="s">
        <v>52</v>
      </c>
      <c r="E87" s="0" t="s">
        <v>37</v>
      </c>
      <c r="F87" s="0" t="s">
        <v>142</v>
      </c>
      <c r="G87" s="0" t="s">
        <v>294</v>
      </c>
      <c r="I87" s="10" t="n">
        <v>0</v>
      </c>
      <c r="S87" s="0" t="n">
        <v>1</v>
      </c>
    </row>
    <row r="88" customFormat="false" ht="17.15" hidden="false" customHeight="false" outlineLevel="0" collapsed="false">
      <c r="A88" s="0" t="s">
        <v>295</v>
      </c>
      <c r="B88" s="0" t="s">
        <v>296</v>
      </c>
      <c r="C88" s="0" t="s">
        <v>35</v>
      </c>
      <c r="D88" s="0" t="s">
        <v>52</v>
      </c>
      <c r="E88" s="0" t="s">
        <v>37</v>
      </c>
      <c r="F88" s="0" t="s">
        <v>297</v>
      </c>
      <c r="G88" s="0" t="s">
        <v>294</v>
      </c>
      <c r="I88" s="10" t="n">
        <v>0</v>
      </c>
      <c r="S88" s="0" t="n">
        <v>1</v>
      </c>
    </row>
    <row r="89" customFormat="false" ht="17.15" hidden="false" customHeight="false" outlineLevel="0" collapsed="false">
      <c r="A89" s="0" t="s">
        <v>298</v>
      </c>
      <c r="B89" s="0" t="s">
        <v>299</v>
      </c>
      <c r="C89" s="0" t="s">
        <v>35</v>
      </c>
      <c r="D89" s="0" t="s">
        <v>52</v>
      </c>
      <c r="E89" s="0" t="s">
        <v>37</v>
      </c>
      <c r="F89" s="0" t="s">
        <v>300</v>
      </c>
      <c r="G89" s="0" t="s">
        <v>294</v>
      </c>
      <c r="I89" s="10" t="n">
        <v>0</v>
      </c>
      <c r="S89" s="0" t="n">
        <v>1</v>
      </c>
    </row>
    <row r="90" customFormat="false" ht="17.15" hidden="false" customHeight="false" outlineLevel="0" collapsed="false">
      <c r="A90" s="0" t="s">
        <v>301</v>
      </c>
      <c r="B90" s="0" t="s">
        <v>302</v>
      </c>
      <c r="C90" s="0" t="s">
        <v>35</v>
      </c>
      <c r="D90" s="0" t="s">
        <v>52</v>
      </c>
      <c r="E90" s="0" t="s">
        <v>37</v>
      </c>
      <c r="F90" s="0" t="s">
        <v>78</v>
      </c>
      <c r="G90" s="0" t="s">
        <v>303</v>
      </c>
      <c r="I90" s="10" t="n">
        <v>0</v>
      </c>
      <c r="S90" s="0" t="n">
        <v>1</v>
      </c>
    </row>
    <row r="91" customFormat="false" ht="17.15" hidden="false" customHeight="false" outlineLevel="0" collapsed="false">
      <c r="A91" s="8" t="s">
        <v>304</v>
      </c>
    </row>
    <row r="92" customFormat="false" ht="17.15" hidden="false" customHeight="false" outlineLevel="0" collapsed="false">
      <c r="A92" s="0" t="s">
        <v>305</v>
      </c>
      <c r="B92" s="0" t="s">
        <v>306</v>
      </c>
      <c r="C92" s="0" t="s">
        <v>35</v>
      </c>
      <c r="D92" s="5" t="s">
        <v>57</v>
      </c>
      <c r="E92" s="0" t="s">
        <v>118</v>
      </c>
      <c r="F92" s="0" t="s">
        <v>114</v>
      </c>
      <c r="G92" s="0" t="s">
        <v>307</v>
      </c>
      <c r="I92" s="9" t="n">
        <v>6</v>
      </c>
      <c r="S92" s="0" t="n">
        <v>1</v>
      </c>
    </row>
    <row r="93" customFormat="false" ht="17.15" hidden="false" customHeight="false" outlineLevel="0" collapsed="false">
      <c r="A93" s="0" t="s">
        <v>308</v>
      </c>
      <c r="B93" s="0" t="s">
        <v>309</v>
      </c>
      <c r="C93" s="0" t="s">
        <v>35</v>
      </c>
      <c r="D93" s="5" t="s">
        <v>57</v>
      </c>
      <c r="E93" s="0" t="s">
        <v>118</v>
      </c>
      <c r="F93" s="0" t="s">
        <v>123</v>
      </c>
      <c r="G93" s="0" t="s">
        <v>307</v>
      </c>
      <c r="I93" s="9" t="n">
        <v>12</v>
      </c>
      <c r="S93" s="0" t="n">
        <v>1</v>
      </c>
    </row>
    <row r="94" customFormat="false" ht="17.15" hidden="false" customHeight="false" outlineLevel="0" collapsed="false">
      <c r="A94" s="0" t="s">
        <v>310</v>
      </c>
      <c r="B94" s="0" t="s">
        <v>311</v>
      </c>
      <c r="C94" s="0" t="s">
        <v>35</v>
      </c>
      <c r="D94" s="5" t="s">
        <v>57</v>
      </c>
      <c r="E94" s="0" t="s">
        <v>118</v>
      </c>
      <c r="F94" s="0" t="s">
        <v>68</v>
      </c>
      <c r="G94" s="0" t="s">
        <v>307</v>
      </c>
      <c r="I94" s="9" t="n">
        <v>12</v>
      </c>
      <c r="S94" s="0" t="n">
        <v>1</v>
      </c>
    </row>
    <row r="95" customFormat="false" ht="17.15" hidden="false" customHeight="false" outlineLevel="0" collapsed="false">
      <c r="A95" s="0" t="s">
        <v>312</v>
      </c>
      <c r="B95" s="0" t="s">
        <v>313</v>
      </c>
      <c r="C95" s="0" t="s">
        <v>35</v>
      </c>
      <c r="D95" s="5" t="s">
        <v>57</v>
      </c>
      <c r="E95" s="0" t="s">
        <v>118</v>
      </c>
      <c r="F95" s="0" t="s">
        <v>134</v>
      </c>
      <c r="G95" s="0" t="s">
        <v>307</v>
      </c>
      <c r="I95" s="9" t="n">
        <v>5</v>
      </c>
      <c r="S95" s="0" t="n">
        <v>1</v>
      </c>
    </row>
    <row r="96" customFormat="false" ht="17.15" hidden="false" customHeight="false" outlineLevel="0" collapsed="false">
      <c r="A96" s="0" t="s">
        <v>314</v>
      </c>
      <c r="B96" s="0" t="s">
        <v>315</v>
      </c>
      <c r="C96" s="0" t="s">
        <v>35</v>
      </c>
      <c r="D96" s="5" t="s">
        <v>57</v>
      </c>
      <c r="E96" s="0" t="s">
        <v>118</v>
      </c>
      <c r="F96" s="0" t="s">
        <v>142</v>
      </c>
      <c r="G96" s="0" t="s">
        <v>307</v>
      </c>
      <c r="I96" s="9" t="n">
        <v>12</v>
      </c>
      <c r="S96" s="0" t="n">
        <v>1</v>
      </c>
    </row>
    <row r="97" customFormat="false" ht="17.15" hidden="false" customHeight="false" outlineLevel="0" collapsed="false">
      <c r="A97" s="0" t="s">
        <v>316</v>
      </c>
      <c r="B97" s="0" t="s">
        <v>317</v>
      </c>
      <c r="C97" s="0" t="s">
        <v>35</v>
      </c>
      <c r="D97" s="5" t="s">
        <v>57</v>
      </c>
      <c r="E97" s="0" t="s">
        <v>118</v>
      </c>
      <c r="F97" s="0" t="s">
        <v>297</v>
      </c>
      <c r="G97" s="0" t="s">
        <v>307</v>
      </c>
      <c r="I97" s="9" t="n">
        <v>12</v>
      </c>
      <c r="S97" s="0" t="n">
        <v>1</v>
      </c>
    </row>
    <row r="98" customFormat="false" ht="17.15" hidden="false" customHeight="false" outlineLevel="0" collapsed="false">
      <c r="A98" s="0" t="s">
        <v>318</v>
      </c>
      <c r="B98" s="0" t="s">
        <v>319</v>
      </c>
      <c r="C98" s="0" t="s">
        <v>35</v>
      </c>
      <c r="D98" s="5" t="s">
        <v>57</v>
      </c>
      <c r="E98" s="0" t="s">
        <v>118</v>
      </c>
      <c r="F98" s="0" t="s">
        <v>300</v>
      </c>
      <c r="G98" s="0" t="s">
        <v>307</v>
      </c>
      <c r="I98" s="9" t="n">
        <v>12</v>
      </c>
      <c r="S98" s="0" t="n">
        <v>1</v>
      </c>
    </row>
    <row r="99" customFormat="false" ht="17.15" hidden="false" customHeight="false" outlineLevel="0" collapsed="false">
      <c r="A99" s="0" t="s">
        <v>320</v>
      </c>
      <c r="B99" s="0" t="s">
        <v>321</v>
      </c>
      <c r="C99" s="0" t="s">
        <v>35</v>
      </c>
      <c r="D99" s="5" t="s">
        <v>57</v>
      </c>
      <c r="E99" s="0" t="s">
        <v>118</v>
      </c>
      <c r="F99" s="0" t="s">
        <v>188</v>
      </c>
      <c r="G99" s="0" t="s">
        <v>322</v>
      </c>
      <c r="I99" s="9" t="n">
        <v>12</v>
      </c>
      <c r="S99" s="0" t="n">
        <v>1</v>
      </c>
    </row>
    <row r="100" customFormat="false" ht="17.15" hidden="false" customHeight="false" outlineLevel="0" collapsed="false">
      <c r="A100" s="8" t="s">
        <v>323</v>
      </c>
    </row>
    <row r="101" customFormat="false" ht="17.15" hidden="false" customHeight="false" outlineLevel="0" collapsed="false">
      <c r="A101" s="0" t="s">
        <v>324</v>
      </c>
      <c r="B101" s="0" t="s">
        <v>325</v>
      </c>
      <c r="C101" s="5" t="s">
        <v>122</v>
      </c>
      <c r="D101" s="0" t="s">
        <v>112</v>
      </c>
      <c r="E101" s="0" t="s">
        <v>42</v>
      </c>
      <c r="F101" s="0" t="s">
        <v>188</v>
      </c>
      <c r="G101" s="0" t="s">
        <v>326</v>
      </c>
      <c r="I101" s="11" t="n">
        <v>861.5</v>
      </c>
      <c r="J101" s="11" t="n">
        <v>2015.7</v>
      </c>
      <c r="S101" s="0" t="n">
        <v>2</v>
      </c>
    </row>
    <row r="102" customFormat="false" ht="17.15" hidden="false" customHeight="false" outlineLevel="0" collapsed="false">
      <c r="A102" s="0" t="s">
        <v>327</v>
      </c>
      <c r="B102" s="0" t="s">
        <v>328</v>
      </c>
      <c r="C102" s="5" t="s">
        <v>122</v>
      </c>
      <c r="D102" s="0" t="s">
        <v>112</v>
      </c>
      <c r="E102" s="0" t="s">
        <v>42</v>
      </c>
      <c r="F102" s="0" t="s">
        <v>188</v>
      </c>
      <c r="G102" s="0" t="s">
        <v>329</v>
      </c>
      <c r="H102" s="11" t="n">
        <v>385</v>
      </c>
      <c r="I102" s="11" t="n">
        <v>1298.3</v>
      </c>
      <c r="J102" s="11" t="n">
        <v>2953.2</v>
      </c>
      <c r="S102" s="0" t="n">
        <v>2</v>
      </c>
    </row>
    <row r="103" customFormat="false" ht="17.15" hidden="false" customHeight="false" outlineLevel="0" collapsed="false">
      <c r="A103" s="0" t="s">
        <v>330</v>
      </c>
      <c r="B103" s="0" t="s">
        <v>331</v>
      </c>
      <c r="C103" s="5" t="s">
        <v>122</v>
      </c>
      <c r="D103" s="0" t="s">
        <v>112</v>
      </c>
      <c r="E103" s="0" t="s">
        <v>42</v>
      </c>
      <c r="F103" s="0" t="s">
        <v>188</v>
      </c>
      <c r="G103" s="0" t="s">
        <v>332</v>
      </c>
      <c r="I103" s="11" t="n">
        <v>616</v>
      </c>
      <c r="J103" s="11" t="n">
        <v>1672.5</v>
      </c>
      <c r="S103" s="0" t="n">
        <v>2</v>
      </c>
    </row>
    <row r="104" customFormat="false" ht="17.15" hidden="false" customHeight="false" outlineLevel="0" collapsed="false">
      <c r="A104" s="0" t="s">
        <v>333</v>
      </c>
      <c r="B104" s="0" t="s">
        <v>334</v>
      </c>
      <c r="C104" s="5" t="s">
        <v>122</v>
      </c>
      <c r="D104" s="0" t="s">
        <v>112</v>
      </c>
      <c r="E104" s="0" t="s">
        <v>42</v>
      </c>
      <c r="F104" s="0" t="s">
        <v>188</v>
      </c>
      <c r="G104" s="0" t="s">
        <v>335</v>
      </c>
      <c r="I104" s="11" t="n">
        <v>523.5</v>
      </c>
      <c r="J104" s="11" t="n">
        <v>1338.7</v>
      </c>
      <c r="S104" s="0" t="n">
        <v>2</v>
      </c>
    </row>
    <row r="105" customFormat="false" ht="17.15" hidden="false" customHeight="false" outlineLevel="0" collapsed="false">
      <c r="A105" s="0" t="s">
        <v>336</v>
      </c>
      <c r="B105" s="0" t="s">
        <v>337</v>
      </c>
      <c r="C105" s="5" t="s">
        <v>122</v>
      </c>
      <c r="D105" s="0" t="s">
        <v>112</v>
      </c>
      <c r="E105" s="0" t="s">
        <v>42</v>
      </c>
      <c r="F105" s="0" t="s">
        <v>188</v>
      </c>
      <c r="G105" s="0" t="s">
        <v>338</v>
      </c>
      <c r="I105" s="11" t="n">
        <v>208.9</v>
      </c>
      <c r="J105" s="11" t="n">
        <v>650.2</v>
      </c>
      <c r="S105" s="0" t="n">
        <v>2</v>
      </c>
    </row>
    <row r="106" customFormat="false" ht="17.15" hidden="false" customHeight="false" outlineLevel="0" collapsed="false">
      <c r="A106" s="0" t="s">
        <v>339</v>
      </c>
      <c r="B106" s="0" t="s">
        <v>340</v>
      </c>
      <c r="C106" s="5" t="s">
        <v>122</v>
      </c>
      <c r="D106" s="0" t="s">
        <v>112</v>
      </c>
      <c r="E106" s="0" t="s">
        <v>42</v>
      </c>
      <c r="F106" s="0" t="s">
        <v>43</v>
      </c>
      <c r="G106" s="0" t="s">
        <v>341</v>
      </c>
      <c r="J106" s="11" t="n">
        <v>308</v>
      </c>
      <c r="S106" s="0" t="n">
        <v>2</v>
      </c>
    </row>
    <row r="107" customFormat="false" ht="17.15" hidden="false" customHeight="false" outlineLevel="0" collapsed="false">
      <c r="A107" s="8" t="s">
        <v>342</v>
      </c>
    </row>
    <row r="108" customFormat="false" ht="17.15" hidden="false" customHeight="false" outlineLevel="0" collapsed="false">
      <c r="A108" s="0" t="s">
        <v>343</v>
      </c>
      <c r="B108" s="0" t="s">
        <v>344</v>
      </c>
      <c r="C108" s="0" t="s">
        <v>111</v>
      </c>
      <c r="D108" s="0" t="s">
        <v>112</v>
      </c>
      <c r="E108" s="0" t="s">
        <v>37</v>
      </c>
      <c r="F108" s="0" t="s">
        <v>43</v>
      </c>
      <c r="G108" s="5" t="s">
        <v>345</v>
      </c>
      <c r="S108" s="0" t="n">
        <v>2</v>
      </c>
    </row>
    <row r="109" customFormat="false" ht="17.15" hidden="false" customHeight="false" outlineLevel="0" collapsed="false">
      <c r="A109" s="0" t="s">
        <v>346</v>
      </c>
      <c r="B109" s="0" t="s">
        <v>347</v>
      </c>
      <c r="C109" s="0" t="s">
        <v>111</v>
      </c>
      <c r="D109" s="0" t="s">
        <v>112</v>
      </c>
      <c r="E109" s="0" t="s">
        <v>37</v>
      </c>
      <c r="F109" s="0" t="s">
        <v>43</v>
      </c>
      <c r="G109" s="5" t="s">
        <v>345</v>
      </c>
      <c r="S109" s="0" t="n">
        <v>2</v>
      </c>
    </row>
    <row r="110" customFormat="false" ht="17.15" hidden="false" customHeight="false" outlineLevel="0" collapsed="false">
      <c r="A110" s="0" t="s">
        <v>348</v>
      </c>
      <c r="B110" s="0" t="s">
        <v>349</v>
      </c>
      <c r="C110" s="0" t="s">
        <v>111</v>
      </c>
      <c r="D110" s="0" t="s">
        <v>112</v>
      </c>
      <c r="E110" s="0" t="s">
        <v>37</v>
      </c>
      <c r="F110" s="0" t="s">
        <v>43</v>
      </c>
      <c r="G110" s="5" t="s">
        <v>345</v>
      </c>
      <c r="S110" s="0" t="n">
        <v>2</v>
      </c>
    </row>
    <row r="111" customFormat="false" ht="17.15" hidden="false" customHeight="false" outlineLevel="0" collapsed="false">
      <c r="A111" s="0" t="s">
        <v>350</v>
      </c>
      <c r="B111" s="0" t="s">
        <v>351</v>
      </c>
      <c r="C111" s="0" t="s">
        <v>111</v>
      </c>
      <c r="D111" s="0" t="s">
        <v>112</v>
      </c>
      <c r="E111" s="0" t="s">
        <v>37</v>
      </c>
      <c r="F111" s="0" t="s">
        <v>43</v>
      </c>
      <c r="G111" s="5" t="s">
        <v>345</v>
      </c>
      <c r="S111" s="0" t="n">
        <v>2</v>
      </c>
    </row>
    <row r="112" customFormat="false" ht="17.15" hidden="false" customHeight="false" outlineLevel="0" collapsed="false">
      <c r="A112" s="0" t="s">
        <v>352</v>
      </c>
      <c r="B112" s="0" t="s">
        <v>353</v>
      </c>
      <c r="C112" s="0" t="s">
        <v>111</v>
      </c>
      <c r="D112" s="0" t="s">
        <v>112</v>
      </c>
      <c r="E112" s="0" t="s">
        <v>37</v>
      </c>
      <c r="F112" s="0" t="s">
        <v>43</v>
      </c>
      <c r="G112" s="5" t="s">
        <v>345</v>
      </c>
      <c r="S112" s="0" t="n">
        <v>2</v>
      </c>
    </row>
    <row r="113" customFormat="false" ht="17.15" hidden="false" customHeight="false" outlineLevel="0" collapsed="false">
      <c r="A113" s="0" t="s">
        <v>354</v>
      </c>
      <c r="B113" s="0" t="s">
        <v>355</v>
      </c>
      <c r="C113" s="0" t="s">
        <v>111</v>
      </c>
      <c r="D113" s="0" t="s">
        <v>112</v>
      </c>
      <c r="E113" s="0" t="s">
        <v>356</v>
      </c>
      <c r="F113" s="0" t="s">
        <v>188</v>
      </c>
      <c r="G113" s="0" t="s">
        <v>357</v>
      </c>
      <c r="H113" s="11" t="n">
        <v>70</v>
      </c>
      <c r="I113" s="11" t="n">
        <v>360</v>
      </c>
      <c r="J113" s="11" t="n">
        <v>850</v>
      </c>
      <c r="K113" s="11" t="n">
        <v>1850</v>
      </c>
      <c r="O113" s="11" t="n">
        <v>8000</v>
      </c>
      <c r="S113" s="0" t="n">
        <v>2</v>
      </c>
    </row>
    <row r="114" customFormat="false" ht="17.15" hidden="false" customHeight="false" outlineLevel="0" collapsed="false">
      <c r="A114" s="0" t="s">
        <v>358</v>
      </c>
      <c r="B114" s="0" t="s">
        <v>359</v>
      </c>
      <c r="C114" s="5" t="s">
        <v>76</v>
      </c>
      <c r="D114" s="0" t="s">
        <v>112</v>
      </c>
      <c r="E114" s="0" t="s">
        <v>141</v>
      </c>
      <c r="F114" s="0" t="s">
        <v>297</v>
      </c>
      <c r="G114" s="0" t="s">
        <v>360</v>
      </c>
      <c r="J114" s="11" t="n">
        <v>170</v>
      </c>
      <c r="K114" s="11" t="n">
        <v>900</v>
      </c>
      <c r="S114" s="0" t="n">
        <v>2</v>
      </c>
    </row>
    <row r="115" customFormat="false" ht="17.15" hidden="false" customHeight="false" outlineLevel="0" collapsed="false">
      <c r="A115" s="0" t="s">
        <v>361</v>
      </c>
      <c r="B115" s="0" t="s">
        <v>362</v>
      </c>
      <c r="C115" s="0" t="s">
        <v>111</v>
      </c>
      <c r="D115" s="0" t="s">
        <v>112</v>
      </c>
      <c r="E115" s="0" t="s">
        <v>37</v>
      </c>
      <c r="F115" s="0" t="s">
        <v>300</v>
      </c>
      <c r="G115" s="0" t="s">
        <v>363</v>
      </c>
      <c r="J115" s="11" t="n">
        <v>5.5</v>
      </c>
      <c r="K115" s="11" t="n">
        <v>14.574</v>
      </c>
      <c r="L115" s="11" t="n">
        <v>16.548</v>
      </c>
      <c r="S115" s="0" t="n">
        <v>2</v>
      </c>
    </row>
    <row r="116" customFormat="false" ht="17.15" hidden="false" customHeight="false" outlineLevel="0" collapsed="false">
      <c r="A116" s="0" t="s">
        <v>364</v>
      </c>
      <c r="B116" s="0" t="s">
        <v>365</v>
      </c>
      <c r="C116" s="5" t="s">
        <v>76</v>
      </c>
      <c r="D116" s="0" t="s">
        <v>112</v>
      </c>
      <c r="E116" s="0" t="s">
        <v>141</v>
      </c>
      <c r="F116" s="0" t="s">
        <v>78</v>
      </c>
      <c r="G116" s="0" t="s">
        <v>366</v>
      </c>
      <c r="K116" s="11" t="n">
        <v>2000</v>
      </c>
      <c r="S116" s="0" t="n">
        <v>2</v>
      </c>
    </row>
    <row r="117" customFormat="false" ht="17.15" hidden="false" customHeight="false" outlineLevel="0" collapsed="false">
      <c r="A117" s="0" t="s">
        <v>367</v>
      </c>
      <c r="B117" s="0" t="s">
        <v>368</v>
      </c>
      <c r="C117" s="0" t="s">
        <v>111</v>
      </c>
      <c r="D117" s="0" t="s">
        <v>112</v>
      </c>
      <c r="E117" s="0" t="s">
        <v>37</v>
      </c>
      <c r="F117" s="0" t="s">
        <v>78</v>
      </c>
      <c r="G117" s="0" t="s">
        <v>369</v>
      </c>
      <c r="J117" s="11" t="n">
        <v>0</v>
      </c>
      <c r="S117" s="0" t="n">
        <v>2</v>
      </c>
    </row>
    <row r="118" customFormat="false" ht="17.15" hidden="false" customHeight="false" outlineLevel="0" collapsed="false">
      <c r="A118" s="0" t="s">
        <v>370</v>
      </c>
      <c r="B118" s="0" t="s">
        <v>371</v>
      </c>
      <c r="C118" s="0" t="s">
        <v>111</v>
      </c>
      <c r="D118" s="0" t="s">
        <v>112</v>
      </c>
      <c r="E118" s="0" t="s">
        <v>37</v>
      </c>
      <c r="F118" s="0" t="s">
        <v>372</v>
      </c>
      <c r="G118" s="0" t="s">
        <v>373</v>
      </c>
      <c r="J118" s="11" t="n">
        <v>0</v>
      </c>
      <c r="S118" s="0" t="n">
        <v>2</v>
      </c>
    </row>
    <row r="119" customFormat="false" ht="17.15" hidden="false" customHeight="false" outlineLevel="0" collapsed="false">
      <c r="A119" s="0" t="s">
        <v>374</v>
      </c>
      <c r="B119" s="5" t="s">
        <v>375</v>
      </c>
      <c r="C119" s="0" t="s">
        <v>111</v>
      </c>
      <c r="D119" s="0" t="s">
        <v>112</v>
      </c>
      <c r="E119" s="0" t="s">
        <v>53</v>
      </c>
      <c r="F119" s="0" t="s">
        <v>163</v>
      </c>
      <c r="G119" s="0" t="s">
        <v>376</v>
      </c>
      <c r="I119" s="11" t="n">
        <v>200</v>
      </c>
      <c r="J119" s="11" t="n">
        <v>500</v>
      </c>
      <c r="K119" s="11" t="n">
        <v>1300</v>
      </c>
      <c r="S119" s="0" t="n">
        <v>2</v>
      </c>
    </row>
    <row r="120" customFormat="false" ht="17.15" hidden="false" customHeight="false" outlineLevel="0" collapsed="false">
      <c r="A120" s="0" t="s">
        <v>377</v>
      </c>
      <c r="B120" s="5" t="s">
        <v>378</v>
      </c>
      <c r="C120" s="5" t="s">
        <v>76</v>
      </c>
      <c r="D120" s="0" t="s">
        <v>112</v>
      </c>
      <c r="E120" s="0" t="s">
        <v>37</v>
      </c>
      <c r="F120" s="0" t="s">
        <v>78</v>
      </c>
      <c r="G120" s="0" t="s">
        <v>379</v>
      </c>
      <c r="J120" s="11" t="n">
        <v>0</v>
      </c>
      <c r="S120" s="0" t="n">
        <v>2</v>
      </c>
    </row>
    <row r="121" customFormat="false" ht="17.15" hidden="false" customHeight="false" outlineLevel="0" collapsed="false">
      <c r="A121" s="0" t="s">
        <v>380</v>
      </c>
      <c r="B121" s="5" t="s">
        <v>381</v>
      </c>
      <c r="C121" s="5" t="s">
        <v>167</v>
      </c>
      <c r="D121" s="0" t="s">
        <v>112</v>
      </c>
      <c r="E121" s="0" t="s">
        <v>382</v>
      </c>
      <c r="F121" s="0" t="s">
        <v>43</v>
      </c>
      <c r="G121" s="0" t="s">
        <v>383</v>
      </c>
      <c r="J121" s="11" t="n">
        <v>10000</v>
      </c>
      <c r="K121" s="11" t="n">
        <v>14000</v>
      </c>
      <c r="S121" s="0" t="n">
        <v>2</v>
      </c>
    </row>
    <row r="122" customFormat="false" ht="17.15" hidden="false" customHeight="false" outlineLevel="0" collapsed="false">
      <c r="A122" s="0" t="s">
        <v>384</v>
      </c>
      <c r="B122" s="5" t="s">
        <v>385</v>
      </c>
      <c r="C122" s="0" t="s">
        <v>111</v>
      </c>
      <c r="D122" s="0" t="s">
        <v>112</v>
      </c>
      <c r="E122" s="0" t="s">
        <v>53</v>
      </c>
      <c r="F122" s="0" t="s">
        <v>43</v>
      </c>
      <c r="G122" s="0" t="s">
        <v>386</v>
      </c>
      <c r="S122" s="0" t="n">
        <v>2</v>
      </c>
    </row>
    <row r="123" customFormat="false" ht="17.15" hidden="false" customHeight="false" outlineLevel="0" collapsed="false">
      <c r="A123" s="8" t="s">
        <v>387</v>
      </c>
    </row>
    <row r="124" customFormat="false" ht="17.15" hidden="false" customHeight="false" outlineLevel="0" collapsed="false">
      <c r="A124" s="0" t="s">
        <v>388</v>
      </c>
      <c r="B124" s="0" t="s">
        <v>389</v>
      </c>
      <c r="C124" s="0" t="s">
        <v>35</v>
      </c>
      <c r="D124" s="0" t="s">
        <v>390</v>
      </c>
      <c r="E124" s="0" t="s">
        <v>141</v>
      </c>
      <c r="F124" s="0" t="s">
        <v>391</v>
      </c>
      <c r="G124" s="0" t="s">
        <v>392</v>
      </c>
      <c r="I124" s="11" t="n">
        <v>44.477</v>
      </c>
      <c r="J124" s="11" t="n">
        <v>64.551</v>
      </c>
      <c r="K124" s="11" t="n">
        <v>115.948</v>
      </c>
      <c r="L124" s="11" t="n">
        <v>192.827</v>
      </c>
      <c r="M124" s="11" t="n">
        <v>216.787</v>
      </c>
      <c r="N124" s="11" t="n">
        <v>251.173</v>
      </c>
      <c r="S124" s="0" t="n">
        <v>2</v>
      </c>
    </row>
    <row r="125" customFormat="false" ht="17.15" hidden="false" customHeight="false" outlineLevel="0" collapsed="false">
      <c r="A125" s="0" t="s">
        <v>393</v>
      </c>
      <c r="B125" s="0" t="s">
        <v>394</v>
      </c>
      <c r="C125" s="0" t="s">
        <v>35</v>
      </c>
      <c r="D125" s="0" t="s">
        <v>390</v>
      </c>
      <c r="E125" s="0" t="s">
        <v>141</v>
      </c>
      <c r="F125" s="0" t="s">
        <v>395</v>
      </c>
      <c r="G125" s="0" t="s">
        <v>396</v>
      </c>
      <c r="J125" s="11" t="n">
        <v>91.447</v>
      </c>
      <c r="K125" s="11" t="n">
        <v>200</v>
      </c>
      <c r="L125" s="11" t="n">
        <v>300.979</v>
      </c>
      <c r="M125" s="11" t="n">
        <v>339.451</v>
      </c>
      <c r="S125" s="0" t="n">
        <v>2</v>
      </c>
    </row>
    <row r="126" customFormat="false" ht="17.15" hidden="false" customHeight="false" outlineLevel="0" collapsed="false">
      <c r="A126" s="0" t="s">
        <v>397</v>
      </c>
      <c r="B126" s="0" t="s">
        <v>398</v>
      </c>
      <c r="C126" s="0" t="s">
        <v>35</v>
      </c>
      <c r="D126" s="0" t="s">
        <v>390</v>
      </c>
      <c r="E126" s="0" t="s">
        <v>141</v>
      </c>
      <c r="F126" s="0" t="s">
        <v>399</v>
      </c>
      <c r="G126" s="0" t="s">
        <v>400</v>
      </c>
      <c r="J126" s="11" t="n">
        <v>128.32</v>
      </c>
      <c r="K126" s="11" t="n">
        <v>220</v>
      </c>
      <c r="L126" s="11" t="n">
        <v>275.063</v>
      </c>
      <c r="M126" s="11" t="n">
        <v>292.927</v>
      </c>
      <c r="S126" s="0" t="n">
        <v>2</v>
      </c>
    </row>
    <row r="127" customFormat="false" ht="17.15" hidden="false" customHeight="false" outlineLevel="0" collapsed="false">
      <c r="A127" s="0" t="s">
        <v>401</v>
      </c>
      <c r="B127" s="0" t="s">
        <v>402</v>
      </c>
      <c r="C127" s="0" t="s">
        <v>35</v>
      </c>
      <c r="D127" s="0" t="s">
        <v>390</v>
      </c>
      <c r="E127" s="0" t="s">
        <v>141</v>
      </c>
      <c r="F127" s="0" t="s">
        <v>188</v>
      </c>
      <c r="G127" s="0" t="s">
        <v>403</v>
      </c>
      <c r="K127" s="11" t="n">
        <v>140</v>
      </c>
      <c r="S127" s="0" t="n">
        <v>2</v>
      </c>
    </row>
    <row r="128" customFormat="false" ht="17.15" hidden="false" customHeight="false" outlineLevel="0" collapsed="false">
      <c r="A128" s="0" t="s">
        <v>404</v>
      </c>
      <c r="B128" s="0" t="s">
        <v>405</v>
      </c>
      <c r="C128" s="0" t="s">
        <v>35</v>
      </c>
      <c r="D128" s="0" t="s">
        <v>390</v>
      </c>
      <c r="E128" s="0" t="s">
        <v>141</v>
      </c>
      <c r="F128" s="0" t="s">
        <v>406</v>
      </c>
      <c r="G128" s="0" t="s">
        <v>407</v>
      </c>
      <c r="J128" s="11" t="n">
        <v>21.215</v>
      </c>
      <c r="K128" s="11" t="n">
        <v>55.663</v>
      </c>
      <c r="L128" s="11" t="n">
        <v>92.5</v>
      </c>
      <c r="M128" s="11" t="n">
        <v>100.962</v>
      </c>
      <c r="N128" s="11" t="n">
        <v>84.848</v>
      </c>
      <c r="S128" s="0" t="n">
        <v>2</v>
      </c>
    </row>
    <row r="129" customFormat="false" ht="17.15" hidden="false" customHeight="false" outlineLevel="0" collapsed="false">
      <c r="A129" s="0" t="s">
        <v>408</v>
      </c>
      <c r="B129" s="0" t="s">
        <v>409</v>
      </c>
      <c r="C129" s="0" t="s">
        <v>35</v>
      </c>
      <c r="D129" s="0" t="s">
        <v>390</v>
      </c>
      <c r="E129" s="0" t="s">
        <v>141</v>
      </c>
      <c r="F129" s="0" t="s">
        <v>410</v>
      </c>
      <c r="G129" s="0" t="s">
        <v>411</v>
      </c>
      <c r="K129" s="11" t="n">
        <v>37</v>
      </c>
      <c r="L129" s="11" t="n">
        <v>46.476</v>
      </c>
      <c r="M129" s="11" t="n">
        <v>50.129</v>
      </c>
      <c r="S129" s="0" t="n">
        <v>2</v>
      </c>
    </row>
    <row r="130" customFormat="false" ht="17.15" hidden="false" customHeight="false" outlineLevel="0" collapsed="false">
      <c r="A130" s="0" t="s">
        <v>412</v>
      </c>
      <c r="B130" s="0" t="s">
        <v>413</v>
      </c>
      <c r="C130" s="0" t="s">
        <v>35</v>
      </c>
      <c r="D130" s="0" t="s">
        <v>390</v>
      </c>
      <c r="E130" s="0" t="s">
        <v>141</v>
      </c>
      <c r="F130" s="0" t="s">
        <v>192</v>
      </c>
      <c r="G130" s="0" t="s">
        <v>414</v>
      </c>
      <c r="J130" s="11" t="n">
        <v>4.066</v>
      </c>
      <c r="K130" s="11" t="n">
        <v>22.5</v>
      </c>
      <c r="L130" s="11" t="n">
        <v>27.243</v>
      </c>
      <c r="M130" s="11" t="n">
        <v>38.39</v>
      </c>
      <c r="S130" s="0" t="n">
        <v>2</v>
      </c>
    </row>
    <row r="131" customFormat="false" ht="17.15" hidden="false" customHeight="false" outlineLevel="0" collapsed="false">
      <c r="A131" s="12" t="s">
        <v>415</v>
      </c>
      <c r="B131" s="12" t="s">
        <v>416</v>
      </c>
      <c r="C131" s="12" t="s">
        <v>35</v>
      </c>
      <c r="D131" s="12" t="s">
        <v>390</v>
      </c>
      <c r="E131" s="13" t="s">
        <v>417</v>
      </c>
      <c r="F131" s="12" t="s">
        <v>418</v>
      </c>
      <c r="G131" s="13" t="s">
        <v>419</v>
      </c>
      <c r="S131" s="0" t="n">
        <v>2</v>
      </c>
    </row>
    <row r="132" customFormat="false" ht="17.15" hidden="false" customHeight="false" outlineLevel="0" collapsed="false">
      <c r="A132" s="12" t="s">
        <v>420</v>
      </c>
      <c r="B132" s="12" t="s">
        <v>421</v>
      </c>
      <c r="C132" s="12" t="s">
        <v>35</v>
      </c>
      <c r="D132" s="12" t="s">
        <v>390</v>
      </c>
      <c r="E132" s="13" t="s">
        <v>417</v>
      </c>
      <c r="F132" s="12" t="s">
        <v>418</v>
      </c>
      <c r="G132" s="13" t="s">
        <v>422</v>
      </c>
      <c r="S132" s="0" t="n">
        <v>2</v>
      </c>
    </row>
    <row r="133" customFormat="false" ht="17.15" hidden="false" customHeight="false" outlineLevel="0" collapsed="false">
      <c r="A133" s="12" t="s">
        <v>423</v>
      </c>
      <c r="B133" s="12" t="s">
        <v>424</v>
      </c>
      <c r="C133" s="12" t="s">
        <v>35</v>
      </c>
      <c r="D133" s="12" t="s">
        <v>390</v>
      </c>
      <c r="E133" s="13" t="s">
        <v>417</v>
      </c>
      <c r="F133" s="12" t="s">
        <v>418</v>
      </c>
      <c r="G133" s="13" t="s">
        <v>422</v>
      </c>
      <c r="S133" s="0" t="n">
        <v>2</v>
      </c>
    </row>
    <row r="134" customFormat="false" ht="17.15" hidden="false" customHeight="false" outlineLevel="0" collapsed="false">
      <c r="A134" s="12" t="s">
        <v>425</v>
      </c>
      <c r="B134" s="12" t="s">
        <v>426</v>
      </c>
      <c r="C134" s="12" t="s">
        <v>35</v>
      </c>
      <c r="D134" s="12" t="s">
        <v>390</v>
      </c>
      <c r="E134" s="13" t="s">
        <v>417</v>
      </c>
      <c r="F134" s="12" t="s">
        <v>418</v>
      </c>
      <c r="G134" s="13" t="s">
        <v>422</v>
      </c>
      <c r="S134" s="0" t="n">
        <v>2</v>
      </c>
    </row>
    <row r="135" customFormat="false" ht="17.15" hidden="false" customHeight="false" outlineLevel="0" collapsed="false">
      <c r="A135" s="12" t="s">
        <v>427</v>
      </c>
      <c r="B135" s="13" t="s">
        <v>428</v>
      </c>
      <c r="C135" s="12" t="s">
        <v>35</v>
      </c>
      <c r="D135" s="12" t="s">
        <v>390</v>
      </c>
      <c r="E135" s="13" t="s">
        <v>417</v>
      </c>
      <c r="F135" s="12" t="s">
        <v>418</v>
      </c>
      <c r="G135" s="13" t="s">
        <v>422</v>
      </c>
      <c r="S135" s="0" t="n">
        <v>2</v>
      </c>
    </row>
    <row r="136" customFormat="false" ht="17.15" hidden="false" customHeight="false" outlineLevel="0" collapsed="false">
      <c r="A136" s="12" t="s">
        <v>429</v>
      </c>
      <c r="B136" s="13" t="s">
        <v>430</v>
      </c>
      <c r="C136" s="12" t="s">
        <v>35</v>
      </c>
      <c r="D136" s="12" t="s">
        <v>390</v>
      </c>
      <c r="E136" s="13" t="s">
        <v>417</v>
      </c>
      <c r="F136" s="12" t="s">
        <v>418</v>
      </c>
      <c r="G136" s="13" t="s">
        <v>422</v>
      </c>
      <c r="S136" s="0" t="n">
        <v>2</v>
      </c>
    </row>
    <row r="137" customFormat="false" ht="17.15" hidden="false" customHeight="false" outlineLevel="0" collapsed="false">
      <c r="A137" s="12" t="s">
        <v>431</v>
      </c>
      <c r="B137" s="13" t="s">
        <v>432</v>
      </c>
      <c r="C137" s="12" t="s">
        <v>35</v>
      </c>
      <c r="D137" s="12" t="s">
        <v>390</v>
      </c>
      <c r="E137" s="13" t="s">
        <v>417</v>
      </c>
      <c r="F137" s="12" t="s">
        <v>418</v>
      </c>
      <c r="G137" s="13" t="s">
        <v>422</v>
      </c>
      <c r="S137" s="0" t="n">
        <v>2</v>
      </c>
    </row>
    <row r="138" customFormat="false" ht="17.15" hidden="false" customHeight="false" outlineLevel="0" collapsed="false">
      <c r="A138" s="12" t="s">
        <v>433</v>
      </c>
      <c r="B138" s="13" t="s">
        <v>434</v>
      </c>
      <c r="C138" s="12" t="s">
        <v>35</v>
      </c>
      <c r="D138" s="12" t="s">
        <v>390</v>
      </c>
      <c r="E138" s="13" t="s">
        <v>417</v>
      </c>
      <c r="F138" s="12" t="s">
        <v>418</v>
      </c>
      <c r="G138" s="13" t="s">
        <v>422</v>
      </c>
      <c r="S138" s="0" t="n">
        <v>2</v>
      </c>
    </row>
    <row r="139" customFormat="false" ht="17.15" hidden="false" customHeight="false" outlineLevel="0" collapsed="false">
      <c r="A139" s="8" t="s">
        <v>435</v>
      </c>
    </row>
    <row r="140" customFormat="false" ht="17.15" hidden="false" customHeight="false" outlineLevel="0" collapsed="false">
      <c r="A140" s="12" t="s">
        <v>436</v>
      </c>
      <c r="B140" s="12" t="s">
        <v>437</v>
      </c>
      <c r="C140" s="12" t="s">
        <v>35</v>
      </c>
      <c r="D140" s="12" t="s">
        <v>390</v>
      </c>
      <c r="E140" s="13" t="s">
        <v>417</v>
      </c>
      <c r="F140" s="12" t="s">
        <v>418</v>
      </c>
      <c r="G140" s="13" t="s">
        <v>438</v>
      </c>
      <c r="S140" s="0" t="n">
        <v>2</v>
      </c>
    </row>
    <row r="141" customFormat="false" ht="17.15" hidden="false" customHeight="false" outlineLevel="0" collapsed="false">
      <c r="A141" s="12" t="s">
        <v>439</v>
      </c>
      <c r="B141" s="12" t="s">
        <v>440</v>
      </c>
      <c r="C141" s="12" t="s">
        <v>35</v>
      </c>
      <c r="D141" s="12" t="s">
        <v>390</v>
      </c>
      <c r="E141" s="13" t="s">
        <v>417</v>
      </c>
      <c r="F141" s="12" t="s">
        <v>418</v>
      </c>
      <c r="G141" s="13" t="s">
        <v>438</v>
      </c>
      <c r="S141" s="0" t="n">
        <v>2</v>
      </c>
    </row>
    <row r="142" customFormat="false" ht="17.15" hidden="false" customHeight="false" outlineLevel="0" collapsed="false">
      <c r="A142" s="12" t="s">
        <v>441</v>
      </c>
      <c r="B142" s="12" t="s">
        <v>442</v>
      </c>
      <c r="C142" s="12" t="s">
        <v>35</v>
      </c>
      <c r="D142" s="12" t="s">
        <v>390</v>
      </c>
      <c r="E142" s="13" t="s">
        <v>417</v>
      </c>
      <c r="F142" s="12" t="s">
        <v>418</v>
      </c>
      <c r="G142" s="13" t="s">
        <v>438</v>
      </c>
      <c r="S142" s="0" t="n">
        <v>2</v>
      </c>
    </row>
    <row r="143" customFormat="false" ht="17.15" hidden="false" customHeight="false" outlineLevel="0" collapsed="false">
      <c r="A143" s="12" t="s">
        <v>443</v>
      </c>
      <c r="B143" s="12" t="s">
        <v>444</v>
      </c>
      <c r="C143" s="12" t="s">
        <v>35</v>
      </c>
      <c r="D143" s="12" t="s">
        <v>390</v>
      </c>
      <c r="E143" s="13" t="s">
        <v>417</v>
      </c>
      <c r="F143" s="12" t="s">
        <v>418</v>
      </c>
      <c r="G143" s="13" t="s">
        <v>438</v>
      </c>
      <c r="S143" s="0" t="n">
        <v>2</v>
      </c>
    </row>
    <row r="144" customFormat="false" ht="17.15" hidden="false" customHeight="false" outlineLevel="0" collapsed="false">
      <c r="A144" s="12" t="s">
        <v>445</v>
      </c>
      <c r="B144" s="12" t="s">
        <v>446</v>
      </c>
      <c r="C144" s="12" t="s">
        <v>35</v>
      </c>
      <c r="D144" s="12" t="s">
        <v>390</v>
      </c>
      <c r="E144" s="13" t="s">
        <v>417</v>
      </c>
      <c r="F144" s="12" t="s">
        <v>418</v>
      </c>
      <c r="G144" s="13" t="s">
        <v>438</v>
      </c>
      <c r="S144" s="0" t="n">
        <v>2</v>
      </c>
    </row>
    <row r="145" customFormat="false" ht="17.15" hidden="false" customHeight="false" outlineLevel="0" collapsed="false">
      <c r="A145" s="12" t="s">
        <v>447</v>
      </c>
      <c r="B145" s="12" t="s">
        <v>448</v>
      </c>
      <c r="C145" s="12" t="s">
        <v>35</v>
      </c>
      <c r="D145" s="12" t="s">
        <v>390</v>
      </c>
      <c r="E145" s="13" t="s">
        <v>417</v>
      </c>
      <c r="F145" s="12" t="s">
        <v>418</v>
      </c>
      <c r="G145" s="13" t="s">
        <v>438</v>
      </c>
      <c r="S145" s="0" t="n">
        <v>2</v>
      </c>
    </row>
    <row r="146" customFormat="false" ht="17.15" hidden="false" customHeight="false" outlineLevel="0" collapsed="false">
      <c r="A146" s="12" t="s">
        <v>449</v>
      </c>
      <c r="B146" s="12" t="s">
        <v>450</v>
      </c>
      <c r="C146" s="12" t="s">
        <v>35</v>
      </c>
      <c r="D146" s="12" t="s">
        <v>390</v>
      </c>
      <c r="E146" s="13" t="s">
        <v>417</v>
      </c>
      <c r="F146" s="12" t="s">
        <v>418</v>
      </c>
      <c r="G146" s="13" t="s">
        <v>438</v>
      </c>
      <c r="S146" s="0" t="n">
        <v>2</v>
      </c>
    </row>
    <row r="147" customFormat="false" ht="17.15" hidden="false" customHeight="false" outlineLevel="0" collapsed="false">
      <c r="A147" s="12" t="s">
        <v>451</v>
      </c>
      <c r="B147" s="12" t="s">
        <v>452</v>
      </c>
      <c r="C147" s="12" t="s">
        <v>35</v>
      </c>
      <c r="D147" s="12" t="s">
        <v>390</v>
      </c>
      <c r="E147" s="13" t="s">
        <v>417</v>
      </c>
      <c r="F147" s="12" t="s">
        <v>418</v>
      </c>
      <c r="G147" s="13" t="s">
        <v>438</v>
      </c>
      <c r="S147" s="0" t="n">
        <v>2</v>
      </c>
    </row>
    <row r="148" customFormat="false" ht="17.15" hidden="false" customHeight="false" outlineLevel="0" collapsed="false">
      <c r="A148" s="12" t="s">
        <v>453</v>
      </c>
      <c r="B148" s="12" t="s">
        <v>454</v>
      </c>
      <c r="C148" s="12" t="s">
        <v>35</v>
      </c>
      <c r="D148" s="12" t="s">
        <v>390</v>
      </c>
      <c r="E148" s="13" t="s">
        <v>417</v>
      </c>
      <c r="F148" s="12" t="s">
        <v>418</v>
      </c>
      <c r="G148" s="13" t="s">
        <v>438</v>
      </c>
      <c r="S148" s="0" t="n">
        <v>2</v>
      </c>
    </row>
    <row r="149" customFormat="false" ht="17.15" hidden="false" customHeight="false" outlineLevel="0" collapsed="false">
      <c r="A149" s="12" t="s">
        <v>455</v>
      </c>
      <c r="B149" s="12" t="s">
        <v>456</v>
      </c>
      <c r="C149" s="12" t="s">
        <v>35</v>
      </c>
      <c r="D149" s="12" t="s">
        <v>390</v>
      </c>
      <c r="E149" s="13" t="s">
        <v>417</v>
      </c>
      <c r="F149" s="12" t="s">
        <v>418</v>
      </c>
      <c r="G149" s="13" t="s">
        <v>438</v>
      </c>
      <c r="S149" s="0" t="n">
        <v>2</v>
      </c>
    </row>
    <row r="150" customFormat="false" ht="17.15" hidden="false" customHeight="false" outlineLevel="0" collapsed="false">
      <c r="A150" s="12" t="s">
        <v>457</v>
      </c>
      <c r="B150" s="12" t="s">
        <v>458</v>
      </c>
      <c r="C150" s="12" t="s">
        <v>35</v>
      </c>
      <c r="D150" s="12" t="s">
        <v>390</v>
      </c>
      <c r="E150" s="13" t="s">
        <v>417</v>
      </c>
      <c r="F150" s="12" t="s">
        <v>418</v>
      </c>
      <c r="G150" s="13" t="s">
        <v>438</v>
      </c>
      <c r="S150" s="0" t="n">
        <v>2</v>
      </c>
    </row>
    <row r="151" customFormat="false" ht="17.15" hidden="false" customHeight="false" outlineLevel="0" collapsed="false">
      <c r="A151" s="12" t="s">
        <v>459</v>
      </c>
      <c r="B151" s="13" t="s">
        <v>460</v>
      </c>
      <c r="C151" s="12" t="s">
        <v>35</v>
      </c>
      <c r="D151" s="12" t="s">
        <v>390</v>
      </c>
      <c r="E151" s="13" t="s">
        <v>417</v>
      </c>
      <c r="F151" s="12" t="s">
        <v>418</v>
      </c>
      <c r="G151" s="13" t="s">
        <v>438</v>
      </c>
      <c r="S151" s="0" t="n">
        <v>2</v>
      </c>
    </row>
    <row r="152" customFormat="false" ht="17.15" hidden="false" customHeight="false" outlineLevel="0" collapsed="false">
      <c r="A152" s="12" t="s">
        <v>461</v>
      </c>
      <c r="B152" s="13" t="s">
        <v>462</v>
      </c>
      <c r="C152" s="12" t="s">
        <v>35</v>
      </c>
      <c r="D152" s="12" t="s">
        <v>390</v>
      </c>
      <c r="E152" s="13" t="s">
        <v>417</v>
      </c>
      <c r="F152" s="12" t="s">
        <v>418</v>
      </c>
      <c r="G152" s="13" t="s">
        <v>438</v>
      </c>
      <c r="S152" s="0" t="n">
        <v>2</v>
      </c>
    </row>
    <row r="153" customFormat="false" ht="17.15" hidden="false" customHeight="false" outlineLevel="0" collapsed="false">
      <c r="A153" s="12" t="s">
        <v>463</v>
      </c>
      <c r="B153" s="13" t="s">
        <v>464</v>
      </c>
      <c r="C153" s="12" t="s">
        <v>35</v>
      </c>
      <c r="D153" s="12" t="s">
        <v>390</v>
      </c>
      <c r="E153" s="13" t="s">
        <v>417</v>
      </c>
      <c r="F153" s="12" t="s">
        <v>418</v>
      </c>
      <c r="G153" s="13" t="s">
        <v>438</v>
      </c>
      <c r="S153" s="0" t="n">
        <v>2</v>
      </c>
    </row>
    <row r="154" customFormat="false" ht="17.15" hidden="false" customHeight="false" outlineLevel="0" collapsed="false">
      <c r="A154" s="12" t="s">
        <v>465</v>
      </c>
      <c r="B154" s="13" t="s">
        <v>466</v>
      </c>
      <c r="C154" s="12" t="s">
        <v>35</v>
      </c>
      <c r="D154" s="12" t="s">
        <v>390</v>
      </c>
      <c r="E154" s="13" t="s">
        <v>417</v>
      </c>
      <c r="F154" s="12" t="s">
        <v>418</v>
      </c>
      <c r="G154" s="13" t="s">
        <v>438</v>
      </c>
      <c r="S154" s="0" t="n">
        <v>2</v>
      </c>
    </row>
    <row r="155" customFormat="false" ht="17.15" hidden="false" customHeight="false" outlineLevel="0" collapsed="false">
      <c r="A155" s="8" t="s">
        <v>467</v>
      </c>
    </row>
    <row r="156" customFormat="false" ht="17.15" hidden="false" customHeight="false" outlineLevel="0" collapsed="false">
      <c r="A156" s="0" t="s">
        <v>468</v>
      </c>
      <c r="B156" s="0" t="s">
        <v>469</v>
      </c>
      <c r="C156" s="5" t="s">
        <v>76</v>
      </c>
      <c r="D156" s="0" t="s">
        <v>77</v>
      </c>
      <c r="E156" s="0" t="s">
        <v>141</v>
      </c>
      <c r="F156" s="0" t="s">
        <v>78</v>
      </c>
      <c r="G156" s="0" t="s">
        <v>470</v>
      </c>
      <c r="J156" s="14" t="n">
        <v>1.9</v>
      </c>
      <c r="K156" s="14" t="n">
        <v>5</v>
      </c>
      <c r="L156" s="14" t="n">
        <v>11</v>
      </c>
      <c r="S156" s="0" t="n">
        <v>2</v>
      </c>
    </row>
    <row r="157" customFormat="false" ht="17.15" hidden="false" customHeight="false" outlineLevel="0" collapsed="false">
      <c r="A157" s="0" t="s">
        <v>471</v>
      </c>
      <c r="B157" s="0" t="s">
        <v>472</v>
      </c>
      <c r="C157" s="5" t="s">
        <v>76</v>
      </c>
      <c r="D157" s="0" t="s">
        <v>77</v>
      </c>
      <c r="E157" s="0" t="s">
        <v>141</v>
      </c>
      <c r="F157" s="0" t="s">
        <v>78</v>
      </c>
      <c r="G157" s="0" t="s">
        <v>473</v>
      </c>
      <c r="J157" s="14" t="n">
        <v>1.4</v>
      </c>
      <c r="K157" s="14" t="n">
        <v>5</v>
      </c>
      <c r="L157" s="14" t="n">
        <v>10</v>
      </c>
      <c r="S157" s="0" t="n">
        <v>2</v>
      </c>
    </row>
    <row r="158" customFormat="false" ht="17.15" hidden="false" customHeight="false" outlineLevel="0" collapsed="false">
      <c r="A158" s="8" t="s">
        <v>474</v>
      </c>
    </row>
    <row r="159" customFormat="false" ht="17.15" hidden="false" customHeight="false" outlineLevel="0" collapsed="false">
      <c r="A159" s="0" t="s">
        <v>475</v>
      </c>
      <c r="B159" s="0" t="s">
        <v>476</v>
      </c>
      <c r="C159" s="5" t="s">
        <v>167</v>
      </c>
      <c r="D159" s="0" t="s">
        <v>77</v>
      </c>
      <c r="E159" s="0" t="s">
        <v>42</v>
      </c>
      <c r="F159" s="0" t="s">
        <v>78</v>
      </c>
      <c r="G159" s="0" t="s">
        <v>477</v>
      </c>
      <c r="J159" s="14" t="n">
        <v>30</v>
      </c>
      <c r="S159" s="0" t="n">
        <v>2</v>
      </c>
    </row>
    <row r="160" customFormat="false" ht="17.15" hidden="false" customHeight="false" outlineLevel="0" collapsed="false">
      <c r="A160" s="0" t="s">
        <v>478</v>
      </c>
      <c r="B160" s="0" t="s">
        <v>479</v>
      </c>
      <c r="C160" s="5" t="s">
        <v>167</v>
      </c>
      <c r="D160" s="0" t="s">
        <v>77</v>
      </c>
      <c r="E160" s="0" t="s">
        <v>42</v>
      </c>
      <c r="F160" s="0" t="s">
        <v>78</v>
      </c>
      <c r="G160" s="0" t="s">
        <v>480</v>
      </c>
      <c r="J160" s="14" t="n">
        <v>31</v>
      </c>
      <c r="S160" s="0" t="n">
        <v>2</v>
      </c>
    </row>
    <row r="161" customFormat="false" ht="17.15" hidden="false" customHeight="false" outlineLevel="0" collapsed="false">
      <c r="A161" s="8" t="s">
        <v>481</v>
      </c>
    </row>
    <row r="162" customFormat="false" ht="17.15" hidden="false" customHeight="false" outlineLevel="0" collapsed="false">
      <c r="A162" s="0" t="s">
        <v>482</v>
      </c>
      <c r="B162" s="5" t="s">
        <v>483</v>
      </c>
      <c r="C162" s="0" t="s">
        <v>35</v>
      </c>
      <c r="D162" s="0" t="s">
        <v>52</v>
      </c>
      <c r="E162" s="0" t="s">
        <v>484</v>
      </c>
      <c r="F162" s="0" t="s">
        <v>485</v>
      </c>
      <c r="G162" s="0" t="s">
        <v>486</v>
      </c>
      <c r="H162" s="15" t="n">
        <v>1</v>
      </c>
      <c r="I162" s="15" t="n">
        <v>1</v>
      </c>
      <c r="J162" s="15" t="n">
        <v>0.1</v>
      </c>
      <c r="S162" s="0" t="n">
        <v>2</v>
      </c>
    </row>
    <row r="163" customFormat="false" ht="17.15" hidden="false" customHeight="false" outlineLevel="0" collapsed="false">
      <c r="A163" s="0" t="s">
        <v>487</v>
      </c>
      <c r="B163" s="5" t="s">
        <v>488</v>
      </c>
      <c r="C163" s="0" t="s">
        <v>35</v>
      </c>
      <c r="D163" s="0" t="s">
        <v>52</v>
      </c>
      <c r="E163" s="0" t="s">
        <v>484</v>
      </c>
      <c r="F163" s="0" t="s">
        <v>485</v>
      </c>
      <c r="G163" s="0" t="s">
        <v>486</v>
      </c>
      <c r="J163" s="15" t="n">
        <v>0.7</v>
      </c>
      <c r="S163" s="0" t="n">
        <v>2</v>
      </c>
    </row>
    <row r="164" customFormat="false" ht="17.15" hidden="false" customHeight="false" outlineLevel="0" collapsed="false">
      <c r="A164" s="0" t="s">
        <v>489</v>
      </c>
      <c r="B164" s="5" t="s">
        <v>490</v>
      </c>
      <c r="C164" s="0" t="s">
        <v>35</v>
      </c>
      <c r="D164" s="0" t="s">
        <v>52</v>
      </c>
      <c r="E164" s="0" t="s">
        <v>484</v>
      </c>
      <c r="F164" s="0" t="s">
        <v>485</v>
      </c>
      <c r="G164" s="0" t="s">
        <v>486</v>
      </c>
      <c r="J164" s="15" t="n">
        <v>0.2</v>
      </c>
      <c r="S164" s="0" t="n">
        <v>2</v>
      </c>
    </row>
    <row r="165" customFormat="false" ht="17.15" hidden="false" customHeight="false" outlineLevel="0" collapsed="false">
      <c r="A165" s="0" t="s">
        <v>491</v>
      </c>
      <c r="B165" s="5" t="s">
        <v>492</v>
      </c>
      <c r="C165" s="0" t="s">
        <v>35</v>
      </c>
      <c r="D165" s="0" t="s">
        <v>52</v>
      </c>
      <c r="E165" s="0" t="s">
        <v>484</v>
      </c>
      <c r="F165" s="0" t="s">
        <v>485</v>
      </c>
      <c r="G165" s="0" t="s">
        <v>486</v>
      </c>
      <c r="S165" s="0" t="n">
        <v>2</v>
      </c>
    </row>
    <row r="166" customFormat="false" ht="17.15" hidden="false" customHeight="false" outlineLevel="0" collapsed="false">
      <c r="A166" s="0" t="s">
        <v>493</v>
      </c>
      <c r="B166" s="5" t="s">
        <v>494</v>
      </c>
      <c r="C166" s="0" t="s">
        <v>35</v>
      </c>
      <c r="D166" s="0" t="s">
        <v>52</v>
      </c>
      <c r="E166" s="0" t="s">
        <v>484</v>
      </c>
      <c r="F166" s="0" t="s">
        <v>485</v>
      </c>
      <c r="G166" s="0" t="s">
        <v>486</v>
      </c>
      <c r="S166" s="0" t="n">
        <v>2</v>
      </c>
    </row>
    <row r="167" customFormat="false" ht="17.15" hidden="false" customHeight="false" outlineLevel="0" collapsed="false">
      <c r="A167" s="12" t="s">
        <v>495</v>
      </c>
      <c r="B167" s="13" t="s">
        <v>496</v>
      </c>
      <c r="C167" s="12" t="s">
        <v>35</v>
      </c>
      <c r="D167" s="12" t="s">
        <v>52</v>
      </c>
      <c r="E167" s="13" t="s">
        <v>417</v>
      </c>
      <c r="F167" s="12" t="s">
        <v>418</v>
      </c>
      <c r="G167" s="12" t="s">
        <v>497</v>
      </c>
      <c r="S167" s="0" t="n">
        <v>2</v>
      </c>
    </row>
    <row r="168" customFormat="false" ht="17.15" hidden="false" customHeight="false" outlineLevel="0" collapsed="false">
      <c r="A168" s="8" t="s">
        <v>498</v>
      </c>
    </row>
    <row r="169" customFormat="false" ht="17.15" hidden="false" customHeight="false" outlineLevel="0" collapsed="false">
      <c r="A169" s="6" t="s">
        <v>14</v>
      </c>
      <c r="B169" s="6" t="s">
        <v>15</v>
      </c>
      <c r="C169" s="6" t="s">
        <v>16</v>
      </c>
      <c r="D169" s="6" t="s">
        <v>17</v>
      </c>
      <c r="E169" s="6" t="s">
        <v>18</v>
      </c>
      <c r="F169" s="6" t="s">
        <v>19</v>
      </c>
      <c r="G169" s="6" t="s">
        <v>20</v>
      </c>
      <c r="H169" s="6" t="s">
        <v>499</v>
      </c>
      <c r="I169" s="6" t="s">
        <v>500</v>
      </c>
      <c r="J169" s="6" t="s">
        <v>501</v>
      </c>
      <c r="K169" s="7" t="s">
        <v>23</v>
      </c>
      <c r="L169" s="7" t="s">
        <v>24</v>
      </c>
      <c r="M169" s="7" t="s">
        <v>25</v>
      </c>
    </row>
    <row r="170" customFormat="false" ht="17.15" hidden="false" customHeight="false" outlineLevel="0" collapsed="false">
      <c r="A170" s="0" t="s">
        <v>502</v>
      </c>
      <c r="B170" s="0" t="s">
        <v>503</v>
      </c>
      <c r="C170" s="0" t="s">
        <v>111</v>
      </c>
      <c r="D170" s="5" t="s">
        <v>504</v>
      </c>
      <c r="E170" s="0" t="s">
        <v>53</v>
      </c>
      <c r="F170" s="0" t="s">
        <v>114</v>
      </c>
      <c r="G170" s="5" t="s">
        <v>505</v>
      </c>
      <c r="H170" s="9" t="s">
        <v>506</v>
      </c>
      <c r="I170" s="9" t="s">
        <v>507</v>
      </c>
      <c r="J170" s="16" t="s">
        <v>504</v>
      </c>
      <c r="K170" s="9" t="n">
        <v>0.4</v>
      </c>
      <c r="L170" s="9" t="n">
        <v>0.4</v>
      </c>
      <c r="M170" s="9" t="n">
        <v>0.4</v>
      </c>
      <c r="S170" s="0" t="n">
        <v>3</v>
      </c>
    </row>
    <row r="171" customFormat="false" ht="17.15" hidden="false" customHeight="false" outlineLevel="0" collapsed="false">
      <c r="A171" s="0" t="s">
        <v>508</v>
      </c>
      <c r="B171" s="0" t="s">
        <v>509</v>
      </c>
      <c r="C171" s="0" t="s">
        <v>111</v>
      </c>
      <c r="D171" s="5" t="s">
        <v>504</v>
      </c>
      <c r="E171" s="0" t="s">
        <v>53</v>
      </c>
      <c r="F171" s="0" t="s">
        <v>123</v>
      </c>
      <c r="G171" s="5" t="s">
        <v>510</v>
      </c>
      <c r="H171" s="9" t="s">
        <v>511</v>
      </c>
      <c r="I171" s="9" t="s">
        <v>507</v>
      </c>
      <c r="J171" s="16" t="s">
        <v>504</v>
      </c>
      <c r="K171" s="9" t="n">
        <v>0.7</v>
      </c>
      <c r="L171" s="9" t="n">
        <v>0.7</v>
      </c>
      <c r="M171" s="9" t="n">
        <v>0.7</v>
      </c>
      <c r="S171" s="0" t="n">
        <v>3</v>
      </c>
    </row>
    <row r="172" customFormat="false" ht="17.15" hidden="false" customHeight="false" outlineLevel="0" collapsed="false">
      <c r="A172" s="0" t="s">
        <v>512</v>
      </c>
      <c r="B172" s="0" t="s">
        <v>513</v>
      </c>
      <c r="C172" s="0" t="s">
        <v>111</v>
      </c>
      <c r="D172" s="0" t="s">
        <v>77</v>
      </c>
      <c r="E172" s="0" t="s">
        <v>141</v>
      </c>
      <c r="F172" s="0" t="s">
        <v>188</v>
      </c>
      <c r="G172" s="0" t="s">
        <v>514</v>
      </c>
      <c r="H172" s="9" t="s">
        <v>511</v>
      </c>
      <c r="I172" s="9" t="s">
        <v>515</v>
      </c>
      <c r="J172" s="9" t="s">
        <v>77</v>
      </c>
      <c r="L172" s="9" t="n">
        <v>1</v>
      </c>
      <c r="M172" s="9" t="n">
        <v>1</v>
      </c>
      <c r="S172" s="0" t="n">
        <v>3</v>
      </c>
    </row>
    <row r="173" customFormat="false" ht="17.15" hidden="false" customHeight="false" outlineLevel="0" collapsed="false">
      <c r="A173" s="0" t="s">
        <v>516</v>
      </c>
      <c r="B173" s="0" t="s">
        <v>517</v>
      </c>
      <c r="C173" s="0" t="s">
        <v>111</v>
      </c>
      <c r="D173" s="5" t="s">
        <v>504</v>
      </c>
      <c r="E173" s="0" t="s">
        <v>53</v>
      </c>
      <c r="F173" s="0" t="s">
        <v>68</v>
      </c>
      <c r="G173" s="5" t="s">
        <v>518</v>
      </c>
      <c r="H173" s="9" t="s">
        <v>519</v>
      </c>
      <c r="I173" s="9" t="s">
        <v>507</v>
      </c>
      <c r="J173" s="16" t="s">
        <v>504</v>
      </c>
      <c r="K173" s="9" t="n">
        <v>0.2</v>
      </c>
      <c r="L173" s="9" t="n">
        <v>0.2</v>
      </c>
      <c r="M173" s="9" t="n">
        <v>0.2</v>
      </c>
      <c r="S173" s="0" t="n">
        <v>3</v>
      </c>
    </row>
    <row r="174" customFormat="false" ht="17.15" hidden="false" customHeight="false" outlineLevel="0" collapsed="false">
      <c r="A174" s="0" t="s">
        <v>520</v>
      </c>
      <c r="B174" s="0" t="s">
        <v>521</v>
      </c>
      <c r="C174" s="0" t="s">
        <v>111</v>
      </c>
      <c r="D174" s="0" t="s">
        <v>77</v>
      </c>
      <c r="E174" s="0" t="s">
        <v>42</v>
      </c>
      <c r="F174" s="0" t="s">
        <v>188</v>
      </c>
      <c r="G174" s="0" t="s">
        <v>522</v>
      </c>
      <c r="H174" s="9" t="s">
        <v>519</v>
      </c>
      <c r="I174" s="9" t="s">
        <v>515</v>
      </c>
      <c r="J174" s="9" t="s">
        <v>77</v>
      </c>
      <c r="K174" s="9" t="n">
        <v>0.626</v>
      </c>
      <c r="L174" s="9" t="n">
        <v>1.037</v>
      </c>
      <c r="M174" s="9" t="n">
        <v>1.037</v>
      </c>
      <c r="S174" s="0" t="n">
        <v>3</v>
      </c>
    </row>
    <row r="175" customFormat="false" ht="17.15" hidden="false" customHeight="false" outlineLevel="0" collapsed="false">
      <c r="A175" s="0" t="s">
        <v>523</v>
      </c>
      <c r="B175" s="0" t="s">
        <v>524</v>
      </c>
      <c r="C175" s="0" t="s">
        <v>111</v>
      </c>
      <c r="D175" s="5" t="s">
        <v>504</v>
      </c>
      <c r="E175" s="0" t="s">
        <v>37</v>
      </c>
      <c r="F175" s="0" t="s">
        <v>48</v>
      </c>
      <c r="G175" s="5" t="s">
        <v>525</v>
      </c>
      <c r="H175" s="9" t="s">
        <v>526</v>
      </c>
      <c r="I175" s="9" t="s">
        <v>526</v>
      </c>
      <c r="J175" s="16" t="s">
        <v>504</v>
      </c>
      <c r="K175" s="9" t="n">
        <v>1</v>
      </c>
      <c r="L175" s="9" t="n">
        <v>1</v>
      </c>
      <c r="M175" s="9" t="n">
        <v>1</v>
      </c>
      <c r="S175" s="0" t="n">
        <v>3</v>
      </c>
    </row>
    <row r="176" customFormat="false" ht="17.15" hidden="false" customHeight="false" outlineLevel="0" collapsed="false">
      <c r="A176" s="0" t="s">
        <v>527</v>
      </c>
      <c r="B176" s="0" t="s">
        <v>528</v>
      </c>
      <c r="C176" s="0" t="s">
        <v>111</v>
      </c>
      <c r="D176" s="0" t="s">
        <v>77</v>
      </c>
      <c r="E176" s="0" t="s">
        <v>141</v>
      </c>
      <c r="F176" s="0" t="s">
        <v>188</v>
      </c>
      <c r="G176" s="0" t="s">
        <v>529</v>
      </c>
      <c r="H176" s="9" t="s">
        <v>530</v>
      </c>
      <c r="I176" s="9" t="s">
        <v>531</v>
      </c>
      <c r="J176" s="9" t="s">
        <v>77</v>
      </c>
      <c r="L176" s="9" t="n">
        <v>0.824</v>
      </c>
      <c r="M176" s="9" t="n">
        <v>0.991</v>
      </c>
      <c r="S176" s="0" t="n">
        <v>3</v>
      </c>
    </row>
    <row r="177" customFormat="false" ht="17.15" hidden="false" customHeight="false" outlineLevel="0" collapsed="false">
      <c r="A177" s="0" t="s">
        <v>532</v>
      </c>
      <c r="B177" s="0" t="s">
        <v>533</v>
      </c>
      <c r="C177" s="0" t="s">
        <v>111</v>
      </c>
      <c r="D177" s="0" t="s">
        <v>77</v>
      </c>
      <c r="E177" s="0" t="s">
        <v>37</v>
      </c>
      <c r="F177" s="0" t="s">
        <v>78</v>
      </c>
      <c r="G177" s="0" t="s">
        <v>534</v>
      </c>
      <c r="H177" s="9" t="s">
        <v>535</v>
      </c>
      <c r="I177" s="9" t="s">
        <v>511</v>
      </c>
      <c r="J177" s="9" t="s">
        <v>77</v>
      </c>
      <c r="L177" s="9" t="n">
        <v>0.19</v>
      </c>
      <c r="M177" s="9" t="n">
        <v>0.19</v>
      </c>
      <c r="S177" s="0" t="n">
        <v>3</v>
      </c>
    </row>
    <row r="178" customFormat="false" ht="17.15" hidden="false" customHeight="false" outlineLevel="0" collapsed="false">
      <c r="A178" s="0" t="s">
        <v>536</v>
      </c>
      <c r="B178" s="0" t="s">
        <v>537</v>
      </c>
      <c r="C178" s="0" t="s">
        <v>111</v>
      </c>
      <c r="D178" s="5" t="s">
        <v>504</v>
      </c>
      <c r="E178" s="0" t="s">
        <v>37</v>
      </c>
      <c r="F178" s="0" t="s">
        <v>78</v>
      </c>
      <c r="G178" s="0" t="s">
        <v>538</v>
      </c>
      <c r="H178" s="9" t="s">
        <v>531</v>
      </c>
      <c r="I178" s="9" t="s">
        <v>531</v>
      </c>
      <c r="J178" s="16" t="s">
        <v>504</v>
      </c>
      <c r="K178" s="9" t="n">
        <v>1</v>
      </c>
      <c r="L178" s="9" t="n">
        <v>1</v>
      </c>
      <c r="M178" s="9" t="n">
        <v>1</v>
      </c>
      <c r="S178" s="0" t="n">
        <v>3</v>
      </c>
    </row>
    <row r="179" customFormat="false" ht="17.15" hidden="false" customHeight="false" outlineLevel="0" collapsed="false">
      <c r="A179" s="0" t="s">
        <v>539</v>
      </c>
      <c r="B179" s="0" t="s">
        <v>540</v>
      </c>
      <c r="C179" s="0" t="s">
        <v>111</v>
      </c>
      <c r="D179" s="5" t="s">
        <v>504</v>
      </c>
      <c r="E179" s="0" t="s">
        <v>37</v>
      </c>
      <c r="F179" s="0" t="s">
        <v>48</v>
      </c>
      <c r="G179" s="5" t="s">
        <v>541</v>
      </c>
      <c r="H179" s="9" t="s">
        <v>515</v>
      </c>
      <c r="I179" s="9" t="s">
        <v>515</v>
      </c>
      <c r="J179" s="16" t="s">
        <v>504</v>
      </c>
      <c r="K179" s="9" t="n">
        <v>1</v>
      </c>
      <c r="L179" s="9" t="n">
        <v>1</v>
      </c>
      <c r="M179" s="9" t="n">
        <v>1</v>
      </c>
      <c r="S179" s="0" t="n">
        <v>3</v>
      </c>
    </row>
    <row r="180" customFormat="false" ht="17.15" hidden="false" customHeight="false" outlineLevel="0" collapsed="false">
      <c r="A180" s="0" t="s">
        <v>542</v>
      </c>
      <c r="B180" s="5" t="s">
        <v>543</v>
      </c>
      <c r="C180" s="0" t="s">
        <v>111</v>
      </c>
      <c r="D180" s="0" t="s">
        <v>77</v>
      </c>
      <c r="E180" s="0" t="s">
        <v>141</v>
      </c>
      <c r="F180" s="0" t="s">
        <v>188</v>
      </c>
      <c r="G180" s="0" t="s">
        <v>544</v>
      </c>
      <c r="H180" s="9" t="s">
        <v>545</v>
      </c>
      <c r="I180" s="9" t="s">
        <v>506</v>
      </c>
      <c r="J180" s="9" t="s">
        <v>77</v>
      </c>
      <c r="L180" s="9" t="n">
        <v>0.2</v>
      </c>
      <c r="M180" s="9" t="n">
        <v>0.2</v>
      </c>
      <c r="S180" s="0" t="n">
        <v>3</v>
      </c>
    </row>
    <row r="181" customFormat="false" ht="17.15" hidden="false" customHeight="false" outlineLevel="0" collapsed="false">
      <c r="A181" s="0" t="s">
        <v>546</v>
      </c>
      <c r="B181" s="5" t="s">
        <v>547</v>
      </c>
      <c r="C181" s="0" t="s">
        <v>111</v>
      </c>
      <c r="D181" s="0" t="s">
        <v>77</v>
      </c>
      <c r="E181" s="0" t="s">
        <v>141</v>
      </c>
      <c r="F181" s="0" t="s">
        <v>188</v>
      </c>
      <c r="G181" s="0" t="s">
        <v>548</v>
      </c>
      <c r="H181" s="9" t="s">
        <v>545</v>
      </c>
      <c r="I181" s="9" t="s">
        <v>515</v>
      </c>
      <c r="J181" s="9" t="s">
        <v>77</v>
      </c>
      <c r="M181" s="9" t="n">
        <v>0.2</v>
      </c>
      <c r="S181" s="0" t="n">
        <v>3</v>
      </c>
    </row>
    <row r="182" customFormat="false" ht="17.15" hidden="false" customHeight="false" outlineLevel="0" collapsed="false">
      <c r="A182" s="0" t="s">
        <v>549</v>
      </c>
      <c r="B182" s="5" t="s">
        <v>550</v>
      </c>
      <c r="C182" s="0" t="s">
        <v>111</v>
      </c>
      <c r="D182" s="5" t="s">
        <v>504</v>
      </c>
      <c r="E182" s="0" t="s">
        <v>37</v>
      </c>
      <c r="F182" s="0" t="s">
        <v>48</v>
      </c>
      <c r="G182" s="5" t="s">
        <v>551</v>
      </c>
      <c r="H182" s="9" t="s">
        <v>552</v>
      </c>
      <c r="I182" s="9" t="s">
        <v>507</v>
      </c>
      <c r="J182" s="16" t="s">
        <v>504</v>
      </c>
      <c r="K182" s="9" t="n">
        <v>1</v>
      </c>
      <c r="L182" s="9" t="n">
        <v>1</v>
      </c>
      <c r="M182" s="9" t="n">
        <v>1</v>
      </c>
      <c r="S182" s="0" t="n">
        <v>3</v>
      </c>
    </row>
    <row r="184" customFormat="false" ht="17.15" hidden="false" customHeight="false" outlineLevel="0" collapsed="false">
      <c r="A184" s="8" t="s">
        <v>553</v>
      </c>
    </row>
    <row r="185" customFormat="false" ht="17.15" hidden="false" customHeight="false" outlineLevel="0" collapsed="false">
      <c r="A185" s="6" t="s">
        <v>14</v>
      </c>
      <c r="B185" s="6" t="s">
        <v>554</v>
      </c>
      <c r="C185" s="6" t="s">
        <v>16</v>
      </c>
      <c r="D185" s="6" t="s">
        <v>17</v>
      </c>
      <c r="E185" s="6" t="s">
        <v>18</v>
      </c>
      <c r="F185" s="6" t="s">
        <v>19</v>
      </c>
      <c r="G185" s="6" t="s">
        <v>20</v>
      </c>
      <c r="H185" s="6" t="s">
        <v>499</v>
      </c>
      <c r="I185" s="6" t="s">
        <v>500</v>
      </c>
      <c r="J185" s="7" t="s">
        <v>112</v>
      </c>
      <c r="K185" s="6" t="s">
        <v>555</v>
      </c>
      <c r="L185" s="6" t="s">
        <v>556</v>
      </c>
      <c r="M185" s="6" t="s">
        <v>557</v>
      </c>
      <c r="N185" s="6" t="s">
        <v>558</v>
      </c>
      <c r="O185" s="6" t="s">
        <v>559</v>
      </c>
    </row>
    <row r="186" customFormat="false" ht="17.15" hidden="false" customHeight="false" outlineLevel="0" collapsed="false">
      <c r="A186" s="0" t="s">
        <v>560</v>
      </c>
      <c r="B186" s="0" t="s">
        <v>561</v>
      </c>
      <c r="C186" s="0" t="s">
        <v>111</v>
      </c>
      <c r="D186" s="0" t="s">
        <v>112</v>
      </c>
      <c r="E186" s="0" t="s">
        <v>42</v>
      </c>
      <c r="F186" s="0" t="s">
        <v>188</v>
      </c>
      <c r="G186" s="0" t="s">
        <v>562</v>
      </c>
      <c r="H186" s="9" t="s">
        <v>506</v>
      </c>
      <c r="J186" s="9" t="n">
        <v>321</v>
      </c>
      <c r="K186" s="9" t="n">
        <v>2025</v>
      </c>
      <c r="L186" s="9" t="n">
        <v>10</v>
      </c>
      <c r="N186" s="9" t="n">
        <v>1</v>
      </c>
      <c r="O186" s="9" t="n">
        <v>0</v>
      </c>
      <c r="S186" s="0" t="n">
        <v>4</v>
      </c>
    </row>
    <row r="187" customFormat="false" ht="17.15" hidden="false" customHeight="false" outlineLevel="0" collapsed="false">
      <c r="A187" s="0" t="s">
        <v>563</v>
      </c>
      <c r="B187" s="0" t="s">
        <v>564</v>
      </c>
      <c r="C187" s="0" t="s">
        <v>111</v>
      </c>
      <c r="D187" s="0" t="s">
        <v>112</v>
      </c>
      <c r="E187" s="0" t="s">
        <v>42</v>
      </c>
      <c r="F187" s="0" t="s">
        <v>188</v>
      </c>
      <c r="G187" s="0" t="s">
        <v>565</v>
      </c>
      <c r="H187" s="9" t="s">
        <v>506</v>
      </c>
      <c r="J187" s="9" t="n">
        <v>369</v>
      </c>
      <c r="K187" s="9" t="n">
        <v>2026</v>
      </c>
      <c r="L187" s="9" t="n">
        <v>4</v>
      </c>
      <c r="N187" s="9" t="n">
        <v>1</v>
      </c>
      <c r="O187" s="9" t="n">
        <v>0</v>
      </c>
      <c r="S187" s="0" t="n">
        <v>4</v>
      </c>
    </row>
    <row r="188" customFormat="false" ht="17.15" hidden="false" customHeight="false" outlineLevel="0" collapsed="false">
      <c r="A188" s="0" t="s">
        <v>566</v>
      </c>
      <c r="B188" s="0" t="s">
        <v>567</v>
      </c>
      <c r="C188" s="0" t="s">
        <v>111</v>
      </c>
      <c r="D188" s="0" t="s">
        <v>112</v>
      </c>
      <c r="E188" s="0" t="s">
        <v>42</v>
      </c>
      <c r="F188" s="0" t="s">
        <v>188</v>
      </c>
      <c r="G188" s="0" t="s">
        <v>568</v>
      </c>
      <c r="H188" s="9" t="s">
        <v>506</v>
      </c>
      <c r="J188" s="9" t="n">
        <v>1526</v>
      </c>
      <c r="K188" s="9" t="n">
        <v>2028</v>
      </c>
      <c r="L188" s="9" t="n">
        <v>5</v>
      </c>
      <c r="N188" s="9" t="n">
        <v>1</v>
      </c>
      <c r="O188" s="9" t="n">
        <v>0</v>
      </c>
      <c r="S188" s="0" t="n">
        <v>4</v>
      </c>
    </row>
    <row r="189" customFormat="false" ht="17.15" hidden="false" customHeight="false" outlineLevel="0" collapsed="false">
      <c r="A189" s="0" t="s">
        <v>569</v>
      </c>
      <c r="B189" s="0" t="s">
        <v>570</v>
      </c>
      <c r="C189" s="0" t="s">
        <v>111</v>
      </c>
      <c r="D189" s="0" t="s">
        <v>112</v>
      </c>
      <c r="E189" s="0" t="s">
        <v>141</v>
      </c>
      <c r="F189" s="0" t="s">
        <v>188</v>
      </c>
      <c r="G189" s="0" t="s">
        <v>571</v>
      </c>
      <c r="H189" s="9" t="s">
        <v>506</v>
      </c>
      <c r="I189" s="9" t="s">
        <v>507</v>
      </c>
      <c r="J189" s="9" t="n">
        <v>336</v>
      </c>
      <c r="K189" s="9" t="n">
        <v>2027</v>
      </c>
      <c r="L189" s="9" t="n">
        <v>6</v>
      </c>
      <c r="N189" s="9" t="n">
        <v>1</v>
      </c>
      <c r="O189" s="9" t="n">
        <v>0</v>
      </c>
      <c r="S189" s="0" t="n">
        <v>4</v>
      </c>
    </row>
    <row r="190" customFormat="false" ht="17.15" hidden="false" customHeight="false" outlineLevel="0" collapsed="false">
      <c r="A190" s="0" t="s">
        <v>572</v>
      </c>
      <c r="B190" s="0" t="s">
        <v>573</v>
      </c>
      <c r="C190" s="0" t="s">
        <v>111</v>
      </c>
      <c r="D190" s="0" t="s">
        <v>112</v>
      </c>
      <c r="E190" s="0" t="s">
        <v>42</v>
      </c>
      <c r="F190" s="0" t="s">
        <v>188</v>
      </c>
      <c r="G190" s="0" t="s">
        <v>574</v>
      </c>
      <c r="H190" s="9" t="s">
        <v>519</v>
      </c>
      <c r="I190" s="9" t="s">
        <v>515</v>
      </c>
      <c r="J190" s="9" t="n">
        <v>127</v>
      </c>
      <c r="K190" s="9" t="n">
        <v>2026</v>
      </c>
      <c r="L190" s="9" t="n">
        <v>10</v>
      </c>
      <c r="N190" s="9" t="n">
        <v>1</v>
      </c>
      <c r="O190" s="9" t="n">
        <v>0</v>
      </c>
      <c r="S190" s="0" t="n">
        <v>4</v>
      </c>
    </row>
    <row r="191" customFormat="false" ht="17.15" hidden="false" customHeight="false" outlineLevel="0" collapsed="false">
      <c r="A191" s="0" t="s">
        <v>575</v>
      </c>
      <c r="B191" s="0" t="s">
        <v>576</v>
      </c>
      <c r="C191" s="0" t="s">
        <v>111</v>
      </c>
      <c r="D191" s="0" t="s">
        <v>112</v>
      </c>
      <c r="E191" s="0" t="s">
        <v>42</v>
      </c>
      <c r="F191" s="0" t="s">
        <v>188</v>
      </c>
      <c r="G191" s="0" t="s">
        <v>577</v>
      </c>
      <c r="H191" s="9" t="s">
        <v>519</v>
      </c>
      <c r="I191" s="9" t="s">
        <v>515</v>
      </c>
      <c r="J191" s="9" t="n">
        <v>888</v>
      </c>
      <c r="K191" s="9" t="n">
        <v>2028</v>
      </c>
      <c r="L191" s="9" t="n">
        <v>6</v>
      </c>
      <c r="N191" s="9" t="n">
        <v>1</v>
      </c>
      <c r="O191" s="9" t="n">
        <v>0</v>
      </c>
      <c r="S191" s="0" t="n">
        <v>4</v>
      </c>
    </row>
    <row r="192" customFormat="false" ht="17.15" hidden="false" customHeight="false" outlineLevel="0" collapsed="false">
      <c r="A192" s="0" t="s">
        <v>578</v>
      </c>
      <c r="B192" s="0" t="s">
        <v>579</v>
      </c>
      <c r="C192" s="0" t="s">
        <v>111</v>
      </c>
      <c r="D192" s="0" t="s">
        <v>112</v>
      </c>
      <c r="E192" s="0" t="s">
        <v>42</v>
      </c>
      <c r="F192" s="0" t="s">
        <v>188</v>
      </c>
      <c r="G192" s="0" t="s">
        <v>580</v>
      </c>
      <c r="H192" s="9" t="s">
        <v>526</v>
      </c>
      <c r="I192" s="9" t="s">
        <v>526</v>
      </c>
      <c r="J192" s="9" t="n">
        <v>471</v>
      </c>
      <c r="K192" s="9" t="n">
        <v>2026</v>
      </c>
      <c r="L192" s="9" t="n">
        <v>8</v>
      </c>
      <c r="N192" s="9" t="n">
        <v>1</v>
      </c>
      <c r="O192" s="9" t="n">
        <v>0</v>
      </c>
      <c r="S192" s="0" t="n">
        <v>4</v>
      </c>
    </row>
    <row r="193" customFormat="false" ht="17.15" hidden="false" customHeight="false" outlineLevel="0" collapsed="false">
      <c r="A193" s="0" t="s">
        <v>581</v>
      </c>
      <c r="B193" s="0" t="s">
        <v>582</v>
      </c>
      <c r="C193" s="0" t="s">
        <v>111</v>
      </c>
      <c r="D193" s="0" t="s">
        <v>112</v>
      </c>
      <c r="E193" s="0" t="s">
        <v>42</v>
      </c>
      <c r="F193" s="0" t="s">
        <v>188</v>
      </c>
      <c r="G193" s="0" t="s">
        <v>583</v>
      </c>
      <c r="H193" s="9" t="s">
        <v>526</v>
      </c>
      <c r="I193" s="9" t="s">
        <v>526</v>
      </c>
      <c r="J193" s="9" t="n">
        <v>205</v>
      </c>
      <c r="K193" s="9" t="n">
        <v>2026</v>
      </c>
      <c r="L193" s="9" t="n">
        <v>11</v>
      </c>
      <c r="N193" s="9" t="n">
        <v>1</v>
      </c>
      <c r="O193" s="9" t="n">
        <v>0</v>
      </c>
      <c r="S193" s="0" t="n">
        <v>4</v>
      </c>
    </row>
    <row r="194" customFormat="false" ht="17.15" hidden="false" customHeight="false" outlineLevel="0" collapsed="false">
      <c r="A194" s="0" t="s">
        <v>584</v>
      </c>
      <c r="B194" s="0" t="s">
        <v>585</v>
      </c>
      <c r="C194" s="0" t="s">
        <v>111</v>
      </c>
      <c r="D194" s="0" t="s">
        <v>112</v>
      </c>
      <c r="E194" s="0" t="s">
        <v>42</v>
      </c>
      <c r="F194" s="0" t="s">
        <v>188</v>
      </c>
      <c r="G194" s="0" t="s">
        <v>586</v>
      </c>
      <c r="H194" s="9" t="s">
        <v>526</v>
      </c>
      <c r="I194" s="9" t="s">
        <v>526</v>
      </c>
      <c r="J194" s="9" t="n">
        <v>192</v>
      </c>
      <c r="K194" s="9" t="n">
        <v>2027</v>
      </c>
      <c r="L194" s="9" t="n">
        <v>7</v>
      </c>
      <c r="N194" s="9" t="n">
        <v>1</v>
      </c>
      <c r="O194" s="9" t="n">
        <v>1</v>
      </c>
      <c r="S194" s="0" t="n">
        <v>4</v>
      </c>
    </row>
    <row r="195" customFormat="false" ht="17.15" hidden="false" customHeight="false" outlineLevel="0" collapsed="false">
      <c r="A195" s="0" t="s">
        <v>587</v>
      </c>
      <c r="B195" s="0" t="s">
        <v>588</v>
      </c>
      <c r="C195" s="0" t="s">
        <v>111</v>
      </c>
      <c r="D195" s="0" t="s">
        <v>112</v>
      </c>
      <c r="E195" s="0" t="s">
        <v>42</v>
      </c>
      <c r="F195" s="0" t="s">
        <v>188</v>
      </c>
      <c r="G195" s="0" t="s">
        <v>589</v>
      </c>
      <c r="H195" s="9" t="s">
        <v>526</v>
      </c>
      <c r="I195" s="9" t="s">
        <v>526</v>
      </c>
      <c r="J195" s="9" t="n">
        <v>154</v>
      </c>
      <c r="K195" s="9" t="n">
        <v>2028</v>
      </c>
      <c r="L195" s="9" t="n">
        <v>7</v>
      </c>
      <c r="N195" s="9" t="n">
        <v>1</v>
      </c>
      <c r="O195" s="9" t="n">
        <v>1</v>
      </c>
      <c r="S195" s="0" t="n">
        <v>4</v>
      </c>
    </row>
    <row r="196" customFormat="false" ht="17.15" hidden="false" customHeight="false" outlineLevel="0" collapsed="false">
      <c r="A196" s="0" t="s">
        <v>590</v>
      </c>
      <c r="B196" s="0" t="s">
        <v>591</v>
      </c>
      <c r="C196" s="0" t="s">
        <v>111</v>
      </c>
      <c r="D196" s="0" t="s">
        <v>112</v>
      </c>
      <c r="E196" s="0" t="s">
        <v>42</v>
      </c>
      <c r="F196" s="0" t="s">
        <v>188</v>
      </c>
      <c r="G196" s="0" t="s">
        <v>592</v>
      </c>
      <c r="H196" s="9" t="s">
        <v>526</v>
      </c>
      <c r="I196" s="9" t="s">
        <v>526</v>
      </c>
      <c r="J196" s="9" t="n">
        <v>1632</v>
      </c>
      <c r="K196" s="9" t="n">
        <v>2028</v>
      </c>
      <c r="L196" s="9" t="n">
        <v>1</v>
      </c>
      <c r="N196" s="9" t="n">
        <v>1</v>
      </c>
      <c r="O196" s="9" t="n">
        <v>1</v>
      </c>
      <c r="S196" s="0" t="n">
        <v>4</v>
      </c>
    </row>
    <row r="197" customFormat="false" ht="17.15" hidden="false" customHeight="false" outlineLevel="0" collapsed="false">
      <c r="A197" s="0" t="s">
        <v>593</v>
      </c>
      <c r="B197" s="0" t="s">
        <v>594</v>
      </c>
      <c r="C197" s="5" t="s">
        <v>76</v>
      </c>
      <c r="D197" s="0" t="s">
        <v>112</v>
      </c>
      <c r="E197" s="0" t="s">
        <v>141</v>
      </c>
      <c r="F197" s="0" t="s">
        <v>188</v>
      </c>
      <c r="G197" s="0" t="s">
        <v>595</v>
      </c>
      <c r="H197" s="9" t="s">
        <v>526</v>
      </c>
      <c r="I197" s="9" t="s">
        <v>526</v>
      </c>
      <c r="J197" s="9" t="n">
        <v>368</v>
      </c>
      <c r="K197" s="9" t="n">
        <v>2029</v>
      </c>
      <c r="L197" s="9" t="n">
        <v>12</v>
      </c>
      <c r="N197" s="9" t="n">
        <v>1</v>
      </c>
      <c r="O197" s="9" t="n">
        <v>0</v>
      </c>
      <c r="S197" s="0" t="n">
        <v>4</v>
      </c>
    </row>
    <row r="198" customFormat="false" ht="17.15" hidden="false" customHeight="false" outlineLevel="0" collapsed="false">
      <c r="A198" s="0" t="s">
        <v>596</v>
      </c>
      <c r="B198" s="0" t="s">
        <v>597</v>
      </c>
      <c r="C198" s="5" t="s">
        <v>76</v>
      </c>
      <c r="D198" s="0" t="s">
        <v>112</v>
      </c>
      <c r="E198" s="0" t="s">
        <v>141</v>
      </c>
      <c r="F198" s="0" t="s">
        <v>188</v>
      </c>
      <c r="G198" s="0" t="s">
        <v>598</v>
      </c>
      <c r="H198" s="9" t="s">
        <v>526</v>
      </c>
      <c r="I198" s="9" t="s">
        <v>526</v>
      </c>
      <c r="J198" s="9" t="n">
        <v>1000</v>
      </c>
      <c r="K198" s="9" t="n">
        <v>2028</v>
      </c>
      <c r="L198" s="9" t="n">
        <v>12</v>
      </c>
      <c r="N198" s="9" t="n">
        <v>1</v>
      </c>
      <c r="O198" s="9" t="n">
        <v>0</v>
      </c>
      <c r="S198" s="0" t="n">
        <v>4</v>
      </c>
    </row>
    <row r="199" customFormat="false" ht="17.15" hidden="false" customHeight="false" outlineLevel="0" collapsed="false">
      <c r="A199" s="0" t="s">
        <v>599</v>
      </c>
      <c r="B199" s="0" t="s">
        <v>600</v>
      </c>
      <c r="C199" s="5" t="s">
        <v>76</v>
      </c>
      <c r="D199" s="0" t="s">
        <v>112</v>
      </c>
      <c r="E199" s="0" t="s">
        <v>141</v>
      </c>
      <c r="F199" s="0" t="s">
        <v>188</v>
      </c>
      <c r="G199" s="0" t="s">
        <v>601</v>
      </c>
      <c r="H199" s="9" t="s">
        <v>530</v>
      </c>
      <c r="I199" s="9" t="s">
        <v>531</v>
      </c>
      <c r="J199" s="9" t="n">
        <v>206</v>
      </c>
      <c r="K199" s="9" t="n">
        <v>2026</v>
      </c>
      <c r="L199" s="9" t="n">
        <v>12</v>
      </c>
      <c r="N199" s="9" t="n">
        <v>1</v>
      </c>
      <c r="O199" s="9" t="n">
        <v>0</v>
      </c>
      <c r="S199" s="0" t="n">
        <v>4</v>
      </c>
    </row>
    <row r="200" customFormat="false" ht="17.15" hidden="false" customHeight="false" outlineLevel="0" collapsed="false">
      <c r="A200" s="0" t="s">
        <v>602</v>
      </c>
      <c r="B200" s="0" t="s">
        <v>603</v>
      </c>
      <c r="C200" s="5" t="s">
        <v>167</v>
      </c>
      <c r="D200" s="0" t="s">
        <v>112</v>
      </c>
      <c r="E200" s="0" t="s">
        <v>42</v>
      </c>
      <c r="F200" s="0" t="s">
        <v>188</v>
      </c>
      <c r="G200" s="0" t="s">
        <v>604</v>
      </c>
      <c r="H200" s="9" t="s">
        <v>530</v>
      </c>
      <c r="I200" s="9" t="s">
        <v>531</v>
      </c>
      <c r="J200" s="9" t="n">
        <v>200</v>
      </c>
      <c r="K200" s="9" t="n">
        <v>2027</v>
      </c>
      <c r="L200" s="9" t="n">
        <v>8</v>
      </c>
      <c r="N200" s="9" t="n">
        <v>1</v>
      </c>
      <c r="O200" s="9" t="n">
        <v>0</v>
      </c>
      <c r="S200" s="0" t="n">
        <v>4</v>
      </c>
    </row>
    <row r="201" customFormat="false" ht="17.15" hidden="false" customHeight="false" outlineLevel="0" collapsed="false">
      <c r="A201" s="0" t="s">
        <v>605</v>
      </c>
      <c r="B201" s="0" t="s">
        <v>606</v>
      </c>
      <c r="C201" s="5" t="s">
        <v>167</v>
      </c>
      <c r="D201" s="0" t="s">
        <v>112</v>
      </c>
      <c r="E201" s="0" t="s">
        <v>42</v>
      </c>
      <c r="F201" s="0" t="s">
        <v>188</v>
      </c>
      <c r="G201" s="0" t="s">
        <v>607</v>
      </c>
      <c r="H201" s="9" t="s">
        <v>530</v>
      </c>
      <c r="I201" s="9" t="s">
        <v>531</v>
      </c>
      <c r="J201" s="9" t="n">
        <v>1800</v>
      </c>
      <c r="K201" s="9" t="n">
        <v>2028</v>
      </c>
      <c r="L201" s="9" t="n">
        <v>11</v>
      </c>
      <c r="N201" s="9" t="n">
        <v>1</v>
      </c>
      <c r="O201" s="9" t="n">
        <v>0</v>
      </c>
      <c r="S201" s="0" t="n">
        <v>4</v>
      </c>
    </row>
    <row r="202" customFormat="false" ht="17.15" hidden="false" customHeight="false" outlineLevel="0" collapsed="false">
      <c r="A202" s="0" t="s">
        <v>608</v>
      </c>
      <c r="B202" s="0" t="s">
        <v>609</v>
      </c>
      <c r="C202" s="5" t="s">
        <v>167</v>
      </c>
      <c r="D202" s="0" t="s">
        <v>112</v>
      </c>
      <c r="E202" s="0" t="s">
        <v>42</v>
      </c>
      <c r="F202" s="0" t="s">
        <v>188</v>
      </c>
      <c r="G202" s="0" t="s">
        <v>610</v>
      </c>
      <c r="H202" s="9" t="s">
        <v>530</v>
      </c>
      <c r="I202" s="9" t="s">
        <v>531</v>
      </c>
      <c r="J202" s="9" t="n">
        <v>2200</v>
      </c>
      <c r="K202" s="9" t="n">
        <v>2028</v>
      </c>
      <c r="L202" s="9" t="n">
        <v>12</v>
      </c>
      <c r="N202" s="9" t="n">
        <v>1</v>
      </c>
      <c r="O202" s="9" t="n">
        <v>0</v>
      </c>
      <c r="S202" s="0" t="n">
        <v>4</v>
      </c>
    </row>
    <row r="203" customFormat="false" ht="17.15" hidden="false" customHeight="false" outlineLevel="0" collapsed="false">
      <c r="A203" s="0" t="s">
        <v>611</v>
      </c>
      <c r="B203" s="0" t="s">
        <v>612</v>
      </c>
      <c r="C203" s="5" t="s">
        <v>167</v>
      </c>
      <c r="D203" s="0" t="s">
        <v>112</v>
      </c>
      <c r="E203" s="0" t="s">
        <v>42</v>
      </c>
      <c r="F203" s="0" t="s">
        <v>188</v>
      </c>
      <c r="G203" s="0" t="s">
        <v>613</v>
      </c>
      <c r="H203" s="9" t="s">
        <v>530</v>
      </c>
      <c r="I203" s="9" t="s">
        <v>531</v>
      </c>
      <c r="J203" s="9" t="n">
        <v>1300</v>
      </c>
      <c r="K203" s="9" t="n">
        <v>2028</v>
      </c>
      <c r="L203" s="9" t="n">
        <v>12</v>
      </c>
      <c r="N203" s="9" t="n">
        <v>1</v>
      </c>
      <c r="O203" s="9" t="n">
        <v>0</v>
      </c>
      <c r="S203" s="0" t="n">
        <v>4</v>
      </c>
    </row>
    <row r="204" customFormat="false" ht="17.15" hidden="false" customHeight="false" outlineLevel="0" collapsed="false">
      <c r="A204" s="0" t="s">
        <v>614</v>
      </c>
      <c r="B204" s="0" t="s">
        <v>615</v>
      </c>
      <c r="C204" s="5" t="s">
        <v>167</v>
      </c>
      <c r="D204" s="0" t="s">
        <v>112</v>
      </c>
      <c r="E204" s="0" t="s">
        <v>42</v>
      </c>
      <c r="F204" s="0" t="s">
        <v>188</v>
      </c>
      <c r="G204" s="0" t="s">
        <v>616</v>
      </c>
      <c r="H204" s="9" t="s">
        <v>530</v>
      </c>
      <c r="I204" s="9" t="s">
        <v>531</v>
      </c>
      <c r="J204" s="9" t="n">
        <v>1383</v>
      </c>
      <c r="K204" s="9" t="n">
        <v>2028</v>
      </c>
      <c r="L204" s="9" t="n">
        <v>12</v>
      </c>
      <c r="N204" s="9" t="n">
        <v>1</v>
      </c>
      <c r="O204" s="9" t="n">
        <v>0</v>
      </c>
      <c r="S204" s="0" t="n">
        <v>4</v>
      </c>
    </row>
    <row r="205" customFormat="false" ht="17.15" hidden="false" customHeight="false" outlineLevel="0" collapsed="false">
      <c r="A205" s="0" t="s">
        <v>617</v>
      </c>
      <c r="B205" s="0" t="s">
        <v>618</v>
      </c>
      <c r="C205" s="0" t="s">
        <v>111</v>
      </c>
      <c r="D205" s="0" t="s">
        <v>112</v>
      </c>
      <c r="E205" s="0" t="s">
        <v>141</v>
      </c>
      <c r="F205" s="0" t="s">
        <v>188</v>
      </c>
      <c r="G205" s="0" t="s">
        <v>619</v>
      </c>
      <c r="H205" s="9" t="s">
        <v>620</v>
      </c>
      <c r="J205" s="9" t="n">
        <v>260</v>
      </c>
      <c r="K205" s="9" t="n">
        <v>2027</v>
      </c>
      <c r="L205" s="9" t="n">
        <v>6</v>
      </c>
      <c r="N205" s="9" t="n">
        <v>1</v>
      </c>
      <c r="O205" s="9" t="n">
        <v>0</v>
      </c>
      <c r="S205" s="0" t="n">
        <v>4</v>
      </c>
    </row>
    <row r="206" customFormat="false" ht="17.15" hidden="false" customHeight="false" outlineLevel="0" collapsed="false">
      <c r="A206" s="0" t="s">
        <v>621</v>
      </c>
      <c r="B206" s="0" t="s">
        <v>622</v>
      </c>
      <c r="C206" s="0" t="s">
        <v>111</v>
      </c>
      <c r="D206" s="0" t="s">
        <v>112</v>
      </c>
      <c r="E206" s="0" t="s">
        <v>141</v>
      </c>
      <c r="F206" s="0" t="s">
        <v>188</v>
      </c>
      <c r="G206" s="0" t="s">
        <v>623</v>
      </c>
      <c r="H206" s="9" t="s">
        <v>545</v>
      </c>
      <c r="I206" s="9" t="s">
        <v>506</v>
      </c>
      <c r="J206" s="9" t="n">
        <v>100</v>
      </c>
      <c r="K206" s="9" t="n">
        <v>2026</v>
      </c>
      <c r="L206" s="9" t="n">
        <v>12</v>
      </c>
      <c r="N206" s="9" t="n">
        <v>1</v>
      </c>
      <c r="O206" s="9" t="n">
        <v>0</v>
      </c>
      <c r="S206" s="0" t="n">
        <v>4</v>
      </c>
    </row>
    <row r="207" customFormat="false" ht="17.15" hidden="false" customHeight="false" outlineLevel="0" collapsed="false">
      <c r="A207" s="0" t="s">
        <v>624</v>
      </c>
      <c r="B207" s="0" t="s">
        <v>625</v>
      </c>
      <c r="C207" s="0" t="s">
        <v>111</v>
      </c>
      <c r="D207" s="0" t="s">
        <v>112</v>
      </c>
      <c r="E207" s="0" t="s">
        <v>141</v>
      </c>
      <c r="F207" s="0" t="s">
        <v>188</v>
      </c>
      <c r="G207" s="0" t="s">
        <v>626</v>
      </c>
      <c r="H207" s="9" t="s">
        <v>545</v>
      </c>
      <c r="J207" s="9" t="n">
        <v>500</v>
      </c>
      <c r="K207" s="9" t="n">
        <v>2027</v>
      </c>
      <c r="L207" s="9" t="n">
        <v>12</v>
      </c>
      <c r="N207" s="9" t="n">
        <v>1</v>
      </c>
      <c r="O207" s="9" t="n">
        <v>0</v>
      </c>
      <c r="S207" s="0" t="n">
        <v>4</v>
      </c>
    </row>
    <row r="208" customFormat="false" ht="17.15" hidden="false" customHeight="false" outlineLevel="0" collapsed="false">
      <c r="A208" s="0" t="s">
        <v>627</v>
      </c>
      <c r="B208" s="0" t="s">
        <v>628</v>
      </c>
      <c r="C208" s="0" t="s">
        <v>111</v>
      </c>
      <c r="D208" s="0" t="s">
        <v>112</v>
      </c>
      <c r="E208" s="0" t="s">
        <v>141</v>
      </c>
      <c r="F208" s="0" t="s">
        <v>188</v>
      </c>
      <c r="G208" s="0" t="s">
        <v>629</v>
      </c>
      <c r="H208" s="9" t="s">
        <v>545</v>
      </c>
      <c r="I208" s="9" t="s">
        <v>515</v>
      </c>
      <c r="J208" s="9" t="n">
        <v>200</v>
      </c>
      <c r="K208" s="9" t="n">
        <v>2027</v>
      </c>
      <c r="L208" s="9" t="n">
        <v>9</v>
      </c>
      <c r="N208" s="9" t="n">
        <v>1</v>
      </c>
      <c r="O208" s="9" t="n">
        <v>0</v>
      </c>
      <c r="S208" s="0" t="n">
        <v>4</v>
      </c>
    </row>
    <row r="209" customFormat="false" ht="17.15" hidden="false" customHeight="false" outlineLevel="0" collapsed="false">
      <c r="A209" s="0" t="s">
        <v>630</v>
      </c>
      <c r="B209" s="0" t="s">
        <v>631</v>
      </c>
      <c r="C209" s="0" t="s">
        <v>111</v>
      </c>
      <c r="D209" s="0" t="s">
        <v>112</v>
      </c>
      <c r="E209" s="0" t="s">
        <v>141</v>
      </c>
      <c r="F209" s="0" t="s">
        <v>188</v>
      </c>
      <c r="G209" s="5" t="s">
        <v>107</v>
      </c>
      <c r="H209" s="9" t="s">
        <v>545</v>
      </c>
      <c r="I209" s="9" t="s">
        <v>515</v>
      </c>
      <c r="J209" s="9" t="n">
        <v>201</v>
      </c>
      <c r="K209" s="9" t="n">
        <v>2028</v>
      </c>
      <c r="L209" s="9" t="n">
        <v>2</v>
      </c>
      <c r="N209" s="9" t="n">
        <v>1</v>
      </c>
      <c r="O209" s="9" t="n">
        <v>0</v>
      </c>
      <c r="S209" s="0" t="n">
        <v>4</v>
      </c>
    </row>
    <row r="210" customFormat="false" ht="17.15" hidden="false" customHeight="false" outlineLevel="0" collapsed="false">
      <c r="A210" s="0" t="s">
        <v>632</v>
      </c>
      <c r="B210" s="0" t="s">
        <v>633</v>
      </c>
      <c r="C210" s="0" t="s">
        <v>111</v>
      </c>
      <c r="D210" s="0" t="s">
        <v>112</v>
      </c>
      <c r="E210" s="0" t="s">
        <v>141</v>
      </c>
      <c r="F210" s="0" t="s">
        <v>78</v>
      </c>
      <c r="G210" s="0" t="s">
        <v>634</v>
      </c>
      <c r="H210" s="9" t="s">
        <v>531</v>
      </c>
      <c r="I210" s="9" t="s">
        <v>531</v>
      </c>
      <c r="J210" s="9" t="n">
        <v>800</v>
      </c>
      <c r="K210" s="9" t="n">
        <v>2028</v>
      </c>
      <c r="L210" s="9" t="n">
        <v>12</v>
      </c>
      <c r="N210" s="9" t="n">
        <v>1</v>
      </c>
      <c r="O210" s="9" t="n">
        <v>0</v>
      </c>
      <c r="S210" s="0" t="n">
        <v>4</v>
      </c>
    </row>
    <row r="211" customFormat="false" ht="17.15" hidden="false" customHeight="false" outlineLevel="0" collapsed="false">
      <c r="A211" s="0" t="s">
        <v>635</v>
      </c>
      <c r="B211" s="0" t="s">
        <v>636</v>
      </c>
      <c r="C211" s="0" t="s">
        <v>111</v>
      </c>
      <c r="D211" s="0" t="s">
        <v>112</v>
      </c>
      <c r="E211" s="0" t="s">
        <v>141</v>
      </c>
      <c r="F211" s="0" t="s">
        <v>78</v>
      </c>
      <c r="G211" s="5" t="s">
        <v>637</v>
      </c>
      <c r="H211" s="9" t="s">
        <v>531</v>
      </c>
      <c r="I211" s="9" t="s">
        <v>531</v>
      </c>
      <c r="J211" s="9" t="n">
        <v>1149</v>
      </c>
      <c r="K211" s="9" t="n">
        <v>2029</v>
      </c>
      <c r="L211" s="9" t="n">
        <v>12</v>
      </c>
      <c r="N211" s="9" t="n">
        <v>1</v>
      </c>
      <c r="O211" s="9" t="n">
        <v>0</v>
      </c>
      <c r="S211" s="0" t="n">
        <v>4</v>
      </c>
    </row>
    <row r="212" customFormat="false" ht="17.15" hidden="false" customHeight="false" outlineLevel="0" collapsed="false">
      <c r="A212" s="0" t="s">
        <v>638</v>
      </c>
      <c r="B212" s="0" t="s">
        <v>639</v>
      </c>
      <c r="C212" s="0" t="s">
        <v>111</v>
      </c>
      <c r="D212" s="0" t="s">
        <v>112</v>
      </c>
      <c r="E212" s="0" t="s">
        <v>141</v>
      </c>
      <c r="F212" s="0" t="s">
        <v>78</v>
      </c>
      <c r="G212" s="5" t="s">
        <v>640</v>
      </c>
      <c r="H212" s="9" t="s">
        <v>531</v>
      </c>
      <c r="I212" s="9" t="s">
        <v>531</v>
      </c>
      <c r="J212" s="9" t="n">
        <v>1149</v>
      </c>
      <c r="K212" s="9" t="n">
        <v>2030</v>
      </c>
      <c r="L212" s="9" t="n">
        <v>12</v>
      </c>
      <c r="N212" s="9" t="n">
        <v>1</v>
      </c>
      <c r="O212" s="9" t="n">
        <v>0</v>
      </c>
      <c r="S212" s="0" t="n">
        <v>4</v>
      </c>
    </row>
    <row r="213" customFormat="false" ht="17.15" hidden="false" customHeight="false" outlineLevel="0" collapsed="false">
      <c r="A213" s="0" t="s">
        <v>641</v>
      </c>
      <c r="B213" s="0" t="s">
        <v>642</v>
      </c>
      <c r="C213" s="5" t="s">
        <v>76</v>
      </c>
      <c r="D213" s="0" t="s">
        <v>112</v>
      </c>
      <c r="E213" s="0" t="s">
        <v>141</v>
      </c>
      <c r="F213" s="0" t="s">
        <v>78</v>
      </c>
      <c r="G213" s="0" t="s">
        <v>643</v>
      </c>
      <c r="H213" s="9" t="s">
        <v>644</v>
      </c>
      <c r="J213" s="9" t="n">
        <v>200</v>
      </c>
      <c r="K213" s="9" t="n">
        <v>2026</v>
      </c>
      <c r="L213" s="9" t="n">
        <v>12</v>
      </c>
      <c r="N213" s="9" t="n">
        <v>1</v>
      </c>
      <c r="O213" s="9" t="n">
        <v>0</v>
      </c>
      <c r="S213" s="0" t="n">
        <v>4</v>
      </c>
    </row>
    <row r="214" customFormat="false" ht="17.15" hidden="false" customHeight="false" outlineLevel="0" collapsed="false">
      <c r="A214" s="0" t="s">
        <v>645</v>
      </c>
      <c r="B214" s="0" t="s">
        <v>646</v>
      </c>
      <c r="C214" s="5" t="s">
        <v>76</v>
      </c>
      <c r="D214" s="0" t="s">
        <v>112</v>
      </c>
      <c r="E214" s="0" t="s">
        <v>141</v>
      </c>
      <c r="F214" s="0" t="s">
        <v>78</v>
      </c>
      <c r="G214" s="0" t="s">
        <v>647</v>
      </c>
      <c r="H214" s="9" t="s">
        <v>644</v>
      </c>
      <c r="J214" s="9" t="n">
        <v>1500</v>
      </c>
      <c r="K214" s="9" t="n">
        <v>2027</v>
      </c>
      <c r="L214" s="9" t="n">
        <v>12</v>
      </c>
      <c r="N214" s="9" t="n">
        <v>1</v>
      </c>
      <c r="O214" s="9" t="n">
        <v>0</v>
      </c>
      <c r="S214" s="0" t="n">
        <v>4</v>
      </c>
    </row>
    <row r="215" customFormat="false" ht="17.15" hidden="false" customHeight="false" outlineLevel="0" collapsed="false">
      <c r="A215" s="17" t="s">
        <v>648</v>
      </c>
      <c r="B215" s="17" t="s">
        <v>649</v>
      </c>
      <c r="C215" s="18" t="s">
        <v>76</v>
      </c>
      <c r="D215" s="17" t="s">
        <v>112</v>
      </c>
      <c r="E215" s="17" t="s">
        <v>141</v>
      </c>
      <c r="F215" s="17" t="s">
        <v>188</v>
      </c>
      <c r="G215" s="17" t="s">
        <v>650</v>
      </c>
      <c r="H215" s="9" t="s">
        <v>651</v>
      </c>
      <c r="J215" s="9" t="n">
        <v>310</v>
      </c>
      <c r="K215" s="9" t="n">
        <v>2027</v>
      </c>
      <c r="L215" s="9" t="n">
        <v>12</v>
      </c>
      <c r="N215" s="9" t="n">
        <v>0</v>
      </c>
      <c r="O215" s="9" t="n">
        <v>0</v>
      </c>
      <c r="S215" s="0" t="n">
        <v>4</v>
      </c>
    </row>
    <row r="216" customFormat="false" ht="17.15" hidden="false" customHeight="false" outlineLevel="0" collapsed="false">
      <c r="A216" s="17" t="s">
        <v>652</v>
      </c>
      <c r="B216" s="17" t="s">
        <v>653</v>
      </c>
      <c r="C216" s="18" t="s">
        <v>76</v>
      </c>
      <c r="D216" s="17" t="s">
        <v>112</v>
      </c>
      <c r="E216" s="17" t="s">
        <v>141</v>
      </c>
      <c r="F216" s="17" t="s">
        <v>188</v>
      </c>
      <c r="G216" s="17" t="s">
        <v>654</v>
      </c>
      <c r="H216" s="9" t="s">
        <v>651</v>
      </c>
      <c r="J216" s="9" t="n">
        <v>200</v>
      </c>
      <c r="K216" s="9" t="n">
        <v>2027</v>
      </c>
      <c r="L216" s="9" t="n">
        <v>12</v>
      </c>
      <c r="N216" s="9" t="n">
        <v>0</v>
      </c>
      <c r="O216" s="9" t="n">
        <v>0</v>
      </c>
      <c r="S216" s="0" t="n">
        <v>4</v>
      </c>
    </row>
    <row r="217" customFormat="false" ht="17.15" hidden="false" customHeight="false" outlineLevel="0" collapsed="false">
      <c r="A217" s="17" t="s">
        <v>655</v>
      </c>
      <c r="B217" s="17" t="s">
        <v>656</v>
      </c>
      <c r="C217" s="18" t="s">
        <v>76</v>
      </c>
      <c r="D217" s="17" t="s">
        <v>112</v>
      </c>
      <c r="E217" s="17" t="s">
        <v>141</v>
      </c>
      <c r="F217" s="17" t="s">
        <v>188</v>
      </c>
      <c r="G217" s="17" t="s">
        <v>657</v>
      </c>
      <c r="H217" s="9" t="s">
        <v>651</v>
      </c>
      <c r="J217" s="9" t="n">
        <v>1200</v>
      </c>
      <c r="K217" s="9" t="n">
        <v>2027</v>
      </c>
      <c r="L217" s="9" t="n">
        <v>12</v>
      </c>
      <c r="N217" s="9" t="n">
        <v>0</v>
      </c>
      <c r="O217" s="9" t="n">
        <v>0</v>
      </c>
      <c r="S217" s="0" t="n">
        <v>4</v>
      </c>
    </row>
    <row r="218" customFormat="false" ht="17.15" hidden="false" customHeight="false" outlineLevel="0" collapsed="false">
      <c r="A218" s="17" t="s">
        <v>658</v>
      </c>
      <c r="B218" s="17" t="s">
        <v>659</v>
      </c>
      <c r="C218" s="18" t="s">
        <v>76</v>
      </c>
      <c r="D218" s="17" t="s">
        <v>112</v>
      </c>
      <c r="E218" s="17" t="s">
        <v>141</v>
      </c>
      <c r="F218" s="17" t="s">
        <v>188</v>
      </c>
      <c r="G218" s="17" t="s">
        <v>660</v>
      </c>
      <c r="H218" s="9" t="s">
        <v>620</v>
      </c>
      <c r="J218" s="9" t="n">
        <v>100</v>
      </c>
      <c r="K218" s="9" t="n">
        <v>2027</v>
      </c>
      <c r="L218" s="9" t="n">
        <v>12</v>
      </c>
      <c r="N218" s="9" t="n">
        <v>0</v>
      </c>
      <c r="O218" s="9" t="n">
        <v>0</v>
      </c>
      <c r="S218" s="0" t="n">
        <v>4</v>
      </c>
    </row>
    <row r="219" customFormat="false" ht="17.15" hidden="false" customHeight="false" outlineLevel="0" collapsed="false">
      <c r="A219" s="17" t="s">
        <v>661</v>
      </c>
      <c r="B219" s="17" t="s">
        <v>662</v>
      </c>
      <c r="C219" s="17" t="s">
        <v>111</v>
      </c>
      <c r="D219" s="17" t="s">
        <v>112</v>
      </c>
      <c r="E219" s="17" t="s">
        <v>141</v>
      </c>
      <c r="F219" s="17" t="s">
        <v>188</v>
      </c>
      <c r="G219" s="17" t="s">
        <v>663</v>
      </c>
      <c r="H219" s="9" t="s">
        <v>519</v>
      </c>
      <c r="J219" s="9" t="n">
        <v>216</v>
      </c>
      <c r="K219" s="9" t="n">
        <v>2026</v>
      </c>
      <c r="L219" s="9" t="n">
        <v>10</v>
      </c>
      <c r="N219" s="9" t="n">
        <v>0</v>
      </c>
      <c r="O219" s="9" t="n">
        <v>0</v>
      </c>
      <c r="S219" s="0" t="n">
        <v>4</v>
      </c>
    </row>
    <row r="220" customFormat="false" ht="17.15" hidden="false" customHeight="false" outlineLevel="0" collapsed="false">
      <c r="A220" s="17" t="s">
        <v>664</v>
      </c>
      <c r="B220" s="17" t="s">
        <v>665</v>
      </c>
      <c r="C220" s="18" t="s">
        <v>76</v>
      </c>
      <c r="D220" s="17" t="s">
        <v>112</v>
      </c>
      <c r="E220" s="17" t="s">
        <v>141</v>
      </c>
      <c r="F220" s="17" t="s">
        <v>188</v>
      </c>
      <c r="G220" s="17" t="s">
        <v>666</v>
      </c>
      <c r="H220" s="9" t="s">
        <v>511</v>
      </c>
      <c r="J220" s="9" t="n">
        <v>500</v>
      </c>
      <c r="K220" s="9" t="n">
        <v>2027</v>
      </c>
      <c r="L220" s="9" t="n">
        <v>12</v>
      </c>
      <c r="N220" s="9" t="n">
        <v>0</v>
      </c>
      <c r="O220" s="9" t="n">
        <v>0</v>
      </c>
      <c r="S220" s="0" t="n">
        <v>4</v>
      </c>
    </row>
    <row r="221" customFormat="false" ht="17.15" hidden="false" customHeight="false" outlineLevel="0" collapsed="false">
      <c r="A221" s="0" t="s">
        <v>667</v>
      </c>
      <c r="B221" s="0" t="s">
        <v>668</v>
      </c>
      <c r="C221" s="0" t="s">
        <v>111</v>
      </c>
      <c r="D221" s="0" t="s">
        <v>112</v>
      </c>
      <c r="E221" s="0" t="s">
        <v>141</v>
      </c>
      <c r="F221" s="0" t="s">
        <v>78</v>
      </c>
      <c r="G221" s="0" t="s">
        <v>669</v>
      </c>
      <c r="H221" s="9" t="s">
        <v>531</v>
      </c>
      <c r="I221" s="9" t="s">
        <v>531</v>
      </c>
      <c r="J221" s="9" t="n">
        <v>308</v>
      </c>
      <c r="K221" s="9" t="n">
        <v>2027</v>
      </c>
      <c r="L221" s="9" t="n">
        <v>6</v>
      </c>
      <c r="N221" s="9" t="n">
        <v>1</v>
      </c>
      <c r="O221" s="9" t="n">
        <v>0</v>
      </c>
      <c r="S221" s="0" t="n">
        <v>4</v>
      </c>
    </row>
    <row r="222" customFormat="false" ht="17.15" hidden="false" customHeight="false" outlineLevel="0" collapsed="false">
      <c r="A222" s="17" t="s">
        <v>670</v>
      </c>
      <c r="B222" s="17" t="s">
        <v>671</v>
      </c>
      <c r="C222" s="17" t="s">
        <v>111</v>
      </c>
      <c r="D222" s="17" t="s">
        <v>112</v>
      </c>
      <c r="E222" s="17" t="s">
        <v>141</v>
      </c>
      <c r="F222" s="17" t="s">
        <v>78</v>
      </c>
      <c r="G222" s="17" t="s">
        <v>672</v>
      </c>
      <c r="H222" s="9" t="s">
        <v>531</v>
      </c>
      <c r="I222" s="9" t="s">
        <v>531</v>
      </c>
      <c r="J222" s="9" t="n">
        <v>214</v>
      </c>
      <c r="K222" s="9" t="n">
        <v>2027</v>
      </c>
      <c r="L222" s="9" t="n">
        <v>3</v>
      </c>
      <c r="N222" s="9" t="n">
        <v>0</v>
      </c>
      <c r="O222" s="9" t="n">
        <v>0</v>
      </c>
      <c r="S222" s="0" t="n">
        <v>4</v>
      </c>
    </row>
    <row r="223" customFormat="false" ht="17.15" hidden="false" customHeight="false" outlineLevel="0" collapsed="false">
      <c r="A223" s="17" t="s">
        <v>673</v>
      </c>
      <c r="B223" s="17" t="s">
        <v>674</v>
      </c>
      <c r="C223" s="17" t="s">
        <v>111</v>
      </c>
      <c r="D223" s="17" t="s">
        <v>112</v>
      </c>
      <c r="E223" s="17" t="s">
        <v>141</v>
      </c>
      <c r="F223" s="17" t="s">
        <v>78</v>
      </c>
      <c r="G223" s="17" t="s">
        <v>675</v>
      </c>
      <c r="H223" s="9" t="s">
        <v>545</v>
      </c>
      <c r="I223" s="9" t="s">
        <v>531</v>
      </c>
      <c r="J223" s="9" t="n">
        <v>750</v>
      </c>
      <c r="K223" s="9" t="n">
        <v>2028</v>
      </c>
      <c r="L223" s="9" t="n">
        <v>12</v>
      </c>
      <c r="N223" s="9" t="n">
        <v>0</v>
      </c>
      <c r="O223" s="9" t="n">
        <v>0</v>
      </c>
      <c r="S223" s="0" t="n">
        <v>4</v>
      </c>
    </row>
    <row r="224" customFormat="false" ht="17.15" hidden="false" customHeight="false" outlineLevel="0" collapsed="false">
      <c r="A224" s="0" t="s">
        <v>676</v>
      </c>
      <c r="B224" s="0" t="s">
        <v>677</v>
      </c>
      <c r="C224" s="5" t="s">
        <v>76</v>
      </c>
      <c r="D224" s="0" t="s">
        <v>112</v>
      </c>
      <c r="E224" s="0" t="s">
        <v>141</v>
      </c>
      <c r="F224" s="0" t="s">
        <v>78</v>
      </c>
      <c r="G224" s="0" t="s">
        <v>678</v>
      </c>
      <c r="H224" s="9" t="s">
        <v>644</v>
      </c>
      <c r="I224" s="9" t="s">
        <v>531</v>
      </c>
      <c r="J224" s="9" t="n">
        <v>200</v>
      </c>
      <c r="K224" s="9" t="n">
        <v>2026</v>
      </c>
      <c r="L224" s="9" t="n">
        <v>12</v>
      </c>
      <c r="N224" s="9" t="n">
        <v>1</v>
      </c>
      <c r="O224" s="9" t="n">
        <v>0</v>
      </c>
      <c r="S224" s="0" t="n">
        <v>4</v>
      </c>
    </row>
    <row r="225" customFormat="false" ht="17.15" hidden="false" customHeight="false" outlineLevel="0" collapsed="false">
      <c r="A225" s="0" t="s">
        <v>679</v>
      </c>
      <c r="B225" s="0" t="s">
        <v>680</v>
      </c>
      <c r="C225" s="5" t="s">
        <v>76</v>
      </c>
      <c r="D225" s="0" t="s">
        <v>112</v>
      </c>
      <c r="E225" s="0" t="s">
        <v>141</v>
      </c>
      <c r="F225" s="0" t="s">
        <v>78</v>
      </c>
      <c r="G225" s="0" t="s">
        <v>681</v>
      </c>
      <c r="H225" s="9" t="s">
        <v>644</v>
      </c>
      <c r="J225" s="9" t="n">
        <v>96</v>
      </c>
      <c r="K225" s="9" t="n">
        <v>2028</v>
      </c>
      <c r="L225" s="9" t="n">
        <v>3</v>
      </c>
      <c r="N225" s="9" t="n">
        <v>1</v>
      </c>
      <c r="O225" s="9" t="n">
        <v>0</v>
      </c>
      <c r="S225" s="0" t="n">
        <v>4</v>
      </c>
    </row>
    <row r="226" customFormat="false" ht="17.15" hidden="false" customHeight="false" outlineLevel="0" collapsed="false">
      <c r="A226" s="17" t="s">
        <v>682</v>
      </c>
      <c r="B226" s="17" t="s">
        <v>683</v>
      </c>
      <c r="C226" s="18" t="s">
        <v>76</v>
      </c>
      <c r="D226" s="17" t="s">
        <v>112</v>
      </c>
      <c r="E226" s="17" t="s">
        <v>141</v>
      </c>
      <c r="F226" s="17" t="s">
        <v>78</v>
      </c>
      <c r="G226" s="17" t="s">
        <v>684</v>
      </c>
      <c r="H226" s="9" t="s">
        <v>545</v>
      </c>
      <c r="I226" s="9" t="s">
        <v>515</v>
      </c>
      <c r="J226" s="9" t="n">
        <v>500</v>
      </c>
      <c r="K226" s="9" t="n">
        <v>2026</v>
      </c>
      <c r="L226" s="9" t="n">
        <v>12</v>
      </c>
      <c r="N226" s="9" t="n">
        <v>0</v>
      </c>
      <c r="O226" s="9" t="n">
        <v>0</v>
      </c>
      <c r="S226" s="0" t="n">
        <v>4</v>
      </c>
    </row>
    <row r="227" customFormat="false" ht="17.15" hidden="false" customHeight="false" outlineLevel="0" collapsed="false">
      <c r="A227" s="17" t="s">
        <v>685</v>
      </c>
      <c r="B227" s="17" t="s">
        <v>686</v>
      </c>
      <c r="C227" s="18" t="s">
        <v>76</v>
      </c>
      <c r="D227" s="17" t="s">
        <v>112</v>
      </c>
      <c r="E227" s="17" t="s">
        <v>141</v>
      </c>
      <c r="F227" s="17" t="s">
        <v>78</v>
      </c>
      <c r="G227" s="17" t="s">
        <v>687</v>
      </c>
      <c r="H227" s="9" t="s">
        <v>545</v>
      </c>
      <c r="I227" s="9" t="s">
        <v>515</v>
      </c>
      <c r="J227" s="9" t="n">
        <v>245</v>
      </c>
      <c r="K227" s="9" t="n">
        <v>2027</v>
      </c>
      <c r="L227" s="9" t="n">
        <v>6</v>
      </c>
      <c r="N227" s="9" t="n">
        <v>0</v>
      </c>
      <c r="O227" s="9" t="n">
        <v>0</v>
      </c>
      <c r="S227" s="0" t="n">
        <v>4</v>
      </c>
    </row>
    <row r="228" customFormat="false" ht="17.15" hidden="false" customHeight="false" outlineLevel="0" collapsed="false">
      <c r="A228" s="0" t="s">
        <v>688</v>
      </c>
      <c r="B228" s="0" t="s">
        <v>689</v>
      </c>
      <c r="C228" s="0" t="s">
        <v>111</v>
      </c>
      <c r="D228" s="0" t="s">
        <v>112</v>
      </c>
      <c r="E228" s="0" t="s">
        <v>42</v>
      </c>
      <c r="F228" s="0" t="s">
        <v>78</v>
      </c>
      <c r="G228" s="0" t="s">
        <v>690</v>
      </c>
      <c r="H228" s="9" t="s">
        <v>535</v>
      </c>
      <c r="J228" s="9" t="n">
        <v>585</v>
      </c>
      <c r="K228" s="9" t="n">
        <v>2027</v>
      </c>
      <c r="L228" s="9" t="n">
        <v>3</v>
      </c>
      <c r="N228" s="9" t="n">
        <v>1</v>
      </c>
      <c r="O228" s="9" t="n">
        <v>0</v>
      </c>
      <c r="S228" s="0" t="n">
        <v>4</v>
      </c>
    </row>
    <row r="229" customFormat="false" ht="17.15" hidden="false" customHeight="false" outlineLevel="0" collapsed="false">
      <c r="A229" s="0" t="s">
        <v>691</v>
      </c>
      <c r="B229" s="0" t="s">
        <v>692</v>
      </c>
      <c r="C229" s="0" t="s">
        <v>111</v>
      </c>
      <c r="D229" s="0" t="s">
        <v>112</v>
      </c>
      <c r="E229" s="0" t="s">
        <v>42</v>
      </c>
      <c r="F229" s="0" t="s">
        <v>693</v>
      </c>
      <c r="G229" s="0" t="s">
        <v>694</v>
      </c>
      <c r="H229" s="9" t="s">
        <v>506</v>
      </c>
      <c r="J229" s="9" t="n">
        <v>315</v>
      </c>
      <c r="K229" s="9" t="n">
        <v>2026</v>
      </c>
      <c r="L229" s="9" t="n">
        <v>6</v>
      </c>
      <c r="N229" s="9" t="n">
        <v>1</v>
      </c>
      <c r="O229" s="9" t="n">
        <v>0</v>
      </c>
      <c r="S229" s="0" t="n">
        <v>4</v>
      </c>
    </row>
    <row r="230" customFormat="false" ht="17.15" hidden="false" customHeight="false" outlineLevel="0" collapsed="false">
      <c r="A230" s="0" t="s">
        <v>695</v>
      </c>
      <c r="B230" s="0" t="s">
        <v>696</v>
      </c>
      <c r="C230" s="0" t="s">
        <v>111</v>
      </c>
      <c r="D230" s="0" t="s">
        <v>112</v>
      </c>
      <c r="E230" s="0" t="s">
        <v>42</v>
      </c>
      <c r="F230" s="0" t="s">
        <v>693</v>
      </c>
      <c r="G230" s="0" t="s">
        <v>697</v>
      </c>
      <c r="H230" s="9" t="s">
        <v>506</v>
      </c>
      <c r="J230" s="9" t="n">
        <v>368</v>
      </c>
      <c r="K230" s="9" t="n">
        <v>2027</v>
      </c>
      <c r="L230" s="9" t="n">
        <v>2</v>
      </c>
      <c r="N230" s="9" t="n">
        <v>1</v>
      </c>
      <c r="O230" s="9" t="n">
        <v>0</v>
      </c>
      <c r="S230" s="0" t="n">
        <v>4</v>
      </c>
    </row>
    <row r="231" customFormat="false" ht="17.15" hidden="false" customHeight="false" outlineLevel="0" collapsed="false">
      <c r="A231" s="0" t="s">
        <v>698</v>
      </c>
      <c r="B231" s="0" t="s">
        <v>699</v>
      </c>
      <c r="C231" s="0" t="s">
        <v>111</v>
      </c>
      <c r="D231" s="0" t="s">
        <v>112</v>
      </c>
      <c r="E231" s="0" t="s">
        <v>141</v>
      </c>
      <c r="F231" s="0" t="s">
        <v>693</v>
      </c>
      <c r="G231" s="0" t="s">
        <v>700</v>
      </c>
      <c r="H231" s="9" t="s">
        <v>506</v>
      </c>
      <c r="I231" s="9" t="s">
        <v>507</v>
      </c>
      <c r="J231" s="9" t="n">
        <v>336</v>
      </c>
      <c r="K231" s="9" t="n">
        <v>2027</v>
      </c>
      <c r="L231" s="9" t="n">
        <v>12</v>
      </c>
      <c r="N231" s="9" t="n">
        <v>1</v>
      </c>
      <c r="O231" s="9" t="n">
        <v>0</v>
      </c>
      <c r="S231" s="0" t="n">
        <v>4</v>
      </c>
    </row>
    <row r="232" customFormat="false" ht="17.15" hidden="false" customHeight="false" outlineLevel="0" collapsed="false">
      <c r="A232" s="0" t="s">
        <v>701</v>
      </c>
      <c r="B232" s="0" t="s">
        <v>702</v>
      </c>
      <c r="C232" s="0" t="s">
        <v>111</v>
      </c>
      <c r="D232" s="0" t="s">
        <v>112</v>
      </c>
      <c r="E232" s="0" t="s">
        <v>141</v>
      </c>
      <c r="F232" s="0" t="s">
        <v>693</v>
      </c>
      <c r="G232" s="0" t="s">
        <v>703</v>
      </c>
      <c r="H232" s="9" t="s">
        <v>531</v>
      </c>
      <c r="I232" s="9" t="s">
        <v>531</v>
      </c>
      <c r="J232" s="9" t="n">
        <v>1150</v>
      </c>
      <c r="K232" s="9" t="n">
        <v>2031</v>
      </c>
      <c r="L232" s="9" t="n">
        <v>12</v>
      </c>
      <c r="N232" s="9" t="n">
        <v>1</v>
      </c>
      <c r="O232" s="9" t="n">
        <v>0</v>
      </c>
      <c r="S232" s="0" t="n">
        <v>4</v>
      </c>
    </row>
    <row r="233" customFormat="false" ht="17.15" hidden="false" customHeight="false" outlineLevel="0" collapsed="false">
      <c r="A233" s="0" t="s">
        <v>704</v>
      </c>
      <c r="B233" s="0" t="s">
        <v>705</v>
      </c>
      <c r="C233" s="0" t="s">
        <v>111</v>
      </c>
      <c r="D233" s="0" t="s">
        <v>112</v>
      </c>
      <c r="E233" s="0" t="s">
        <v>141</v>
      </c>
      <c r="F233" s="0" t="s">
        <v>693</v>
      </c>
      <c r="G233" s="0" t="s">
        <v>706</v>
      </c>
      <c r="H233" s="9" t="s">
        <v>531</v>
      </c>
      <c r="I233" s="9" t="s">
        <v>531</v>
      </c>
      <c r="J233" s="9" t="n">
        <v>445</v>
      </c>
      <c r="K233" s="9" t="n">
        <v>2028</v>
      </c>
      <c r="L233" s="9" t="n">
        <v>12</v>
      </c>
      <c r="N233" s="9" t="n">
        <v>1</v>
      </c>
      <c r="O233" s="9" t="n">
        <v>0</v>
      </c>
      <c r="S233" s="0" t="n">
        <v>4</v>
      </c>
    </row>
    <row r="234" customFormat="false" ht="17.15" hidden="false" customHeight="false" outlineLevel="0" collapsed="false">
      <c r="A234" s="0" t="s">
        <v>707</v>
      </c>
      <c r="B234" s="0" t="s">
        <v>708</v>
      </c>
      <c r="C234" s="5" t="s">
        <v>76</v>
      </c>
      <c r="D234" s="0" t="s">
        <v>112</v>
      </c>
      <c r="E234" s="0" t="s">
        <v>141</v>
      </c>
      <c r="F234" s="0" t="s">
        <v>78</v>
      </c>
      <c r="G234" s="0" t="s">
        <v>709</v>
      </c>
      <c r="H234" s="9" t="s">
        <v>644</v>
      </c>
      <c r="J234" s="9" t="n">
        <v>200</v>
      </c>
      <c r="K234" s="9" t="n">
        <v>2030</v>
      </c>
      <c r="L234" s="9" t="n">
        <v>12</v>
      </c>
      <c r="N234" s="9" t="n">
        <v>1</v>
      </c>
      <c r="O234" s="9" t="n">
        <v>0</v>
      </c>
      <c r="S234" s="0" t="n">
        <v>4</v>
      </c>
    </row>
    <row r="235" customFormat="false" ht="17.15" hidden="false" customHeight="false" outlineLevel="0" collapsed="false">
      <c r="A235" s="0" t="s">
        <v>710</v>
      </c>
      <c r="B235" s="0" t="s">
        <v>711</v>
      </c>
      <c r="C235" s="0" t="s">
        <v>111</v>
      </c>
      <c r="D235" s="0" t="s">
        <v>112</v>
      </c>
      <c r="E235" s="0" t="s">
        <v>42</v>
      </c>
      <c r="F235" s="0" t="s">
        <v>693</v>
      </c>
      <c r="G235" s="0" t="s">
        <v>712</v>
      </c>
      <c r="H235" s="9" t="s">
        <v>519</v>
      </c>
      <c r="J235" s="9" t="n">
        <v>556</v>
      </c>
      <c r="K235" s="9" t="n">
        <v>2028</v>
      </c>
      <c r="L235" s="9" t="n">
        <v>9</v>
      </c>
      <c r="N235" s="9" t="n">
        <v>1</v>
      </c>
      <c r="O235" s="9" t="n">
        <v>0</v>
      </c>
      <c r="S235" s="0" t="n">
        <v>4</v>
      </c>
    </row>
    <row r="236" customFormat="false" ht="17.15" hidden="false" customHeight="false" outlineLevel="0" collapsed="false">
      <c r="A236" s="0" t="s">
        <v>713</v>
      </c>
      <c r="B236" s="0" t="s">
        <v>714</v>
      </c>
      <c r="C236" s="5" t="s">
        <v>76</v>
      </c>
      <c r="D236" s="0" t="s">
        <v>112</v>
      </c>
      <c r="E236" s="0" t="s">
        <v>141</v>
      </c>
      <c r="F236" s="0" t="s">
        <v>693</v>
      </c>
      <c r="G236" s="0" t="s">
        <v>715</v>
      </c>
      <c r="H236" s="9" t="s">
        <v>519</v>
      </c>
      <c r="J236" s="9" t="n">
        <v>41</v>
      </c>
      <c r="K236" s="9" t="n">
        <v>2027</v>
      </c>
      <c r="L236" s="9" t="n">
        <v>11</v>
      </c>
      <c r="N236" s="9" t="n">
        <v>1</v>
      </c>
      <c r="O236" s="9" t="n">
        <v>0</v>
      </c>
      <c r="S236" s="0" t="n">
        <v>4</v>
      </c>
    </row>
    <row r="237" customFormat="false" ht="17.15" hidden="false" customHeight="false" outlineLevel="0" collapsed="false">
      <c r="A237" s="0" t="s">
        <v>716</v>
      </c>
      <c r="B237" s="0" t="s">
        <v>717</v>
      </c>
      <c r="C237" s="5" t="s">
        <v>76</v>
      </c>
      <c r="D237" s="0" t="s">
        <v>112</v>
      </c>
      <c r="E237" s="0" t="s">
        <v>37</v>
      </c>
      <c r="F237" s="0" t="s">
        <v>693</v>
      </c>
      <c r="G237" s="0" t="s">
        <v>718</v>
      </c>
      <c r="H237" s="9" t="s">
        <v>519</v>
      </c>
      <c r="J237" s="9" t="n">
        <v>62</v>
      </c>
      <c r="K237" s="9" t="n">
        <v>2029</v>
      </c>
      <c r="L237" s="9" t="n">
        <v>2</v>
      </c>
      <c r="N237" s="9" t="n">
        <v>1</v>
      </c>
      <c r="O237" s="9" t="n">
        <v>0</v>
      </c>
      <c r="S237" s="0" t="n">
        <v>4</v>
      </c>
    </row>
    <row r="238" customFormat="false" ht="17.15" hidden="false" customHeight="false" outlineLevel="0" collapsed="false">
      <c r="A238" s="0" t="s">
        <v>719</v>
      </c>
      <c r="B238" s="0" t="s">
        <v>720</v>
      </c>
      <c r="C238" s="0" t="s">
        <v>111</v>
      </c>
      <c r="D238" s="0" t="s">
        <v>112</v>
      </c>
      <c r="E238" s="0" t="s">
        <v>141</v>
      </c>
      <c r="F238" s="0" t="s">
        <v>693</v>
      </c>
      <c r="G238" s="0" t="s">
        <v>721</v>
      </c>
      <c r="H238" s="9" t="s">
        <v>545</v>
      </c>
      <c r="J238" s="9" t="n">
        <v>207</v>
      </c>
      <c r="K238" s="9" t="n">
        <v>2027</v>
      </c>
      <c r="L238" s="9" t="n">
        <v>3</v>
      </c>
      <c r="N238" s="9" t="n">
        <v>1</v>
      </c>
      <c r="O238" s="9" t="n">
        <v>0</v>
      </c>
      <c r="S238" s="0" t="n">
        <v>4</v>
      </c>
    </row>
    <row r="239" customFormat="false" ht="17.15" hidden="false" customHeight="false" outlineLevel="0" collapsed="false">
      <c r="A239" s="0" t="s">
        <v>722</v>
      </c>
      <c r="B239" s="0" t="s">
        <v>723</v>
      </c>
      <c r="C239" s="0" t="s">
        <v>111</v>
      </c>
      <c r="D239" s="0" t="s">
        <v>112</v>
      </c>
      <c r="E239" s="0" t="s">
        <v>141</v>
      </c>
      <c r="F239" s="0" t="s">
        <v>693</v>
      </c>
      <c r="G239" s="0" t="s">
        <v>724</v>
      </c>
      <c r="H239" s="9" t="s">
        <v>545</v>
      </c>
      <c r="J239" s="9" t="n">
        <v>200</v>
      </c>
      <c r="K239" s="9" t="n">
        <v>2027</v>
      </c>
      <c r="L239" s="9" t="n">
        <v>12</v>
      </c>
      <c r="N239" s="9" t="n">
        <v>1</v>
      </c>
      <c r="O239" s="9" t="n">
        <v>0</v>
      </c>
      <c r="S239" s="0" t="n">
        <v>4</v>
      </c>
    </row>
    <row r="240" customFormat="false" ht="17.15" hidden="false" customHeight="false" outlineLevel="0" collapsed="false">
      <c r="A240" s="0" t="s">
        <v>725</v>
      </c>
      <c r="B240" s="0" t="s">
        <v>726</v>
      </c>
      <c r="C240" s="5" t="s">
        <v>76</v>
      </c>
      <c r="D240" s="0" t="s">
        <v>112</v>
      </c>
      <c r="E240" s="0" t="s">
        <v>141</v>
      </c>
      <c r="F240" s="0" t="s">
        <v>693</v>
      </c>
      <c r="G240" s="0" t="s">
        <v>727</v>
      </c>
      <c r="H240" s="9" t="s">
        <v>545</v>
      </c>
      <c r="J240" s="9" t="n">
        <v>1350</v>
      </c>
      <c r="K240" s="9" t="n">
        <v>2028</v>
      </c>
      <c r="L240" s="9" t="n">
        <v>3</v>
      </c>
      <c r="N240" s="9" t="n">
        <v>1</v>
      </c>
      <c r="O240" s="9" t="n">
        <v>0</v>
      </c>
      <c r="S240" s="0" t="n">
        <v>4</v>
      </c>
    </row>
    <row r="241" customFormat="false" ht="17.15" hidden="false" customHeight="false" outlineLevel="0" collapsed="false">
      <c r="A241" s="0" t="s">
        <v>728</v>
      </c>
      <c r="B241" s="0" t="s">
        <v>729</v>
      </c>
      <c r="C241" s="0" t="s">
        <v>111</v>
      </c>
      <c r="D241" s="0" t="s">
        <v>112</v>
      </c>
      <c r="E241" s="0" t="s">
        <v>141</v>
      </c>
      <c r="F241" s="0" t="s">
        <v>693</v>
      </c>
      <c r="G241" s="0" t="s">
        <v>730</v>
      </c>
      <c r="H241" s="9" t="s">
        <v>545</v>
      </c>
      <c r="J241" s="9" t="n">
        <v>352</v>
      </c>
      <c r="K241" s="9" t="n">
        <v>2028</v>
      </c>
      <c r="L241" s="9" t="n">
        <v>3</v>
      </c>
      <c r="N241" s="9" t="n">
        <v>1</v>
      </c>
      <c r="O241" s="9" t="n">
        <v>0</v>
      </c>
      <c r="S241" s="0" t="n">
        <v>4</v>
      </c>
    </row>
    <row r="242" customFormat="false" ht="17.15" hidden="false" customHeight="false" outlineLevel="0" collapsed="false">
      <c r="A242" s="17" t="s">
        <v>731</v>
      </c>
      <c r="B242" s="17" t="s">
        <v>732</v>
      </c>
      <c r="C242" s="18" t="s">
        <v>76</v>
      </c>
      <c r="D242" s="17" t="s">
        <v>112</v>
      </c>
      <c r="E242" s="17" t="s">
        <v>53</v>
      </c>
      <c r="F242" s="17" t="s">
        <v>693</v>
      </c>
      <c r="G242" s="17" t="s">
        <v>733</v>
      </c>
      <c r="H242" s="9" t="s">
        <v>526</v>
      </c>
      <c r="I242" s="9" t="s">
        <v>526</v>
      </c>
      <c r="J242" s="9" t="n">
        <v>3000</v>
      </c>
      <c r="K242" s="9" t="n">
        <v>2032</v>
      </c>
      <c r="L242" s="9" t="n">
        <v>12</v>
      </c>
      <c r="N242" s="9" t="n">
        <v>0</v>
      </c>
      <c r="O242" s="9" t="n">
        <v>0</v>
      </c>
      <c r="S242" s="0" t="n">
        <v>4</v>
      </c>
    </row>
    <row r="243" customFormat="false" ht="17.15" hidden="false" customHeight="false" outlineLevel="0" collapsed="false">
      <c r="A243" s="17" t="s">
        <v>734</v>
      </c>
      <c r="B243" s="17" t="s">
        <v>735</v>
      </c>
      <c r="C243" s="18" t="s">
        <v>167</v>
      </c>
      <c r="D243" s="17" t="s">
        <v>112</v>
      </c>
      <c r="E243" s="17" t="s">
        <v>141</v>
      </c>
      <c r="F243" s="17" t="s">
        <v>693</v>
      </c>
      <c r="G243" s="17" t="s">
        <v>736</v>
      </c>
      <c r="H243" s="9" t="s">
        <v>737</v>
      </c>
      <c r="J243" s="9" t="n">
        <v>50</v>
      </c>
      <c r="K243" s="9" t="n">
        <v>2027</v>
      </c>
      <c r="L243" s="9" t="n">
        <v>3</v>
      </c>
      <c r="N243" s="9" t="n">
        <v>0</v>
      </c>
      <c r="O243" s="9" t="n">
        <v>0</v>
      </c>
      <c r="S243" s="0" t="n">
        <v>4</v>
      </c>
    </row>
    <row r="244" customFormat="false" ht="17.15" hidden="false" customHeight="false" outlineLevel="0" collapsed="false">
      <c r="A244" s="17" t="s">
        <v>738</v>
      </c>
      <c r="B244" s="17" t="s">
        <v>739</v>
      </c>
      <c r="C244" s="18" t="s">
        <v>76</v>
      </c>
      <c r="D244" s="17" t="s">
        <v>112</v>
      </c>
      <c r="E244" s="17" t="s">
        <v>53</v>
      </c>
      <c r="F244" s="17" t="s">
        <v>693</v>
      </c>
      <c r="G244" s="17" t="s">
        <v>740</v>
      </c>
      <c r="H244" s="9" t="s">
        <v>651</v>
      </c>
      <c r="J244" s="9" t="n">
        <v>50</v>
      </c>
      <c r="K244" s="9" t="n">
        <v>2028</v>
      </c>
      <c r="L244" s="9" t="n">
        <v>12</v>
      </c>
      <c r="N244" s="9" t="n">
        <v>0</v>
      </c>
      <c r="O244" s="9" t="n">
        <v>0</v>
      </c>
      <c r="S244" s="0" t="n">
        <v>4</v>
      </c>
    </row>
    <row r="245" customFormat="false" ht="17.15" hidden="false" customHeight="false" outlineLevel="0" collapsed="false">
      <c r="A245" s="17" t="s">
        <v>741</v>
      </c>
      <c r="B245" s="17" t="s">
        <v>742</v>
      </c>
      <c r="C245" s="17" t="s">
        <v>111</v>
      </c>
      <c r="D245" s="17" t="s">
        <v>112</v>
      </c>
      <c r="E245" s="17" t="s">
        <v>42</v>
      </c>
      <c r="F245" s="17" t="s">
        <v>693</v>
      </c>
      <c r="G245" s="17" t="s">
        <v>743</v>
      </c>
      <c r="H245" s="9" t="s">
        <v>644</v>
      </c>
      <c r="J245" s="9" t="n">
        <v>30</v>
      </c>
      <c r="K245" s="9" t="n">
        <v>2026</v>
      </c>
      <c r="L245" s="9" t="n">
        <v>12</v>
      </c>
      <c r="N245" s="9" t="n">
        <v>0</v>
      </c>
      <c r="O245" s="9" t="n">
        <v>0</v>
      </c>
      <c r="S245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17.15" hidden="false" customHeight="false" outlineLevel="0" collapsed="false">
      <c r="A1" s="0" t="s">
        <v>744</v>
      </c>
    </row>
    <row r="2" customFormat="false" ht="17.15" hidden="false" customHeight="false" outlineLevel="0" collapsed="false">
      <c r="A2" s="5" t="s">
        <v>745</v>
      </c>
    </row>
    <row r="4" customFormat="false" ht="17.15" hidden="false" customHeight="false" outlineLevel="0" collapsed="false">
      <c r="A4" s="6" t="s">
        <v>746</v>
      </c>
      <c r="B4" s="6" t="s">
        <v>747</v>
      </c>
      <c r="C4" s="6" t="s">
        <v>748</v>
      </c>
      <c r="D4" s="6" t="s">
        <v>749</v>
      </c>
      <c r="E4" s="6" t="s">
        <v>750</v>
      </c>
      <c r="F4" s="6" t="s">
        <v>751</v>
      </c>
      <c r="G4" s="6" t="s">
        <v>17</v>
      </c>
      <c r="H4" s="7" t="s">
        <v>752</v>
      </c>
    </row>
    <row r="5" customFormat="false" ht="15" hidden="false" customHeight="false" outlineLevel="0" collapsed="false">
      <c r="A5" s="0" t="s">
        <v>753</v>
      </c>
      <c r="B5" s="0" t="s">
        <v>754</v>
      </c>
      <c r="C5" s="0" t="s">
        <v>755</v>
      </c>
      <c r="D5" s="19" t="n">
        <v>22439</v>
      </c>
      <c r="E5" s="19" t="n">
        <v>22439</v>
      </c>
      <c r="F5" s="19" t="n">
        <v>22439</v>
      </c>
      <c r="G5" s="5" t="s">
        <v>756</v>
      </c>
      <c r="H5" s="20" t="s">
        <v>757</v>
      </c>
    </row>
    <row r="6" customFormat="false" ht="15" hidden="false" customHeight="false" outlineLevel="0" collapsed="false">
      <c r="A6" s="0" t="s">
        <v>753</v>
      </c>
      <c r="B6" s="0" t="s">
        <v>758</v>
      </c>
      <c r="C6" s="0" t="s">
        <v>759</v>
      </c>
      <c r="D6" s="19" t="n">
        <v>6969</v>
      </c>
      <c r="E6" s="19" t="n">
        <v>6969</v>
      </c>
      <c r="F6" s="19" t="n">
        <v>6969</v>
      </c>
      <c r="G6" s="5" t="s">
        <v>756</v>
      </c>
      <c r="H6" s="20" t="s">
        <v>757</v>
      </c>
    </row>
    <row r="7" customFormat="false" ht="15" hidden="false" customHeight="false" outlineLevel="0" collapsed="false">
      <c r="A7" s="0" t="s">
        <v>753</v>
      </c>
      <c r="B7" s="0" t="s">
        <v>760</v>
      </c>
      <c r="C7" s="0" t="s">
        <v>761</v>
      </c>
      <c r="D7" s="19" t="n">
        <v>6764</v>
      </c>
      <c r="E7" s="19" t="n">
        <v>6764</v>
      </c>
      <c r="F7" s="19" t="n">
        <v>6764</v>
      </c>
      <c r="G7" s="5" t="s">
        <v>756</v>
      </c>
      <c r="H7" s="20" t="s">
        <v>757</v>
      </c>
    </row>
    <row r="8" customFormat="false" ht="15" hidden="false" customHeight="false" outlineLevel="0" collapsed="false">
      <c r="A8" s="0" t="s">
        <v>753</v>
      </c>
      <c r="B8" s="0" t="s">
        <v>762</v>
      </c>
      <c r="C8" s="0" t="s">
        <v>763</v>
      </c>
      <c r="D8" s="19" t="n">
        <v>4052</v>
      </c>
      <c r="E8" s="19" t="n">
        <v>4052</v>
      </c>
      <c r="F8" s="19" t="n">
        <v>4052</v>
      </c>
      <c r="G8" s="5" t="s">
        <v>756</v>
      </c>
      <c r="H8" s="20" t="s">
        <v>757</v>
      </c>
    </row>
    <row r="9" customFormat="false" ht="17.15" hidden="false" customHeight="false" outlineLevel="0" collapsed="false">
      <c r="A9" s="0" t="s">
        <v>753</v>
      </c>
      <c r="B9" s="0" t="s">
        <v>764</v>
      </c>
      <c r="C9" s="0" t="s">
        <v>765</v>
      </c>
      <c r="D9" s="19" t="n">
        <v>2705</v>
      </c>
      <c r="E9" s="19" t="n">
        <v>2705</v>
      </c>
      <c r="F9" s="19" t="n">
        <v>2705</v>
      </c>
      <c r="G9" s="5" t="s">
        <v>756</v>
      </c>
      <c r="H9" s="20" t="s">
        <v>757</v>
      </c>
    </row>
    <row r="10" customFormat="false" ht="15" hidden="false" customHeight="false" outlineLevel="0" collapsed="false">
      <c r="A10" s="0" t="s">
        <v>766</v>
      </c>
      <c r="B10" s="0" t="s">
        <v>754</v>
      </c>
      <c r="C10" s="0" t="s">
        <v>767</v>
      </c>
      <c r="D10" s="19" t="n">
        <v>718048</v>
      </c>
      <c r="E10" s="19" t="n">
        <v>718048</v>
      </c>
      <c r="F10" s="19" t="n">
        <v>718048</v>
      </c>
      <c r="G10" s="5" t="s">
        <v>768</v>
      </c>
      <c r="H10" s="20" t="s">
        <v>769</v>
      </c>
    </row>
    <row r="11" customFormat="false" ht="15" hidden="false" customHeight="false" outlineLevel="0" collapsed="false">
      <c r="A11" s="0" t="s">
        <v>766</v>
      </c>
      <c r="B11" s="0" t="s">
        <v>758</v>
      </c>
      <c r="C11" s="0" t="s">
        <v>770</v>
      </c>
      <c r="D11" s="19" t="n">
        <v>501768</v>
      </c>
      <c r="E11" s="19" t="n">
        <v>501768</v>
      </c>
      <c r="F11" s="19" t="n">
        <v>501768</v>
      </c>
      <c r="G11" s="5" t="s">
        <v>768</v>
      </c>
      <c r="H11" s="20" t="s">
        <v>769</v>
      </c>
    </row>
    <row r="12" customFormat="false" ht="15" hidden="false" customHeight="false" outlineLevel="0" collapsed="false">
      <c r="A12" s="0" t="s">
        <v>766</v>
      </c>
      <c r="B12" s="0" t="s">
        <v>760</v>
      </c>
      <c r="C12" s="0" t="s">
        <v>771</v>
      </c>
      <c r="D12" s="19" t="n">
        <v>487008</v>
      </c>
      <c r="E12" s="19" t="n">
        <v>487008</v>
      </c>
      <c r="F12" s="19" t="n">
        <v>487008</v>
      </c>
      <c r="G12" s="5" t="s">
        <v>768</v>
      </c>
      <c r="H12" s="20" t="s">
        <v>769</v>
      </c>
    </row>
    <row r="13" customFormat="false" ht="15" hidden="false" customHeight="false" outlineLevel="0" collapsed="false">
      <c r="A13" s="0" t="s">
        <v>766</v>
      </c>
      <c r="B13" s="0" t="s">
        <v>762</v>
      </c>
      <c r="C13" s="0" t="s">
        <v>772</v>
      </c>
      <c r="D13" s="19" t="n">
        <v>291744</v>
      </c>
      <c r="E13" s="19" t="n">
        <v>291744</v>
      </c>
      <c r="F13" s="19" t="n">
        <v>291744</v>
      </c>
      <c r="G13" s="5" t="s">
        <v>768</v>
      </c>
      <c r="H13" s="20" t="s">
        <v>769</v>
      </c>
    </row>
    <row r="14" customFormat="false" ht="17.15" hidden="false" customHeight="false" outlineLevel="0" collapsed="false">
      <c r="A14" s="0" t="s">
        <v>766</v>
      </c>
      <c r="B14" s="0" t="s">
        <v>764</v>
      </c>
      <c r="C14" s="0" t="s">
        <v>773</v>
      </c>
      <c r="D14" s="19" t="n">
        <v>194760</v>
      </c>
      <c r="E14" s="19" t="n">
        <v>194760</v>
      </c>
      <c r="F14" s="19" t="n">
        <v>194760</v>
      </c>
      <c r="G14" s="5" t="s">
        <v>768</v>
      </c>
      <c r="H14" s="20" t="s">
        <v>769</v>
      </c>
    </row>
    <row r="15" customFormat="false" ht="15" hidden="false" customHeight="false" outlineLevel="0" collapsed="false">
      <c r="A15" s="0" t="s">
        <v>774</v>
      </c>
      <c r="B15" s="0" t="s">
        <v>754</v>
      </c>
      <c r="C15" s="0" t="s">
        <v>775</v>
      </c>
      <c r="D15" s="19" t="n">
        <v>21.4202694</v>
      </c>
      <c r="E15" s="19" t="n">
        <v>27.510214</v>
      </c>
      <c r="F15" s="19" t="n">
        <v>34.1207434</v>
      </c>
      <c r="G15" s="20" t="s">
        <v>214</v>
      </c>
      <c r="H15" s="20" t="s">
        <v>776</v>
      </c>
    </row>
    <row r="16" customFormat="false" ht="15" hidden="false" customHeight="false" outlineLevel="0" collapsed="false">
      <c r="A16" s="0" t="s">
        <v>774</v>
      </c>
      <c r="B16" s="0" t="s">
        <v>758</v>
      </c>
      <c r="C16" s="0" t="s">
        <v>777</v>
      </c>
      <c r="D16" s="19" t="n">
        <v>20.6393904</v>
      </c>
      <c r="E16" s="19" t="n">
        <v>24.015174</v>
      </c>
      <c r="F16" s="19" t="n">
        <v>27.6502044</v>
      </c>
      <c r="G16" s="20" t="s">
        <v>214</v>
      </c>
      <c r="H16" s="20" t="s">
        <v>776</v>
      </c>
    </row>
    <row r="17" customFormat="false" ht="15" hidden="false" customHeight="false" outlineLevel="0" collapsed="false">
      <c r="A17" s="0" t="s">
        <v>774</v>
      </c>
      <c r="B17" s="0" t="s">
        <v>760</v>
      </c>
      <c r="C17" s="0" t="s">
        <v>778</v>
      </c>
      <c r="D17" s="19" t="n">
        <v>28.5549024</v>
      </c>
      <c r="E17" s="19" t="n">
        <v>32.237224</v>
      </c>
      <c r="F17" s="19" t="n">
        <v>39.2826064</v>
      </c>
      <c r="G17" s="20" t="s">
        <v>214</v>
      </c>
      <c r="H17" s="20" t="s">
        <v>776</v>
      </c>
    </row>
    <row r="18" customFormat="false" ht="15" hidden="false" customHeight="false" outlineLevel="0" collapsed="false">
      <c r="A18" s="0" t="s">
        <v>774</v>
      </c>
      <c r="B18" s="0" t="s">
        <v>762</v>
      </c>
      <c r="C18" s="0" t="s">
        <v>779</v>
      </c>
      <c r="D18" s="19" t="n">
        <v>31.9970232</v>
      </c>
      <c r="E18" s="19" t="n">
        <v>37.586352</v>
      </c>
      <c r="F18" s="19" t="n">
        <v>42.6375752</v>
      </c>
      <c r="G18" s="20" t="s">
        <v>214</v>
      </c>
      <c r="H18" s="20" t="s">
        <v>776</v>
      </c>
    </row>
    <row r="19" customFormat="false" ht="17.15" hidden="false" customHeight="false" outlineLevel="0" collapsed="false">
      <c r="A19" s="0" t="s">
        <v>774</v>
      </c>
      <c r="B19" s="0" t="s">
        <v>764</v>
      </c>
      <c r="C19" s="0" t="s">
        <v>780</v>
      </c>
      <c r="D19" s="19" t="n">
        <v>35.845578</v>
      </c>
      <c r="E19" s="19" t="n">
        <v>50.08578</v>
      </c>
      <c r="F19" s="19" t="n">
        <v>65.481558</v>
      </c>
      <c r="G19" s="20" t="s">
        <v>214</v>
      </c>
      <c r="H19" s="20" t="s">
        <v>776</v>
      </c>
    </row>
    <row r="20" customFormat="false" ht="15" hidden="false" customHeight="false" outlineLevel="0" collapsed="false">
      <c r="A20" s="0" t="s">
        <v>781</v>
      </c>
      <c r="B20" s="0" t="s">
        <v>754</v>
      </c>
      <c r="C20" s="0" t="s">
        <v>782</v>
      </c>
      <c r="D20" s="19" t="n">
        <v>10.212</v>
      </c>
      <c r="E20" s="19" t="n">
        <v>12.67</v>
      </c>
      <c r="F20" s="19" t="n">
        <v>16.186</v>
      </c>
      <c r="G20" s="20" t="s">
        <v>214</v>
      </c>
      <c r="H20" s="20" t="s">
        <v>783</v>
      </c>
    </row>
    <row r="21" customFormat="false" ht="15" hidden="false" customHeight="false" outlineLevel="0" collapsed="false">
      <c r="A21" s="0" t="s">
        <v>781</v>
      </c>
      <c r="B21" s="0" t="s">
        <v>758</v>
      </c>
      <c r="C21" s="0" t="s">
        <v>784</v>
      </c>
      <c r="D21" s="19" t="n">
        <v>10.212</v>
      </c>
      <c r="E21" s="19" t="n">
        <v>12.67</v>
      </c>
      <c r="F21" s="19" t="n">
        <v>16.186</v>
      </c>
      <c r="G21" s="20" t="s">
        <v>214</v>
      </c>
      <c r="H21" s="20" t="s">
        <v>783</v>
      </c>
    </row>
    <row r="22" customFormat="false" ht="15" hidden="false" customHeight="false" outlineLevel="0" collapsed="false">
      <c r="A22" s="0" t="s">
        <v>781</v>
      </c>
      <c r="B22" s="0" t="s">
        <v>760</v>
      </c>
      <c r="C22" s="0" t="s">
        <v>785</v>
      </c>
      <c r="D22" s="19" t="n">
        <v>10.212</v>
      </c>
      <c r="E22" s="19" t="n">
        <v>12.67</v>
      </c>
      <c r="F22" s="19" t="n">
        <v>16.186</v>
      </c>
      <c r="G22" s="20" t="s">
        <v>214</v>
      </c>
      <c r="H22" s="20" t="s">
        <v>783</v>
      </c>
    </row>
    <row r="23" customFormat="false" ht="15" hidden="false" customHeight="false" outlineLevel="0" collapsed="false">
      <c r="A23" s="0" t="s">
        <v>781</v>
      </c>
      <c r="B23" s="0" t="s">
        <v>762</v>
      </c>
      <c r="C23" s="0" t="s">
        <v>786</v>
      </c>
      <c r="D23" s="19" t="n">
        <v>10.212</v>
      </c>
      <c r="E23" s="19" t="n">
        <v>12.67</v>
      </c>
      <c r="F23" s="19" t="n">
        <v>16.186</v>
      </c>
      <c r="G23" s="20" t="s">
        <v>214</v>
      </c>
      <c r="H23" s="20" t="s">
        <v>783</v>
      </c>
    </row>
    <row r="24" customFormat="false" ht="17.15" hidden="false" customHeight="false" outlineLevel="0" collapsed="false">
      <c r="A24" s="0" t="s">
        <v>781</v>
      </c>
      <c r="B24" s="0" t="s">
        <v>764</v>
      </c>
      <c r="C24" s="0" t="s">
        <v>787</v>
      </c>
      <c r="D24" s="19" t="n">
        <v>10.212</v>
      </c>
      <c r="E24" s="19" t="n">
        <v>12.67</v>
      </c>
      <c r="F24" s="19" t="n">
        <v>16.186</v>
      </c>
      <c r="G24" s="20" t="s">
        <v>214</v>
      </c>
      <c r="H24" s="20" t="s">
        <v>783</v>
      </c>
    </row>
    <row r="25" customFormat="false" ht="15" hidden="false" customHeight="false" outlineLevel="0" collapsed="false">
      <c r="A25" s="0" t="s">
        <v>788</v>
      </c>
      <c r="B25" s="0" t="s">
        <v>754</v>
      </c>
      <c r="C25" s="0" t="s">
        <v>789</v>
      </c>
      <c r="D25" s="19" t="n">
        <v>31.6322694</v>
      </c>
      <c r="E25" s="19" t="n">
        <v>40.180214</v>
      </c>
      <c r="F25" s="19" t="n">
        <v>50.3067434</v>
      </c>
      <c r="G25" s="20" t="s">
        <v>214</v>
      </c>
      <c r="H25" s="20" t="s">
        <v>790</v>
      </c>
    </row>
    <row r="26" customFormat="false" ht="15" hidden="false" customHeight="false" outlineLevel="0" collapsed="false">
      <c r="A26" s="0" t="s">
        <v>788</v>
      </c>
      <c r="B26" s="0" t="s">
        <v>758</v>
      </c>
      <c r="C26" s="0" t="s">
        <v>791</v>
      </c>
      <c r="D26" s="19" t="n">
        <v>30.8513904</v>
      </c>
      <c r="E26" s="19" t="n">
        <v>36.685174</v>
      </c>
      <c r="F26" s="19" t="n">
        <v>43.8362044</v>
      </c>
      <c r="G26" s="20" t="s">
        <v>214</v>
      </c>
      <c r="H26" s="20" t="s">
        <v>790</v>
      </c>
    </row>
    <row r="27" customFormat="false" ht="15" hidden="false" customHeight="false" outlineLevel="0" collapsed="false">
      <c r="A27" s="0" t="s">
        <v>788</v>
      </c>
      <c r="B27" s="0" t="s">
        <v>760</v>
      </c>
      <c r="C27" s="0" t="s">
        <v>792</v>
      </c>
      <c r="D27" s="19" t="n">
        <v>38.7669024</v>
      </c>
      <c r="E27" s="19" t="n">
        <v>44.907224</v>
      </c>
      <c r="F27" s="19" t="n">
        <v>55.4686064</v>
      </c>
      <c r="G27" s="20" t="s">
        <v>214</v>
      </c>
      <c r="H27" s="20" t="s">
        <v>790</v>
      </c>
    </row>
    <row r="28" customFormat="false" ht="15" hidden="false" customHeight="false" outlineLevel="0" collapsed="false">
      <c r="A28" s="0" t="s">
        <v>788</v>
      </c>
      <c r="B28" s="0" t="s">
        <v>762</v>
      </c>
      <c r="C28" s="0" t="s">
        <v>793</v>
      </c>
      <c r="D28" s="19" t="n">
        <v>42.2090232</v>
      </c>
      <c r="E28" s="19" t="n">
        <v>50.256352</v>
      </c>
      <c r="F28" s="19" t="n">
        <v>58.8235752</v>
      </c>
      <c r="G28" s="20" t="s">
        <v>214</v>
      </c>
      <c r="H28" s="20" t="s">
        <v>790</v>
      </c>
    </row>
    <row r="29" customFormat="false" ht="17.15" hidden="false" customHeight="false" outlineLevel="0" collapsed="false">
      <c r="A29" s="0" t="s">
        <v>788</v>
      </c>
      <c r="B29" s="0" t="s">
        <v>764</v>
      </c>
      <c r="C29" s="0" t="s">
        <v>794</v>
      </c>
      <c r="D29" s="19" t="n">
        <v>46.057578</v>
      </c>
      <c r="E29" s="19" t="n">
        <v>62.75578</v>
      </c>
      <c r="F29" s="19" t="n">
        <v>81.667558</v>
      </c>
      <c r="G29" s="20" t="s">
        <v>214</v>
      </c>
      <c r="H29" s="20" t="s">
        <v>790</v>
      </c>
    </row>
    <row r="30" customFormat="false" ht="17.15" hidden="false" customHeight="false" outlineLevel="0" collapsed="false">
      <c r="A30" s="0" t="s">
        <v>795</v>
      </c>
      <c r="B30" s="0" t="s">
        <v>754</v>
      </c>
      <c r="C30" s="0" t="s">
        <v>796</v>
      </c>
      <c r="D30" s="19" t="n">
        <v>0.9</v>
      </c>
      <c r="E30" s="19" t="n">
        <v>1.1</v>
      </c>
      <c r="F30" s="19" t="n">
        <v>1.3</v>
      </c>
      <c r="G30" s="20" t="s">
        <v>797</v>
      </c>
      <c r="H30" s="20" t="s">
        <v>798</v>
      </c>
    </row>
    <row r="31" customFormat="false" ht="17.15" hidden="false" customHeight="false" outlineLevel="0" collapsed="false">
      <c r="A31" s="0" t="s">
        <v>795</v>
      </c>
      <c r="B31" s="0" t="s">
        <v>758</v>
      </c>
      <c r="C31" s="0" t="s">
        <v>799</v>
      </c>
      <c r="D31" s="19" t="n">
        <v>2.8</v>
      </c>
      <c r="E31" s="19" t="n">
        <v>3.1</v>
      </c>
      <c r="F31" s="19" t="n">
        <v>3.4</v>
      </c>
      <c r="G31" s="20" t="s">
        <v>797</v>
      </c>
      <c r="H31" s="20" t="s">
        <v>798</v>
      </c>
    </row>
    <row r="32" customFormat="false" ht="17.15" hidden="false" customHeight="false" outlineLevel="0" collapsed="false">
      <c r="A32" s="0" t="s">
        <v>795</v>
      </c>
      <c r="B32" s="0" t="s">
        <v>760</v>
      </c>
      <c r="C32" s="0" t="s">
        <v>800</v>
      </c>
      <c r="D32" s="19" t="n">
        <v>4</v>
      </c>
      <c r="E32" s="19" t="n">
        <v>4.3</v>
      </c>
      <c r="F32" s="19" t="n">
        <v>5</v>
      </c>
      <c r="G32" s="20" t="s">
        <v>797</v>
      </c>
      <c r="H32" s="20" t="s">
        <v>798</v>
      </c>
    </row>
    <row r="33" customFormat="false" ht="17.15" hidden="false" customHeight="false" outlineLevel="0" collapsed="false">
      <c r="A33" s="0" t="s">
        <v>795</v>
      </c>
      <c r="B33" s="0" t="s">
        <v>762</v>
      </c>
      <c r="C33" s="0" t="s">
        <v>801</v>
      </c>
      <c r="D33" s="19" t="n">
        <v>7.5</v>
      </c>
      <c r="E33" s="19" t="n">
        <v>8.4</v>
      </c>
      <c r="F33" s="19" t="n">
        <v>9.1</v>
      </c>
      <c r="G33" s="20" t="s">
        <v>797</v>
      </c>
      <c r="H33" s="20" t="s">
        <v>798</v>
      </c>
    </row>
    <row r="34" customFormat="false" ht="17.15" hidden="false" customHeight="false" outlineLevel="0" collapsed="false">
      <c r="A34" s="0" t="s">
        <v>795</v>
      </c>
      <c r="B34" s="0" t="s">
        <v>764</v>
      </c>
      <c r="C34" s="0" t="s">
        <v>802</v>
      </c>
      <c r="D34" s="19" t="n">
        <v>12.6</v>
      </c>
      <c r="E34" s="19" t="n">
        <v>16.8</v>
      </c>
      <c r="F34" s="19" t="n">
        <v>21</v>
      </c>
      <c r="G34" s="20" t="s">
        <v>797</v>
      </c>
      <c r="H34" s="20" t="s">
        <v>798</v>
      </c>
    </row>
    <row r="35" customFormat="false" ht="17.15" hidden="false" customHeight="false" outlineLevel="0" collapsed="false">
      <c r="A35" s="0" t="s">
        <v>803</v>
      </c>
      <c r="B35" s="0" t="s">
        <v>754</v>
      </c>
      <c r="C35" s="0" t="s">
        <v>804</v>
      </c>
      <c r="D35" s="19" t="n">
        <v>0.05</v>
      </c>
      <c r="E35" s="19" t="n">
        <v>0.1</v>
      </c>
      <c r="F35" s="19" t="n">
        <v>0.15</v>
      </c>
      <c r="G35" s="5" t="s">
        <v>805</v>
      </c>
      <c r="H35" s="20" t="s">
        <v>806</v>
      </c>
    </row>
    <row r="36" customFormat="false" ht="17.15" hidden="false" customHeight="false" outlineLevel="0" collapsed="false">
      <c r="A36" s="0" t="s">
        <v>803</v>
      </c>
      <c r="B36" s="0" t="s">
        <v>758</v>
      </c>
      <c r="C36" s="0" t="s">
        <v>807</v>
      </c>
      <c r="D36" s="19" t="n">
        <v>0.05</v>
      </c>
      <c r="E36" s="19" t="n">
        <v>0.1</v>
      </c>
      <c r="F36" s="19" t="n">
        <v>0.15</v>
      </c>
      <c r="G36" s="5" t="s">
        <v>805</v>
      </c>
      <c r="H36" s="20" t="s">
        <v>806</v>
      </c>
    </row>
    <row r="37" customFormat="false" ht="17.15" hidden="false" customHeight="false" outlineLevel="0" collapsed="false">
      <c r="A37" s="0" t="s">
        <v>803</v>
      </c>
      <c r="B37" s="0" t="s">
        <v>760</v>
      </c>
      <c r="C37" s="0" t="s">
        <v>808</v>
      </c>
      <c r="D37" s="19" t="n">
        <v>0.05</v>
      </c>
      <c r="E37" s="19" t="n">
        <v>0.1</v>
      </c>
      <c r="F37" s="19" t="n">
        <v>0.15</v>
      </c>
      <c r="G37" s="5" t="s">
        <v>805</v>
      </c>
      <c r="H37" s="20" t="s">
        <v>806</v>
      </c>
    </row>
    <row r="38" customFormat="false" ht="17.15" hidden="false" customHeight="false" outlineLevel="0" collapsed="false">
      <c r="A38" s="0" t="s">
        <v>803</v>
      </c>
      <c r="B38" s="0" t="s">
        <v>762</v>
      </c>
      <c r="C38" s="0" t="s">
        <v>809</v>
      </c>
      <c r="D38" s="19" t="n">
        <v>0.05</v>
      </c>
      <c r="E38" s="19" t="n">
        <v>0.1</v>
      </c>
      <c r="F38" s="19" t="n">
        <v>0.15</v>
      </c>
      <c r="G38" s="5" t="s">
        <v>805</v>
      </c>
      <c r="H38" s="20" t="s">
        <v>806</v>
      </c>
    </row>
    <row r="39" customFormat="false" ht="17.15" hidden="false" customHeight="false" outlineLevel="0" collapsed="false">
      <c r="A39" s="0" t="s">
        <v>803</v>
      </c>
      <c r="B39" s="0" t="s">
        <v>764</v>
      </c>
      <c r="C39" s="0" t="s">
        <v>810</v>
      </c>
      <c r="D39" s="19" t="n">
        <v>0.05</v>
      </c>
      <c r="E39" s="19" t="n">
        <v>0.1</v>
      </c>
      <c r="F39" s="19" t="n">
        <v>0.15</v>
      </c>
      <c r="G39" s="5" t="s">
        <v>805</v>
      </c>
      <c r="H39" s="20" t="s">
        <v>806</v>
      </c>
    </row>
    <row r="40" customFormat="false" ht="15" hidden="false" customHeight="false" outlineLevel="0" collapsed="false">
      <c r="A40" s="0" t="s">
        <v>811</v>
      </c>
      <c r="B40" s="0" t="s">
        <v>754</v>
      </c>
      <c r="C40" s="0" t="s">
        <v>812</v>
      </c>
      <c r="D40" s="19" t="n">
        <v>300</v>
      </c>
      <c r="E40" s="19" t="n">
        <v>500</v>
      </c>
      <c r="F40" s="19" t="n">
        <v>800</v>
      </c>
      <c r="G40" s="20" t="s">
        <v>813</v>
      </c>
      <c r="H40" s="20" t="s">
        <v>814</v>
      </c>
    </row>
    <row r="41" customFormat="false" ht="15" hidden="false" customHeight="false" outlineLevel="0" collapsed="false">
      <c r="A41" s="0" t="s">
        <v>811</v>
      </c>
      <c r="B41" s="0" t="s">
        <v>758</v>
      </c>
      <c r="C41" s="0" t="s">
        <v>815</v>
      </c>
      <c r="D41" s="19" t="n">
        <v>300</v>
      </c>
      <c r="E41" s="19" t="n">
        <v>500</v>
      </c>
      <c r="F41" s="19" t="n">
        <v>800</v>
      </c>
      <c r="G41" s="20" t="s">
        <v>813</v>
      </c>
      <c r="H41" s="20" t="s">
        <v>814</v>
      </c>
    </row>
    <row r="42" customFormat="false" ht="15" hidden="false" customHeight="false" outlineLevel="0" collapsed="false">
      <c r="A42" s="0" t="s">
        <v>811</v>
      </c>
      <c r="B42" s="0" t="s">
        <v>760</v>
      </c>
      <c r="C42" s="0" t="s">
        <v>816</v>
      </c>
      <c r="D42" s="19" t="n">
        <v>300</v>
      </c>
      <c r="E42" s="19" t="n">
        <v>500</v>
      </c>
      <c r="F42" s="19" t="n">
        <v>800</v>
      </c>
      <c r="G42" s="20" t="s">
        <v>813</v>
      </c>
      <c r="H42" s="20" t="s">
        <v>814</v>
      </c>
    </row>
    <row r="43" customFormat="false" ht="15" hidden="false" customHeight="false" outlineLevel="0" collapsed="false">
      <c r="A43" s="0" t="s">
        <v>811</v>
      </c>
      <c r="B43" s="0" t="s">
        <v>762</v>
      </c>
      <c r="C43" s="0" t="s">
        <v>817</v>
      </c>
      <c r="D43" s="19" t="n">
        <v>300</v>
      </c>
      <c r="E43" s="19" t="n">
        <v>500</v>
      </c>
      <c r="F43" s="19" t="n">
        <v>800</v>
      </c>
      <c r="G43" s="20" t="s">
        <v>813</v>
      </c>
      <c r="H43" s="20" t="s">
        <v>814</v>
      </c>
    </row>
    <row r="44" customFormat="false" ht="17.15" hidden="false" customHeight="false" outlineLevel="0" collapsed="false">
      <c r="A44" s="0" t="s">
        <v>811</v>
      </c>
      <c r="B44" s="0" t="s">
        <v>764</v>
      </c>
      <c r="C44" s="0" t="s">
        <v>818</v>
      </c>
      <c r="D44" s="19" t="n">
        <v>300</v>
      </c>
      <c r="E44" s="19" t="n">
        <v>500</v>
      </c>
      <c r="F44" s="19" t="n">
        <v>800</v>
      </c>
      <c r="G44" s="20" t="s">
        <v>813</v>
      </c>
      <c r="H44" s="20" t="s">
        <v>814</v>
      </c>
    </row>
    <row r="45" customFormat="false" ht="17.15" hidden="false" customHeight="false" outlineLevel="0" collapsed="false">
      <c r="A45" s="0" t="s">
        <v>819</v>
      </c>
      <c r="B45" s="0" t="s">
        <v>820</v>
      </c>
      <c r="C45" s="0" t="s">
        <v>821</v>
      </c>
      <c r="D45" s="19" t="n">
        <v>0.7</v>
      </c>
      <c r="E45" s="19" t="n">
        <v>0.8</v>
      </c>
      <c r="F45" s="19" t="n">
        <v>1.15</v>
      </c>
      <c r="G45" s="5" t="s">
        <v>822</v>
      </c>
      <c r="H45" s="20" t="s">
        <v>823</v>
      </c>
    </row>
    <row r="46" customFormat="false" ht="17.15" hidden="false" customHeight="false" outlineLevel="0" collapsed="false">
      <c r="A46" s="0" t="s">
        <v>824</v>
      </c>
      <c r="B46" s="0" t="s">
        <v>825</v>
      </c>
      <c r="C46" s="0" t="s">
        <v>826</v>
      </c>
      <c r="D46" s="19" t="n">
        <v>0.6</v>
      </c>
      <c r="E46" s="19" t="n">
        <v>0.8</v>
      </c>
      <c r="F46" s="19" t="n">
        <v>1.1</v>
      </c>
      <c r="G46" s="5" t="s">
        <v>822</v>
      </c>
      <c r="H46" s="20" t="s">
        <v>827</v>
      </c>
    </row>
    <row r="47" customFormat="false" ht="17.15" hidden="false" customHeight="false" outlineLevel="0" collapsed="false">
      <c r="A47" s="0" t="s">
        <v>828</v>
      </c>
      <c r="B47" s="0" t="s">
        <v>829</v>
      </c>
      <c r="C47" s="0" t="s">
        <v>830</v>
      </c>
      <c r="D47" s="19" t="n">
        <v>0.3</v>
      </c>
      <c r="E47" s="19" t="n">
        <v>0.5</v>
      </c>
      <c r="F47" s="19" t="n">
        <v>0.8</v>
      </c>
      <c r="G47" s="5" t="s">
        <v>822</v>
      </c>
      <c r="H47" s="20" t="s">
        <v>831</v>
      </c>
    </row>
    <row r="48" customFormat="false" ht="17.15" hidden="false" customHeight="false" outlineLevel="0" collapsed="false">
      <c r="A48" s="0" t="s">
        <v>832</v>
      </c>
      <c r="B48" s="0" t="s">
        <v>833</v>
      </c>
      <c r="C48" s="0" t="s">
        <v>834</v>
      </c>
      <c r="D48" s="19" t="n">
        <v>0.2</v>
      </c>
      <c r="E48" s="19" t="n">
        <v>0.4</v>
      </c>
      <c r="F48" s="19" t="n">
        <v>0.8</v>
      </c>
      <c r="G48" s="5" t="s">
        <v>822</v>
      </c>
      <c r="H48" s="20" t="s">
        <v>835</v>
      </c>
    </row>
    <row r="49" customFormat="false" ht="17.15" hidden="false" customHeight="false" outlineLevel="0" collapsed="false">
      <c r="A49" s="0" t="s">
        <v>836</v>
      </c>
      <c r="B49" s="0" t="s">
        <v>837</v>
      </c>
      <c r="C49" s="0" t="s">
        <v>838</v>
      </c>
      <c r="D49" s="19" t="n">
        <v>0.4</v>
      </c>
      <c r="E49" s="19" t="n">
        <v>0.6</v>
      </c>
      <c r="F49" s="19" t="n">
        <v>0.9</v>
      </c>
      <c r="G49" s="5" t="s">
        <v>822</v>
      </c>
      <c r="H49" s="20" t="s">
        <v>839</v>
      </c>
    </row>
    <row r="50" customFormat="false" ht="17.15" hidden="false" customHeight="false" outlineLevel="0" collapsed="false">
      <c r="A50" s="0" t="s">
        <v>840</v>
      </c>
      <c r="B50" s="5" t="s">
        <v>841</v>
      </c>
      <c r="C50" s="0" t="s">
        <v>842</v>
      </c>
      <c r="D50" s="19" t="n">
        <v>0.05</v>
      </c>
      <c r="E50" s="19" t="n">
        <v>0.08</v>
      </c>
      <c r="F50" s="19" t="n">
        <v>0.15</v>
      </c>
      <c r="G50" s="5" t="s">
        <v>822</v>
      </c>
      <c r="H50" s="20" t="s">
        <v>843</v>
      </c>
    </row>
    <row r="51" customFormat="false" ht="17.15" hidden="false" customHeight="false" outlineLevel="0" collapsed="false">
      <c r="A51" s="0" t="s">
        <v>844</v>
      </c>
      <c r="B51" s="0" t="s">
        <v>845</v>
      </c>
      <c r="C51" s="0" t="s">
        <v>846</v>
      </c>
      <c r="D51" s="19" t="n">
        <v>0.25</v>
      </c>
      <c r="E51" s="19" t="n">
        <v>0.55</v>
      </c>
      <c r="F51" s="19" t="n">
        <v>0.75</v>
      </c>
      <c r="G51" s="5" t="s">
        <v>822</v>
      </c>
      <c r="H51" s="20" t="s">
        <v>847</v>
      </c>
    </row>
    <row r="52" customFormat="false" ht="17.15" hidden="false" customHeight="false" outlineLevel="0" collapsed="false">
      <c r="A52" s="0" t="s">
        <v>848</v>
      </c>
      <c r="B52" s="0" t="s">
        <v>849</v>
      </c>
      <c r="C52" s="0" t="s">
        <v>850</v>
      </c>
      <c r="D52" s="19" t="n">
        <v>0.67</v>
      </c>
      <c r="E52" s="19" t="n">
        <v>0.85</v>
      </c>
      <c r="F52" s="19" t="n">
        <v>1.12</v>
      </c>
      <c r="G52" s="5" t="s">
        <v>822</v>
      </c>
      <c r="H52" s="20" t="s">
        <v>851</v>
      </c>
    </row>
    <row r="53" customFormat="false" ht="17.15" hidden="false" customHeight="false" outlineLevel="0" collapsed="false">
      <c r="A53" s="0" t="s">
        <v>852</v>
      </c>
      <c r="B53" s="0" t="s">
        <v>853</v>
      </c>
      <c r="C53" s="0" t="s">
        <v>854</v>
      </c>
      <c r="D53" s="19" t="n">
        <v>0.65</v>
      </c>
      <c r="E53" s="19" t="n">
        <v>0.7</v>
      </c>
      <c r="F53" s="19" t="n">
        <v>0.9</v>
      </c>
      <c r="G53" s="5" t="s">
        <v>822</v>
      </c>
      <c r="H53" s="20" t="s">
        <v>855</v>
      </c>
    </row>
    <row r="54" customFormat="false" ht="17.15" hidden="false" customHeight="false" outlineLevel="0" collapsed="false">
      <c r="A54" s="0" t="s">
        <v>856</v>
      </c>
      <c r="B54" s="0" t="s">
        <v>857</v>
      </c>
      <c r="C54" s="0" t="s">
        <v>858</v>
      </c>
      <c r="D54" s="19" t="n">
        <v>0.45</v>
      </c>
      <c r="E54" s="19" t="n">
        <v>0.61</v>
      </c>
      <c r="F54" s="19" t="n">
        <v>0.7</v>
      </c>
      <c r="G54" s="5" t="s">
        <v>822</v>
      </c>
      <c r="H54" s="20" t="s">
        <v>859</v>
      </c>
    </row>
    <row r="55" customFormat="false" ht="17.15" hidden="false" customHeight="false" outlineLevel="0" collapsed="false">
      <c r="A55" s="0" t="s">
        <v>860</v>
      </c>
      <c r="B55" s="0" t="s">
        <v>861</v>
      </c>
      <c r="C55" s="0" t="s">
        <v>862</v>
      </c>
      <c r="D55" s="19" t="n">
        <v>0.8</v>
      </c>
      <c r="E55" s="19" t="n">
        <v>1</v>
      </c>
      <c r="F55" s="19" t="n">
        <v>1.2</v>
      </c>
      <c r="G55" s="5" t="s">
        <v>822</v>
      </c>
      <c r="H55" s="20" t="s">
        <v>863</v>
      </c>
    </row>
    <row r="56" customFormat="false" ht="17.15" hidden="false" customHeight="false" outlineLevel="0" collapsed="false">
      <c r="A56" s="0" t="s">
        <v>864</v>
      </c>
      <c r="B56" s="0" t="s">
        <v>865</v>
      </c>
      <c r="C56" s="0" t="s">
        <v>866</v>
      </c>
      <c r="D56" s="19" t="n">
        <v>0.7</v>
      </c>
      <c r="E56" s="19" t="n">
        <v>0.8</v>
      </c>
      <c r="F56" s="19" t="n">
        <v>1</v>
      </c>
      <c r="G56" s="5" t="s">
        <v>822</v>
      </c>
      <c r="H56" s="20" t="s">
        <v>867</v>
      </c>
    </row>
    <row r="57" customFormat="false" ht="17.15" hidden="false" customHeight="false" outlineLevel="0" collapsed="false">
      <c r="A57" s="0" t="s">
        <v>868</v>
      </c>
      <c r="B57" s="5" t="s">
        <v>869</v>
      </c>
      <c r="C57" s="0" t="s">
        <v>870</v>
      </c>
      <c r="D57" s="19" t="n">
        <v>0.45</v>
      </c>
      <c r="E57" s="19" t="n">
        <v>0.55</v>
      </c>
      <c r="F57" s="19" t="n">
        <v>0.7</v>
      </c>
      <c r="G57" s="5" t="s">
        <v>822</v>
      </c>
      <c r="H57" s="20" t="s">
        <v>871</v>
      </c>
    </row>
    <row r="58" customFormat="false" ht="17.15" hidden="false" customHeight="false" outlineLevel="0" collapsed="false">
      <c r="A58" s="0" t="s">
        <v>872</v>
      </c>
      <c r="B58" s="0" t="s">
        <v>873</v>
      </c>
      <c r="C58" s="0" t="s">
        <v>874</v>
      </c>
      <c r="D58" s="19" t="n">
        <v>0.4</v>
      </c>
      <c r="E58" s="19" t="n">
        <v>0.5</v>
      </c>
      <c r="F58" s="19" t="n">
        <v>0.6</v>
      </c>
      <c r="G58" s="5" t="s">
        <v>822</v>
      </c>
      <c r="H58" s="20" t="s">
        <v>875</v>
      </c>
    </row>
    <row r="59" customFormat="false" ht="17.15" hidden="false" customHeight="false" outlineLevel="0" collapsed="false">
      <c r="A59" s="0" t="s">
        <v>876</v>
      </c>
      <c r="B59" s="0" t="s">
        <v>754</v>
      </c>
      <c r="C59" s="0" t="s">
        <v>877</v>
      </c>
      <c r="D59" s="19" t="n">
        <v>1.1</v>
      </c>
      <c r="E59" s="19" t="n">
        <v>1.2</v>
      </c>
      <c r="F59" s="19" t="n">
        <v>1.3</v>
      </c>
      <c r="G59" s="20" t="s">
        <v>77</v>
      </c>
      <c r="H59" s="20" t="s">
        <v>878</v>
      </c>
    </row>
    <row r="60" customFormat="false" ht="17.15" hidden="false" customHeight="false" outlineLevel="0" collapsed="false">
      <c r="A60" s="0" t="s">
        <v>876</v>
      </c>
      <c r="B60" s="0" t="s">
        <v>758</v>
      </c>
      <c r="C60" s="0" t="s">
        <v>879</v>
      </c>
      <c r="D60" s="19" t="n">
        <v>1.1</v>
      </c>
      <c r="E60" s="19" t="n">
        <v>1.2</v>
      </c>
      <c r="F60" s="19" t="n">
        <v>1.3</v>
      </c>
      <c r="G60" s="20" t="s">
        <v>77</v>
      </c>
      <c r="H60" s="20" t="s">
        <v>878</v>
      </c>
    </row>
    <row r="61" customFormat="false" ht="17.15" hidden="false" customHeight="false" outlineLevel="0" collapsed="false">
      <c r="A61" s="0" t="s">
        <v>876</v>
      </c>
      <c r="B61" s="0" t="s">
        <v>760</v>
      </c>
      <c r="C61" s="0" t="s">
        <v>880</v>
      </c>
      <c r="D61" s="19" t="n">
        <v>1.1</v>
      </c>
      <c r="E61" s="19" t="n">
        <v>1.2</v>
      </c>
      <c r="F61" s="19" t="n">
        <v>1.3</v>
      </c>
      <c r="G61" s="20" t="s">
        <v>77</v>
      </c>
      <c r="H61" s="20" t="s">
        <v>878</v>
      </c>
    </row>
    <row r="62" customFormat="false" ht="17.15" hidden="false" customHeight="false" outlineLevel="0" collapsed="false">
      <c r="A62" s="0" t="s">
        <v>876</v>
      </c>
      <c r="B62" s="0" t="s">
        <v>762</v>
      </c>
      <c r="C62" s="0" t="s">
        <v>881</v>
      </c>
      <c r="D62" s="19" t="n">
        <v>1.1</v>
      </c>
      <c r="E62" s="19" t="n">
        <v>1.2</v>
      </c>
      <c r="F62" s="19" t="n">
        <v>1.3</v>
      </c>
      <c r="G62" s="20" t="s">
        <v>77</v>
      </c>
      <c r="H62" s="20" t="s">
        <v>878</v>
      </c>
    </row>
    <row r="63" customFormat="false" ht="17.15" hidden="false" customHeight="false" outlineLevel="0" collapsed="false">
      <c r="A63" s="0" t="s">
        <v>876</v>
      </c>
      <c r="B63" s="0" t="s">
        <v>764</v>
      </c>
      <c r="C63" s="0" t="s">
        <v>882</v>
      </c>
      <c r="D63" s="19" t="n">
        <v>1.1</v>
      </c>
      <c r="E63" s="19" t="n">
        <v>1.2</v>
      </c>
      <c r="F63" s="19" t="n">
        <v>1.3</v>
      </c>
      <c r="G63" s="20" t="s">
        <v>77</v>
      </c>
      <c r="H63" s="20" t="s">
        <v>878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13" min="5" style="0" width="10"/>
  </cols>
  <sheetData>
    <row r="1" customFormat="false" ht="17.15" hidden="false" customHeight="false" outlineLevel="0" collapsed="false">
      <c r="A1" s="0" t="s">
        <v>883</v>
      </c>
    </row>
    <row r="3" customFormat="false" ht="17.15" hidden="false" customHeight="false" outlineLevel="0" collapsed="false">
      <c r="A3" s="6" t="s">
        <v>884</v>
      </c>
      <c r="B3" s="6" t="s">
        <v>748</v>
      </c>
      <c r="C3" s="6" t="s">
        <v>17</v>
      </c>
      <c r="D3" s="6" t="s">
        <v>885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</row>
    <row r="4" customFormat="false" ht="17.15" hidden="false" customHeight="false" outlineLevel="0" collapsed="false">
      <c r="A4" s="8" t="s">
        <v>886</v>
      </c>
    </row>
    <row r="5" customFormat="false" ht="15" hidden="false" customHeight="false" outlineLevel="0" collapsed="false">
      <c r="A5" s="0" t="s">
        <v>887</v>
      </c>
      <c r="B5" s="0" t="s">
        <v>888</v>
      </c>
      <c r="C5" s="0" t="s">
        <v>36</v>
      </c>
      <c r="D5" s="19" t="n">
        <v>0.22</v>
      </c>
    </row>
    <row r="6" customFormat="false" ht="15" hidden="false" customHeight="false" outlineLevel="0" collapsed="false">
      <c r="A6" s="0" t="s">
        <v>889</v>
      </c>
      <c r="B6" s="0" t="s">
        <v>890</v>
      </c>
      <c r="C6" s="0" t="s">
        <v>36</v>
      </c>
      <c r="D6" s="19" t="n">
        <v>0.15</v>
      </c>
    </row>
    <row r="7" customFormat="false" ht="15" hidden="false" customHeight="false" outlineLevel="0" collapsed="false">
      <c r="A7" s="0" t="s">
        <v>891</v>
      </c>
      <c r="B7" s="0" t="s">
        <v>892</v>
      </c>
      <c r="C7" s="0" t="s">
        <v>36</v>
      </c>
      <c r="D7" s="19" t="n">
        <v>0.3</v>
      </c>
    </row>
    <row r="8" customFormat="false" ht="17.15" hidden="false" customHeight="false" outlineLevel="0" collapsed="false">
      <c r="A8" s="0" t="s">
        <v>893</v>
      </c>
      <c r="B8" s="0" t="s">
        <v>894</v>
      </c>
      <c r="C8" s="0" t="s">
        <v>895</v>
      </c>
      <c r="D8" s="19" t="n">
        <v>66.1944444444444</v>
      </c>
    </row>
    <row r="9" customFormat="false" ht="17.15" hidden="false" customHeight="false" outlineLevel="0" collapsed="false">
      <c r="A9" s="0" t="s">
        <v>896</v>
      </c>
      <c r="B9" s="0" t="s">
        <v>897</v>
      </c>
      <c r="C9" s="0" t="s">
        <v>895</v>
      </c>
      <c r="D9" s="19" t="n">
        <v>128.833333333333</v>
      </c>
    </row>
    <row r="10" customFormat="false" ht="17.15" hidden="false" customHeight="false" outlineLevel="0" collapsed="false">
      <c r="A10" s="0" t="s">
        <v>898</v>
      </c>
      <c r="B10" s="0" t="s">
        <v>899</v>
      </c>
      <c r="C10" s="0" t="s">
        <v>895</v>
      </c>
      <c r="D10" s="19" t="n">
        <v>257.166666666667</v>
      </c>
    </row>
    <row r="11" customFormat="false" ht="17.15" hidden="false" customHeight="false" outlineLevel="0" collapsed="false">
      <c r="A11" s="0" t="s">
        <v>900</v>
      </c>
      <c r="B11" s="0" t="s">
        <v>901</v>
      </c>
      <c r="C11" s="0" t="s">
        <v>895</v>
      </c>
      <c r="D11" s="19" t="n">
        <v>38.3125</v>
      </c>
    </row>
    <row r="12" customFormat="false" ht="17.15" hidden="false" customHeight="false" outlineLevel="0" collapsed="false">
      <c r="A12" s="0" t="s">
        <v>902</v>
      </c>
      <c r="B12" s="0" t="s">
        <v>903</v>
      </c>
      <c r="C12" s="0" t="s">
        <v>895</v>
      </c>
      <c r="D12" s="19" t="n">
        <v>40</v>
      </c>
    </row>
    <row r="13" customFormat="false" ht="17.15" hidden="false" customHeight="false" outlineLevel="0" collapsed="false">
      <c r="A13" s="0" t="s">
        <v>904</v>
      </c>
      <c r="B13" s="0" t="s">
        <v>905</v>
      </c>
      <c r="C13" s="0" t="s">
        <v>895</v>
      </c>
      <c r="D13" s="19" t="n">
        <v>100</v>
      </c>
    </row>
    <row r="14" customFormat="false" ht="17.15" hidden="false" customHeight="false" outlineLevel="0" collapsed="false">
      <c r="A14" s="0" t="s">
        <v>906</v>
      </c>
      <c r="B14" s="0" t="s">
        <v>907</v>
      </c>
      <c r="C14" s="0" t="s">
        <v>895</v>
      </c>
      <c r="D14" s="19" t="n">
        <v>25</v>
      </c>
    </row>
    <row r="15" customFormat="false" ht="17.15" hidden="false" customHeight="false" outlineLevel="0" collapsed="false">
      <c r="A15" s="0" t="s">
        <v>908</v>
      </c>
      <c r="B15" s="0" t="s">
        <v>909</v>
      </c>
      <c r="C15" s="0" t="s">
        <v>895</v>
      </c>
      <c r="D15" s="19" t="n">
        <v>20</v>
      </c>
    </row>
    <row r="16" customFormat="false" ht="17.15" hidden="false" customHeight="false" outlineLevel="0" collapsed="false">
      <c r="A16" s="0" t="s">
        <v>910</v>
      </c>
      <c r="B16" s="0" t="s">
        <v>911</v>
      </c>
      <c r="C16" s="0" t="s">
        <v>895</v>
      </c>
      <c r="D16" s="19" t="n">
        <v>20</v>
      </c>
    </row>
    <row r="18" customFormat="false" ht="17.15" hidden="false" customHeight="false" outlineLevel="0" collapsed="false">
      <c r="A18" s="8" t="s">
        <v>912</v>
      </c>
    </row>
    <row r="19" customFormat="false" ht="15" hidden="false" customHeight="false" outlineLevel="0" collapsed="false">
      <c r="A19" s="0" t="s">
        <v>913</v>
      </c>
      <c r="C19" s="5" t="s">
        <v>914</v>
      </c>
      <c r="G19" s="19" t="n">
        <v>5.4</v>
      </c>
      <c r="H19" s="19" t="n">
        <v>2.4</v>
      </c>
      <c r="I19" s="19" t="n">
        <v>0.5</v>
      </c>
      <c r="J19" s="19" t="n">
        <v>0.25</v>
      </c>
    </row>
    <row r="20" customFormat="false" ht="15" hidden="false" customHeight="false" outlineLevel="0" collapsed="false">
      <c r="A20" s="0" t="s">
        <v>915</v>
      </c>
      <c r="C20" s="5" t="s">
        <v>914</v>
      </c>
      <c r="G20" s="19" t="n">
        <v>1.7</v>
      </c>
      <c r="H20" s="19" t="n">
        <v>7</v>
      </c>
      <c r="I20" s="19" t="n">
        <v>7</v>
      </c>
      <c r="J20" s="19" t="n">
        <v>8.05</v>
      </c>
    </row>
    <row r="21" customFormat="false" ht="15" hidden="false" customHeight="false" outlineLevel="0" collapsed="false">
      <c r="A21" s="0" t="s">
        <v>916</v>
      </c>
      <c r="C21" s="5" t="s">
        <v>914</v>
      </c>
      <c r="G21" s="19" t="n">
        <v>0</v>
      </c>
      <c r="H21" s="19" t="n">
        <v>0.3</v>
      </c>
      <c r="I21" s="19" t="n">
        <v>2</v>
      </c>
      <c r="J21" s="19" t="n">
        <v>2.3</v>
      </c>
    </row>
    <row r="22" customFormat="false" ht="15" hidden="false" customHeight="false" outlineLevel="0" collapsed="false">
      <c r="A22" s="0" t="s">
        <v>917</v>
      </c>
      <c r="C22" s="5" t="s">
        <v>914</v>
      </c>
      <c r="G22" s="19" t="n">
        <v>0.5</v>
      </c>
      <c r="H22" s="19" t="n">
        <v>0</v>
      </c>
      <c r="I22" s="19" t="n">
        <v>0</v>
      </c>
      <c r="J22" s="19" t="n">
        <v>0</v>
      </c>
    </row>
    <row r="23" customFormat="false" ht="15" hidden="false" customHeight="false" outlineLevel="0" collapsed="false">
      <c r="A23" s="0" t="s">
        <v>918</v>
      </c>
      <c r="C23" s="5" t="s">
        <v>914</v>
      </c>
      <c r="G23" s="19" t="n">
        <v>0.75</v>
      </c>
      <c r="H23" s="19" t="n">
        <v>1.5</v>
      </c>
      <c r="I23" s="19" t="n">
        <v>2</v>
      </c>
      <c r="J23" s="19" t="n">
        <v>2.3</v>
      </c>
    </row>
    <row r="24" customFormat="false" ht="15" hidden="false" customHeight="false" outlineLevel="0" collapsed="false">
      <c r="A24" s="0" t="s">
        <v>919</v>
      </c>
      <c r="C24" s="5" t="s">
        <v>914</v>
      </c>
      <c r="G24" s="19" t="n">
        <v>3.85</v>
      </c>
      <c r="H24" s="19" t="n">
        <v>5.5</v>
      </c>
      <c r="I24" s="19" t="n">
        <v>7</v>
      </c>
      <c r="J24" s="19" t="n">
        <v>8.05</v>
      </c>
    </row>
    <row r="25" customFormat="false" ht="15" hidden="false" customHeight="false" outlineLevel="0" collapsed="false">
      <c r="A25" s="0" t="s">
        <v>920</v>
      </c>
      <c r="C25" s="5" t="s">
        <v>914</v>
      </c>
      <c r="G25" s="19" t="n">
        <v>2</v>
      </c>
      <c r="H25" s="19" t="n">
        <v>2.5</v>
      </c>
      <c r="I25" s="19" t="n">
        <v>3</v>
      </c>
      <c r="J25" s="19" t="n">
        <v>3.45</v>
      </c>
    </row>
    <row r="26" customFormat="false" ht="15" hidden="false" customHeight="false" outlineLevel="0" collapsed="false">
      <c r="A26" s="0" t="s">
        <v>921</v>
      </c>
      <c r="C26" s="5" t="s">
        <v>914</v>
      </c>
      <c r="G26" s="19" t="n">
        <v>1</v>
      </c>
      <c r="H26" s="19" t="n">
        <v>4.5</v>
      </c>
      <c r="I26" s="19" t="n">
        <v>5</v>
      </c>
      <c r="J26" s="19" t="n">
        <v>5.75</v>
      </c>
    </row>
    <row r="27" customFormat="false" ht="15" hidden="false" customHeight="false" outlineLevel="0" collapsed="false">
      <c r="A27" s="0" t="s">
        <v>922</v>
      </c>
      <c r="C27" s="0" t="s">
        <v>36</v>
      </c>
      <c r="G27" s="19" t="n">
        <v>1</v>
      </c>
      <c r="H27" s="19" t="n">
        <v>1</v>
      </c>
      <c r="I27" s="19" t="n">
        <v>1</v>
      </c>
      <c r="J27" s="19" t="n">
        <v>1</v>
      </c>
    </row>
    <row r="28" customFormat="false" ht="15" hidden="false" customHeight="false" outlineLevel="0" collapsed="false">
      <c r="A28" s="0" t="s">
        <v>923</v>
      </c>
      <c r="C28" s="0" t="s">
        <v>36</v>
      </c>
      <c r="G28" s="19" t="n">
        <v>1</v>
      </c>
      <c r="H28" s="19" t="n">
        <v>1</v>
      </c>
      <c r="I28" s="19" t="n">
        <v>0.8</v>
      </c>
      <c r="J28" s="19" t="n">
        <v>0.85</v>
      </c>
    </row>
    <row r="29" customFormat="false" ht="15" hidden="false" customHeight="false" outlineLevel="0" collapsed="false">
      <c r="A29" s="0" t="s">
        <v>924</v>
      </c>
      <c r="C29" s="0" t="s">
        <v>36</v>
      </c>
      <c r="G29" s="19" t="n">
        <v>1</v>
      </c>
      <c r="H29" s="19" t="n">
        <v>1</v>
      </c>
      <c r="I29" s="19" t="n">
        <v>0.6</v>
      </c>
      <c r="J29" s="19" t="n">
        <v>0.6</v>
      </c>
    </row>
    <row r="30" customFormat="false" ht="17.15" hidden="false" customHeight="false" outlineLevel="0" collapsed="false">
      <c r="A30" s="0" t="s">
        <v>925</v>
      </c>
      <c r="C30" s="0" t="s">
        <v>926</v>
      </c>
      <c r="G30" s="19" t="n">
        <v>23.3995380420639</v>
      </c>
      <c r="H30" s="19" t="n">
        <v>41.6467658260637</v>
      </c>
      <c r="I30" s="19" t="n">
        <v>52.792138191248</v>
      </c>
      <c r="J30" s="19" t="n">
        <v>60.1385917361115</v>
      </c>
    </row>
    <row r="31" customFormat="false" ht="17.15" hidden="false" customHeight="false" outlineLevel="0" collapsed="false">
      <c r="A31" s="0" t="s">
        <v>927</v>
      </c>
      <c r="C31" s="0" t="s">
        <v>926</v>
      </c>
      <c r="G31" s="19" t="n">
        <v>23.3995380420639</v>
      </c>
      <c r="H31" s="19" t="n">
        <v>41.6467658260637</v>
      </c>
      <c r="I31" s="19" t="n">
        <v>42.2337105529984</v>
      </c>
      <c r="J31" s="19" t="n">
        <v>51.1178029756948</v>
      </c>
    </row>
    <row r="32" customFormat="false" ht="17.15" hidden="false" customHeight="false" outlineLevel="0" collapsed="false">
      <c r="A32" s="0" t="s">
        <v>928</v>
      </c>
      <c r="C32" s="0" t="s">
        <v>926</v>
      </c>
      <c r="G32" s="19" t="n">
        <v>23.3995380420639</v>
      </c>
      <c r="H32" s="19" t="n">
        <v>41.6467658260637</v>
      </c>
      <c r="I32" s="19" t="n">
        <v>31.6752829147488</v>
      </c>
      <c r="J32" s="19" t="n">
        <v>36.0831550416669</v>
      </c>
    </row>
    <row r="33" customFormat="false" ht="15" hidden="false" customHeight="false" outlineLevel="0" collapsed="false">
      <c r="A33" s="0" t="s">
        <v>929</v>
      </c>
      <c r="C33" s="0" t="s">
        <v>390</v>
      </c>
      <c r="G33" s="19" t="n">
        <v>781.872916666667</v>
      </c>
      <c r="H33" s="19" t="n">
        <v>1565.35</v>
      </c>
      <c r="I33" s="19" t="n">
        <v>1984.26388888889</v>
      </c>
      <c r="J33" s="19" t="n">
        <v>2260.39027777778</v>
      </c>
    </row>
    <row r="34" customFormat="false" ht="15" hidden="false" customHeight="false" outlineLevel="0" collapsed="false">
      <c r="A34" s="0" t="s">
        <v>930</v>
      </c>
      <c r="C34" s="0" t="s">
        <v>390</v>
      </c>
      <c r="G34" s="19" t="n">
        <v>781.872916666667</v>
      </c>
      <c r="H34" s="19" t="n">
        <v>1565.35</v>
      </c>
      <c r="I34" s="19" t="n">
        <v>1587.41111111111</v>
      </c>
      <c r="J34" s="19" t="n">
        <v>1921.33173611111</v>
      </c>
    </row>
    <row r="35" customFormat="false" ht="15" hidden="false" customHeight="false" outlineLevel="0" collapsed="false">
      <c r="A35" s="0" t="s">
        <v>931</v>
      </c>
      <c r="C35" s="0" t="s">
        <v>390</v>
      </c>
      <c r="G35" s="19" t="n">
        <v>781.872916666667</v>
      </c>
      <c r="H35" s="19" t="n">
        <v>1565.35</v>
      </c>
      <c r="I35" s="19" t="n">
        <v>1190.55833333333</v>
      </c>
      <c r="J35" s="19" t="n">
        <v>1356.23416666667</v>
      </c>
    </row>
    <row r="36" customFormat="false" ht="15" hidden="false" customHeight="false" outlineLevel="0" collapsed="false">
      <c r="A36" s="0" t="s">
        <v>932</v>
      </c>
      <c r="C36" s="0" t="s">
        <v>933</v>
      </c>
      <c r="G36" s="19" t="n">
        <v>33.41403216</v>
      </c>
      <c r="H36" s="19" t="n">
        <v>37.586352</v>
      </c>
      <c r="I36" s="19" t="n">
        <v>37.586352</v>
      </c>
      <c r="J36" s="19" t="n">
        <v>37.586352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3" min="4" style="0" width="9"/>
    <col collapsed="false" customWidth="true" hidden="false" outlineLevel="0" max="14" min="14" style="0" width="60"/>
  </cols>
  <sheetData>
    <row r="1" customFormat="false" ht="17.15" hidden="false" customHeight="false" outlineLevel="0" collapsed="false">
      <c r="A1" s="0" t="s">
        <v>934</v>
      </c>
    </row>
    <row r="2" customFormat="false" ht="17.15" hidden="false" customHeight="false" outlineLevel="0" collapsed="false">
      <c r="A2" s="5" t="s">
        <v>935</v>
      </c>
    </row>
    <row r="3" customFormat="false" ht="15" hidden="false" customHeight="false" outlineLevel="0" collapsed="false">
      <c r="A3" s="6" t="s">
        <v>15</v>
      </c>
      <c r="B3" s="6" t="s">
        <v>14</v>
      </c>
      <c r="C3" s="6" t="s">
        <v>17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6" t="s">
        <v>20</v>
      </c>
    </row>
    <row r="4" customFormat="false" ht="17.15" hidden="false" customHeight="false" outlineLevel="0" collapsed="false">
      <c r="A4" s="21" t="s">
        <v>936</v>
      </c>
    </row>
    <row r="5" customFormat="false" ht="17.15" hidden="false" customHeight="false" outlineLevel="0" collapsed="false">
      <c r="A5" s="5" t="s">
        <v>937</v>
      </c>
      <c r="B5" s="0" t="s">
        <v>482</v>
      </c>
      <c r="C5" s="0" t="s">
        <v>52</v>
      </c>
      <c r="D5" s="22" t="n">
        <f aca="false">IF(In!$H$162&lt;&gt;"",In!$H$162,0)</f>
        <v>1</v>
      </c>
      <c r="E5" s="22" t="n">
        <f aca="false">IF(In!$I$162&lt;&gt;"",In!$I$162,0)</f>
        <v>1</v>
      </c>
      <c r="F5" s="22" t="n">
        <f aca="false">IF(In!$J$162&lt;&gt;"",In!$J$162,0)</f>
        <v>0.1</v>
      </c>
      <c r="G5" s="22" t="n">
        <f aca="false">IF(In!$K$162&lt;&gt;"",In!$K$162,0)</f>
        <v>0</v>
      </c>
      <c r="H5" s="22" t="n">
        <f aca="false">IF(In!$L$162&lt;&gt;"",In!$L$162,0)</f>
        <v>0</v>
      </c>
      <c r="I5" s="22" t="n">
        <f aca="false">IF(In!$M$162&lt;&gt;"",In!$M$162,0)</f>
        <v>0</v>
      </c>
      <c r="J5" s="22" t="n">
        <f aca="false">IF(In!$N$162&lt;&gt;"",In!$N$162,0)</f>
        <v>0</v>
      </c>
      <c r="K5" s="22" t="n">
        <f aca="false">IF(In!$O$162&lt;&gt;"",In!$O$162,J5)</f>
        <v>0</v>
      </c>
      <c r="L5" s="22" t="n">
        <f aca="false">IF(In!$P$162&lt;&gt;"",In!$P$162,J5)</f>
        <v>0</v>
      </c>
      <c r="M5" s="22" t="n">
        <f aca="false">IF(In!$Q$162&lt;&gt;"",In!$Q$162,J5)</f>
        <v>0</v>
      </c>
    </row>
    <row r="6" customFormat="false" ht="17.15" hidden="false" customHeight="false" outlineLevel="0" collapsed="false">
      <c r="A6" s="5" t="s">
        <v>938</v>
      </c>
      <c r="B6" s="0" t="s">
        <v>487</v>
      </c>
      <c r="C6" s="0" t="s">
        <v>52</v>
      </c>
      <c r="D6" s="22" t="n">
        <f aca="false">IF(In!$H$163&lt;&gt;"",In!$H$163,0)</f>
        <v>0</v>
      </c>
      <c r="E6" s="22" t="n">
        <f aca="false">IF(In!$I$163&lt;&gt;"",In!$I$163,0)</f>
        <v>0</v>
      </c>
      <c r="F6" s="22" t="n">
        <f aca="false">IF(In!$J$163&lt;&gt;"",In!$J$163,0)</f>
        <v>0.7</v>
      </c>
      <c r="G6" s="22" t="n">
        <f aca="false">IF(In!$K$163&lt;&gt;"",In!$K$163,0)</f>
        <v>0</v>
      </c>
      <c r="H6" s="22" t="n">
        <f aca="false">IF(In!$L$163&lt;&gt;"",In!$L$163,0)</f>
        <v>0</v>
      </c>
      <c r="I6" s="22" t="n">
        <f aca="false">IF(In!$M$163&lt;&gt;"",In!$M$163,0)</f>
        <v>0</v>
      </c>
      <c r="J6" s="22" t="n">
        <f aca="false">IF(In!$N$163&lt;&gt;"",In!$N$163,0)</f>
        <v>0</v>
      </c>
      <c r="K6" s="22" t="n">
        <f aca="false">IF(In!$O$163&lt;&gt;"",In!$O$163,J6)</f>
        <v>0</v>
      </c>
      <c r="L6" s="22" t="n">
        <f aca="false">IF(In!$P$163&lt;&gt;"",In!$P$163,J6)</f>
        <v>0</v>
      </c>
      <c r="M6" s="22" t="n">
        <f aca="false">IF(In!$Q$163&lt;&gt;"",In!$Q$163,J6)</f>
        <v>0</v>
      </c>
    </row>
    <row r="7" customFormat="false" ht="17.15" hidden="false" customHeight="false" outlineLevel="0" collapsed="false">
      <c r="A7" s="5" t="s">
        <v>939</v>
      </c>
      <c r="B7" s="0" t="s">
        <v>489</v>
      </c>
      <c r="C7" s="0" t="s">
        <v>52</v>
      </c>
      <c r="D7" s="22" t="n">
        <f aca="false">IF(In!$H$164&lt;&gt;"",In!$H$164,0)</f>
        <v>0</v>
      </c>
      <c r="E7" s="22" t="n">
        <f aca="false">IF(In!$I$164&lt;&gt;"",In!$I$164,0)</f>
        <v>0</v>
      </c>
      <c r="F7" s="22" t="n">
        <f aca="false">IF(In!$J$164&lt;&gt;"",In!$J$164,0)</f>
        <v>0.2</v>
      </c>
      <c r="G7" s="22" t="n">
        <f aca="false">IF(In!$K$164&lt;&gt;"",In!$K$164,(1-SIL_vr26))</f>
        <v>0.78</v>
      </c>
      <c r="H7" s="22" t="n">
        <f aca="false">IF(In!$L$164&lt;&gt;"",In!$L$164,0)</f>
        <v>0</v>
      </c>
      <c r="I7" s="22" t="n">
        <f aca="false">IF(In!$M$164&lt;&gt;"",In!$M$164,0)</f>
        <v>0</v>
      </c>
      <c r="J7" s="22" t="n">
        <f aca="false">IF(In!$N$164&lt;&gt;"",In!$N$164,0)</f>
        <v>0</v>
      </c>
      <c r="K7" s="22" t="n">
        <f aca="false">IF(In!$O$164&lt;&gt;"",In!$O$164,J7)</f>
        <v>0</v>
      </c>
      <c r="L7" s="22" t="n">
        <f aca="false">IF(In!$P$164&lt;&gt;"",In!$P$164,J7)</f>
        <v>0</v>
      </c>
      <c r="M7" s="22" t="n">
        <f aca="false">IF(In!$Q$164&lt;&gt;"",In!$Q$164,J7)</f>
        <v>0</v>
      </c>
    </row>
    <row r="8" customFormat="false" ht="17.15" hidden="false" customHeight="false" outlineLevel="0" collapsed="false">
      <c r="A8" s="5" t="s">
        <v>940</v>
      </c>
      <c r="B8" s="0" t="s">
        <v>491</v>
      </c>
      <c r="C8" s="0" t="s">
        <v>52</v>
      </c>
      <c r="D8" s="22" t="n">
        <f aca="false">IF(In!$H$165&lt;&gt;"",In!$H$165,0)</f>
        <v>0</v>
      </c>
      <c r="E8" s="22" t="n">
        <f aca="false">IF(In!$I$165&lt;&gt;"",In!$I$165,0)</f>
        <v>0</v>
      </c>
      <c r="F8" s="22" t="n">
        <f aca="false">IF(In!$J$165&lt;&gt;"",In!$J$165,0)</f>
        <v>0</v>
      </c>
      <c r="G8" s="22" t="n">
        <f aca="false">IF(In!$K$165&lt;&gt;"",In!$K$165,SIL_vr26)</f>
        <v>0.22</v>
      </c>
      <c r="H8" s="22" t="n">
        <f aca="false">IF(In!$L$165&lt;&gt;"",In!$L$165,(1-H$11))</f>
        <v>0.939674252875845</v>
      </c>
      <c r="I8" s="22" t="n">
        <f aca="false">IF(In!$M$165&lt;&gt;"",In!$M$165,(1-I$11))</f>
        <v>0.700284773845187</v>
      </c>
      <c r="J8" s="22" t="n">
        <f aca="false">IF(In!$N$165&lt;&gt;"",In!$N$165,(1-J$11))</f>
        <v>0.700284773845187</v>
      </c>
      <c r="K8" s="22" t="n">
        <f aca="false">IF(In!$O$165&lt;&gt;"",In!$O$165,J8)</f>
        <v>0.700284773845187</v>
      </c>
      <c r="L8" s="22" t="n">
        <f aca="false">IF(In!$P$165&lt;&gt;"",In!$P$165,J8)</f>
        <v>0.700284773845187</v>
      </c>
      <c r="M8" s="22" t="n">
        <f aca="false">IF(In!$Q$165&lt;&gt;"",In!$Q$165,J8)</f>
        <v>0.700284773845187</v>
      </c>
    </row>
    <row r="9" customFormat="false" ht="17.15" hidden="false" customHeight="false" outlineLevel="0" collapsed="false">
      <c r="A9" s="5" t="s">
        <v>941</v>
      </c>
      <c r="B9" s="0" t="s">
        <v>493</v>
      </c>
      <c r="C9" s="0" t="s">
        <v>52</v>
      </c>
      <c r="D9" s="22" t="n">
        <f aca="false">IF(In!$H$166&lt;&gt;"",In!$H$166,0)</f>
        <v>0</v>
      </c>
      <c r="E9" s="22" t="n">
        <f aca="false">IF(In!$I$166&lt;&gt;"",In!$I$166,0)</f>
        <v>0</v>
      </c>
      <c r="F9" s="22" t="n">
        <f aca="false">IF(In!$J$166&lt;&gt;"",In!$J$166,0)</f>
        <v>0</v>
      </c>
      <c r="G9" s="22" t="n">
        <f aca="false">IF(In!$K$166&lt;&gt;"",In!$K$166,0)</f>
        <v>0</v>
      </c>
      <c r="H9" s="22" t="n">
        <f aca="false">IF(In!$L$166&lt;&gt;"",In!$L$166,H$11)</f>
        <v>0.0603257471241551</v>
      </c>
      <c r="I9" s="22" t="n">
        <f aca="false">IF(In!$M$166&lt;&gt;"",In!$M$166,I$11)</f>
        <v>0.299715226154813</v>
      </c>
      <c r="J9" s="22" t="n">
        <f aca="false">IF(In!$N$166&lt;&gt;"",In!$N$166,J$11)</f>
        <v>0.299715226154813</v>
      </c>
      <c r="K9" s="22" t="n">
        <f aca="false">IF(In!$O$166&lt;&gt;"",In!$O$166,J9)</f>
        <v>0.299715226154813</v>
      </c>
      <c r="L9" s="22" t="n">
        <f aca="false">IF(In!$P$166&lt;&gt;"",In!$P$166,J9)</f>
        <v>0.299715226154813</v>
      </c>
      <c r="M9" s="22" t="n">
        <f aca="false">IF(In!$Q$166&lt;&gt;"",In!$Q$166,J9)</f>
        <v>0.299715226154813</v>
      </c>
    </row>
    <row r="10" customFormat="false" ht="17.15" hidden="false" customHeight="false" outlineLevel="0" collapsed="false">
      <c r="A10" s="5" t="s">
        <v>942</v>
      </c>
      <c r="C10" s="0" t="s">
        <v>52</v>
      </c>
      <c r="D10" s="22" t="n">
        <f aca="false">SUM(D5:D9)</f>
        <v>1</v>
      </c>
      <c r="E10" s="22" t="n">
        <f aca="false">SUM(E5:E9)</f>
        <v>1</v>
      </c>
      <c r="F10" s="22" t="n">
        <f aca="false">SUM(F5:F9)</f>
        <v>1</v>
      </c>
      <c r="G10" s="22" t="n">
        <f aca="false">SUM(G5:G9)</f>
        <v>1</v>
      </c>
      <c r="H10" s="22" t="n">
        <f aca="false">SUM(H5:H9)</f>
        <v>1</v>
      </c>
      <c r="I10" s="22" t="n">
        <f aca="false">SUM(I5:I9)</f>
        <v>1</v>
      </c>
      <c r="J10" s="22" t="n">
        <f aca="false">SUM(J5:J9)</f>
        <v>1</v>
      </c>
      <c r="K10" s="22" t="n">
        <f aca="false">SUM(K5:K9)</f>
        <v>1</v>
      </c>
      <c r="L10" s="22" t="n">
        <f aca="false">SUM(L5:L9)</f>
        <v>1</v>
      </c>
      <c r="M10" s="22" t="n">
        <f aca="false">SUM(M5:M9)</f>
        <v>1</v>
      </c>
    </row>
    <row r="11" customFormat="false" ht="17.15" hidden="false" customHeight="false" outlineLevel="0" collapsed="false">
      <c r="A11" s="0" t="s">
        <v>943</v>
      </c>
      <c r="C11" s="0" t="s">
        <v>52</v>
      </c>
      <c r="H11" s="23" t="n">
        <f aca="false">(SIL_In!$H$21/TK_GPUsPerGW_RU)/(SIL_In!$H$20/TK_GPUsPerGW_VR200+SIL_In!$H$21/TK_GPUsPerGW_RU)</f>
        <v>0.0603257471241551</v>
      </c>
      <c r="I11" s="23" t="n">
        <f aca="false">(SIL_In!$I$21/TK_GPUsPerGW_RU)/(SIL_In!$I$20/TK_GPUsPerGW_VR200+SIL_In!$I$21/TK_GPUsPerGW_RU)</f>
        <v>0.299715226154813</v>
      </c>
      <c r="J11" s="23" t="n">
        <f aca="false">(SIL_In!$J$21/TK_GPUsPerGW_RU)/(SIL_In!$J$20/TK_GPUsPerGW_VR200+SIL_In!$J$21/TK_GPUsPerGW_RU)</f>
        <v>0.299715226154813</v>
      </c>
      <c r="N11" s="5" t="s">
        <v>944</v>
      </c>
    </row>
    <row r="12" customFormat="false" ht="17.15" hidden="false" customHeight="false" outlineLevel="0" collapsed="false">
      <c r="A12" s="5" t="s">
        <v>945</v>
      </c>
      <c r="B12" s="0" t="s">
        <v>495</v>
      </c>
      <c r="C12" s="0" t="s">
        <v>52</v>
      </c>
      <c r="D12" s="23" t="n">
        <f aca="false">IF(In!$H$167&lt;&gt;"",In!$H$167,G12)</f>
        <v>0.238210067173108</v>
      </c>
      <c r="E12" s="23" t="n">
        <f aca="false">IF(In!$I$167&lt;&gt;"",In!$I$167,G12)</f>
        <v>0.238210067173108</v>
      </c>
      <c r="F12" s="23" t="n">
        <f aca="false">IF(In!$J$167&lt;&gt;"",In!$J$167,G12)</f>
        <v>0.238210067173108</v>
      </c>
      <c r="G12" s="23" t="n">
        <f aca="false">IF(In!$K$167&lt;&gt;"",In!$K$167,(SIL_In!$G$23*SIL_it_AMD8+SIL_In!$G$24*SIL_it_TPU+SIL_In!$G$25*SIL_it_TRN+SIL_In!$G$26*SIL_it_ASIC)/((SIL_In!$G$23*SIL_it_AMD8+SIL_In!$G$24*SIL_it_TPU+SIL_In!$G$25*SIL_it_TRN+SIL_In!$G$26*SIL_it_ASIC)+(SIL_In!$G$19*SIL_it_GB+SIL_In!$G$20*SIL_it_VR+SIL_In!$G$21*SIL_it_RU+SIL_In!$G$22*SIL_it_HP)))</f>
        <v>0.238210067173108</v>
      </c>
      <c r="H12" s="23" t="n">
        <f aca="false">IF(In!$L$167&lt;&gt;"",In!$L$167,(SIL_In!$H$23*SIL_it_AMDR+SIL_In!$H$24*SIL_it_TPU+SIL_In!$H$25*SIL_it_TRN+SIL_In!$H$26*SIL_it_ASIC)/((SIL_In!$H$23*SIL_it_AMDR+SIL_In!$H$24*SIL_it_TPU+SIL_In!$H$25*SIL_it_TRN+SIL_In!$H$26*SIL_it_ASIC)+(SIL_In!$H$19*SIL_it_GB+SIL_In!$H$20*SIL_it_VR+SIL_In!$H$21*SIL_it_RU+SIL_In!$H$22*SIL_it_HP)))</f>
        <v>0.273101862203342</v>
      </c>
      <c r="I12" s="23" t="n">
        <f aca="false">IF(In!$M$167&lt;&gt;"",In!$M$167,(SIL_In!$I$23*SIL_it_AMDR+SIL_In!$I$24*SIL_it_TPU+SIL_In!$I$25*SIL_it_TRN+SIL_In!$I$26*SIL_it_ASIC)/((SIL_In!$I$23*SIL_it_AMDR+SIL_In!$I$24*SIL_it_TPU+SIL_In!$I$25*SIL_it_TRN+SIL_In!$I$26*SIL_it_ASIC)+(SIL_In!$I$19*SIL_it_GB+SIL_In!$I$20*SIL_it_VR+SIL_In!$I$21*SIL_it_RU+SIL_In!$I$22*SIL_it_HP)))</f>
        <v>0.269621396123668</v>
      </c>
      <c r="J12" s="23" t="n">
        <f aca="false">IF(In!$N$167&lt;&gt;"",In!$N$167,(SIL_In!$J$23*SIL_it_AMDR+SIL_In!$J$24*SIL_it_TPU+SIL_In!$J$25*SIL_it_TRN+SIL_In!$J$26*SIL_it_ASIC)/((SIL_In!$J$23*SIL_it_AMDR+SIL_In!$J$24*SIL_it_TPU+SIL_In!$J$25*SIL_it_TRN+SIL_In!$J$26*SIL_it_ASIC)+(SIL_In!$J$19*SIL_it_GB+SIL_In!$J$20*SIL_it_VR+SIL_In!$J$21*SIL_it_RU+SIL_In!$J$22*SIL_it_HP)))</f>
        <v>0.272187509408712</v>
      </c>
      <c r="K12" s="23" t="n">
        <f aca="false">IF(In!$O$167&lt;&gt;"",In!$O$167,J12)</f>
        <v>0.272187509408712</v>
      </c>
      <c r="L12" s="23" t="n">
        <f aca="false">IF(In!$P$167&lt;&gt;"",In!$P$167,J12)</f>
        <v>0.272187509408712</v>
      </c>
      <c r="M12" s="23" t="n">
        <f aca="false">IF(In!$Q$167&lt;&gt;"",In!$Q$167,J12)</f>
        <v>0.272187509408712</v>
      </c>
      <c r="N12" s="20" t="s">
        <v>946</v>
      </c>
    </row>
    <row r="13" customFormat="false" ht="17.15" hidden="false" customHeight="false" outlineLevel="0" collapsed="false">
      <c r="A13" s="5" t="s">
        <v>947</v>
      </c>
      <c r="C13" s="0" t="s">
        <v>36</v>
      </c>
      <c r="D13" s="24" t="n">
        <f aca="false">D5*TK_FacilityGW_H100+D6*TK_FacilityGW_GB200+D7*TK_FacilityGW_GB300+D8*TK_FacilityGW_VR200+D9*TK_FacilityGW_RU</f>
        <v>1.2</v>
      </c>
      <c r="E13" s="24" t="n">
        <f aca="false">E5*TK_FacilityGW_H100+E6*TK_FacilityGW_GB200+E7*TK_FacilityGW_GB300+E8*TK_FacilityGW_VR200+E9*TK_FacilityGW_RU</f>
        <v>1.2</v>
      </c>
      <c r="F13" s="24" t="n">
        <f aca="false">F5*TK_FacilityGW_H100+F6*TK_FacilityGW_GB200+F7*TK_FacilityGW_GB300+F8*TK_FacilityGW_VR200+F9*TK_FacilityGW_RU</f>
        <v>1.2</v>
      </c>
      <c r="G13" s="24" t="n">
        <f aca="false">G5*TK_FacilityGW_H100+G6*TK_FacilityGW_GB200+G7*TK_FacilityGW_GB300+G8*TK_FacilityGW_VR200+G9*TK_FacilityGW_RU</f>
        <v>1.2</v>
      </c>
      <c r="H13" s="24" t="n">
        <f aca="false">H5*TK_FacilityGW_H100+H6*TK_FacilityGW_GB200+H7*TK_FacilityGW_GB300+H8*TK_FacilityGW_VR200+H9*TK_FacilityGW_RU</f>
        <v>1.2</v>
      </c>
      <c r="I13" s="24" t="n">
        <f aca="false">I5*TK_FacilityGW_H100+I6*TK_FacilityGW_GB200+I7*TK_FacilityGW_GB300+I8*TK_FacilityGW_VR200+I9*TK_FacilityGW_RU</f>
        <v>1.2</v>
      </c>
      <c r="J13" s="24" t="n">
        <f aca="false">J5*TK_FacilityGW_H100+J6*TK_FacilityGW_GB200+J7*TK_FacilityGW_GB300+J8*TK_FacilityGW_VR200+J9*TK_FacilityGW_RU</f>
        <v>1.2</v>
      </c>
      <c r="K13" s="24" t="n">
        <f aca="false">K5*TK_FacilityGW_H100+K6*TK_FacilityGW_GB200+K7*TK_FacilityGW_GB300+K8*TK_FacilityGW_VR200+K9*TK_FacilityGW_RU</f>
        <v>1.2</v>
      </c>
      <c r="L13" s="24" t="n">
        <f aca="false">L5*TK_FacilityGW_H100+L6*TK_FacilityGW_GB200+L7*TK_FacilityGW_GB300+L8*TK_FacilityGW_VR200+L9*TK_FacilityGW_RU</f>
        <v>1.2</v>
      </c>
      <c r="M13" s="24" t="n">
        <f aca="false">M5*TK_FacilityGW_H100+M6*TK_FacilityGW_GB200+M7*TK_FacilityGW_GB300+M8*TK_FacilityGW_VR200+M9*TK_FacilityGW_RU</f>
        <v>1.2</v>
      </c>
      <c r="N13" s="20" t="s">
        <v>948</v>
      </c>
    </row>
    <row r="14" customFormat="false" ht="17.15" hidden="false" customHeight="false" outlineLevel="0" collapsed="false">
      <c r="A14" s="5" t="s">
        <v>949</v>
      </c>
      <c r="B14" s="0" t="s">
        <v>950</v>
      </c>
      <c r="C14" s="0" t="s">
        <v>36</v>
      </c>
      <c r="D14" s="24" t="n">
        <f aca="false">k_chip2it</f>
        <v>1.85</v>
      </c>
      <c r="E14" s="24" t="n">
        <f aca="false">k_chip2it_lo</f>
        <v>1.65</v>
      </c>
      <c r="F14" s="24" t="n">
        <f aca="false">k_chip2it_hi</f>
        <v>2.08</v>
      </c>
      <c r="N14" s="20" t="s">
        <v>951</v>
      </c>
    </row>
    <row r="15" customFormat="false" ht="17.15" hidden="false" customHeight="false" outlineLevel="0" collapsed="false">
      <c r="A15" s="5" t="s">
        <v>952</v>
      </c>
      <c r="B15" s="0" t="s">
        <v>953</v>
      </c>
      <c r="C15" s="0" t="s">
        <v>36</v>
      </c>
      <c r="D15" s="24" t="n">
        <f aca="false">ovr25_googl/In!$J$102</f>
        <v>1.45604767709603</v>
      </c>
      <c r="E15" s="24" t="n">
        <f aca="false">ovr25_googl_lo/In!$J$102</f>
        <v>1.32060138155221</v>
      </c>
      <c r="F15" s="24" t="n">
        <f aca="false">ovr25_googl_hi/In!$J$102</f>
        <v>1.65921712041176</v>
      </c>
      <c r="N15" s="20" t="s">
        <v>954</v>
      </c>
    </row>
    <row r="16" customFormat="false" ht="17.15" hidden="false" customHeight="false" outlineLevel="0" collapsed="false">
      <c r="A16" s="5" t="s">
        <v>955</v>
      </c>
      <c r="B16" s="0" t="s">
        <v>956</v>
      </c>
      <c r="C16" s="0" t="s">
        <v>36</v>
      </c>
      <c r="D16" s="24" t="n">
        <f aca="false">ovr25_amzn/In!$J$103</f>
        <v>1.31539611360239</v>
      </c>
      <c r="E16" s="24" t="n">
        <f aca="false">ovr25_amzn_lo/In!$J$103</f>
        <v>1.13602391629297</v>
      </c>
      <c r="F16" s="24" t="n">
        <f aca="false">ovr25_amzn_hi/In!$J$103</f>
        <v>1.55455904334828</v>
      </c>
      <c r="N16" s="20" t="s">
        <v>957</v>
      </c>
    </row>
    <row r="17" customFormat="false" ht="17.15" hidden="false" customHeight="false" outlineLevel="0" collapsed="false">
      <c r="A17" s="5" t="s">
        <v>958</v>
      </c>
      <c r="B17" s="0" t="s">
        <v>959</v>
      </c>
      <c r="C17" s="0" t="s">
        <v>36</v>
      </c>
      <c r="D17" s="24" t="n">
        <f aca="false">k_chip2it</f>
        <v>1.85</v>
      </c>
      <c r="E17" s="24" t="n">
        <f aca="false">k_chip2it_lo</f>
        <v>1.65</v>
      </c>
      <c r="F17" s="24" t="n">
        <f aca="false">k_chip2it_hi</f>
        <v>2.08</v>
      </c>
      <c r="N17" s="20" t="s">
        <v>951</v>
      </c>
    </row>
    <row r="18" customFormat="false" ht="17.15" hidden="false" customHeight="false" outlineLevel="0" collapsed="false">
      <c r="A18" s="5" t="s">
        <v>960</v>
      </c>
      <c r="B18" s="0" t="s">
        <v>961</v>
      </c>
      <c r="C18" s="0" t="s">
        <v>36</v>
      </c>
      <c r="D18" s="24" t="n">
        <f aca="false">k_chip2it</f>
        <v>1.85</v>
      </c>
      <c r="E18" s="24" t="n">
        <f aca="false">k_chip2it_lo</f>
        <v>1.65</v>
      </c>
      <c r="F18" s="24" t="n">
        <f aca="false">k_chip2it_hi</f>
        <v>2.08</v>
      </c>
      <c r="N18" s="20" t="s">
        <v>951</v>
      </c>
    </row>
    <row r="19" customFormat="false" ht="17.15" hidden="false" customHeight="false" outlineLevel="0" collapsed="false">
      <c r="A19" s="5" t="s">
        <v>962</v>
      </c>
      <c r="B19" s="0" t="s">
        <v>963</v>
      </c>
      <c r="C19" s="0" t="s">
        <v>36</v>
      </c>
      <c r="D19" s="24" t="n">
        <f aca="false">k_chip2it</f>
        <v>1.85</v>
      </c>
      <c r="E19" s="24" t="n">
        <f aca="false">k_chip2it_lo</f>
        <v>1.65</v>
      </c>
      <c r="F19" s="24" t="n">
        <f aca="false">k_chip2it_hi</f>
        <v>2.08</v>
      </c>
      <c r="N19" s="20" t="s">
        <v>951</v>
      </c>
    </row>
    <row r="21" customFormat="false" ht="17.15" hidden="false" customHeight="false" outlineLevel="0" collapsed="false">
      <c r="A21" s="8" t="s">
        <v>964</v>
      </c>
      <c r="B21" s="20" t="s">
        <v>506</v>
      </c>
      <c r="N21" s="20" t="s">
        <v>965</v>
      </c>
    </row>
    <row r="22" customFormat="false" ht="17.15" hidden="false" customHeight="false" outlineLevel="0" collapsed="false">
      <c r="A22" s="5" t="s">
        <v>966</v>
      </c>
      <c r="B22" s="0" t="s">
        <v>967</v>
      </c>
      <c r="C22" s="0" t="s">
        <v>77</v>
      </c>
      <c r="D22" s="24" t="str">
        <f aca="false">IF(In!$H$108="","",IF(In!$C$108="設施",In!$H$108/1000/D$13,In!$H$108/1000))</f>
        <v/>
      </c>
      <c r="E22" s="24" t="str">
        <f aca="false">IF(In!$I$108="","",IF(In!$C$108="設施",In!$I$108/1000/E$13,In!$I$108/1000))</f>
        <v/>
      </c>
      <c r="F22" s="24" t="str">
        <f aca="false">IF(In!$J$108="","",IF(In!$C$108="設施",In!$J$108/1000/F$13,In!$J$108/1000))</f>
        <v/>
      </c>
      <c r="G22" s="24" t="str">
        <f aca="false">IF(In!$K$108="","",IF(In!$C$108="設施",In!$K$108/1000/G$13,In!$K$108/1000))</f>
        <v/>
      </c>
      <c r="H22" s="24" t="str">
        <f aca="false">IF(In!$L$108="","",IF(In!$C$108="設施",In!$L$108/1000/H$13,In!$L$108/1000))</f>
        <v/>
      </c>
      <c r="I22" s="24" t="str">
        <f aca="false">IF(In!$M$108="","",IF(In!$C$108="設施",In!$M$108/1000/I$13,In!$M$108/1000))</f>
        <v/>
      </c>
      <c r="J22" s="24" t="str">
        <f aca="false">IF(In!$N$108="","",IF(In!$C$108="設施",In!$N$108/1000/J$13,In!$N$108/1000))</f>
        <v/>
      </c>
      <c r="K22" s="24" t="str">
        <f aca="false">IF(In!$O$108="","",IF(In!$C$108="設施",In!$O$108/1000/K$13,In!$O$108/1000))</f>
        <v/>
      </c>
      <c r="L22" s="24" t="str">
        <f aca="false">IF(In!$P$108="","",IF(In!$C$108="設施",In!$P$108/1000/L$13,In!$P$108/1000))</f>
        <v/>
      </c>
      <c r="M22" s="24" t="str">
        <f aca="false">IF(In!$Q$108="","",IF(In!$C$108="設施",In!$Q$108/1000/M$13,In!$Q$108/1000))</f>
        <v/>
      </c>
    </row>
    <row r="23" customFormat="false" ht="17.15" hidden="false" customHeight="false" outlineLevel="0" collapsed="false">
      <c r="A23" s="5" t="s">
        <v>968</v>
      </c>
      <c r="B23" s="0" t="s">
        <v>969</v>
      </c>
      <c r="C23" s="0" t="s">
        <v>77</v>
      </c>
      <c r="D23" s="24" t="str">
        <f aca="false">IF(In!$H$101="","",In!$H$101*Players!$D$14/1000)</f>
        <v/>
      </c>
      <c r="E23" s="24" t="n">
        <f aca="false">IF(In!$I$101="","",In!$I$101*Players!$D$14/1000)</f>
        <v>1.593775</v>
      </c>
      <c r="F23" s="24" t="n">
        <f aca="false">IF(In!$J$101="","",In!$J$101*Players!$D$14/1000)</f>
        <v>3.729045</v>
      </c>
      <c r="G23" s="24" t="str">
        <f aca="false">IF(In!$K$101="","",In!$K$101*Players!$D$14/1000)</f>
        <v/>
      </c>
      <c r="H23" s="24" t="str">
        <f aca="false">IF(In!$L$101="","",In!$L$101*Players!$D$14/1000)</f>
        <v/>
      </c>
      <c r="I23" s="24" t="str">
        <f aca="false">IF(In!$M$101="","",In!$M$101*Players!$D$14/1000)</f>
        <v/>
      </c>
      <c r="J23" s="24" t="str">
        <f aca="false">IF(In!$N$101="","",In!$N$101*Players!$D$14/1000)</f>
        <v/>
      </c>
      <c r="K23" s="24" t="str">
        <f aca="false">IF(In!$O$101="","",In!$O$101*Players!$D$14/1000)</f>
        <v/>
      </c>
      <c r="L23" s="24" t="str">
        <f aca="false">IF(In!$P$101="","",In!$P$101*Players!$D$14/1000)</f>
        <v/>
      </c>
      <c r="M23" s="24" t="str">
        <f aca="false">IF(In!$Q$101="","",In!$Q$101*Players!$D$14/1000)</f>
        <v/>
      </c>
    </row>
    <row r="24" customFormat="false" ht="15" hidden="false" customHeight="false" outlineLevel="0" collapsed="false">
      <c r="A24" s="5" t="s">
        <v>970</v>
      </c>
      <c r="B24" s="0" t="s">
        <v>971</v>
      </c>
      <c r="C24" s="0" t="s">
        <v>77</v>
      </c>
      <c r="D24" s="24" t="str">
        <f aca="false">IF(D22&lt;&gt;"",D22,IF(D23&lt;&gt;"",D23,IF(INT(obsd_msft)=2023,obs_msft/1000+SUMIFS(Pipeline!$L$5:$L$64,Pipeline!$C$5:$C$64,"msft",Pipeline!$Q$5:$Q$64,1,Pipeline!$K$5:$K$64,"&gt;"&amp;obsd_msft,Pipeline!$K$5:$K$64,"&lt;="&amp;2024),"")))</f>
        <v/>
      </c>
      <c r="E24" s="24" t="n">
        <f aca="false">IF(E22&lt;&gt;"",E22,IF(E23&lt;&gt;"",E23,IF(INT(obsd_msft)=2024,obs_msft/1000+SUMIFS(Pipeline!$L$5:$L$64,Pipeline!$C$5:$C$64,"msft",Pipeline!$Q$5:$Q$64,1,Pipeline!$K$5:$K$64,"&gt;"&amp;obsd_msft,Pipeline!$K$5:$K$64,"&lt;="&amp;2025),"")))</f>
        <v>1.593775</v>
      </c>
      <c r="F24" s="24" t="n">
        <f aca="false">IF(F22&lt;&gt;"",F22,IF(F23&lt;&gt;"",F23,IF(INT(obsd_msft)=2025,obs_msft/1000+SUMIFS(Pipeline!$L$5:$L$64,Pipeline!$C$5:$C$64,"msft",Pipeline!$Q$5:$Q$64,1,Pipeline!$K$5:$K$64,"&gt;"&amp;obsd_msft,Pipeline!$K$5:$K$64,"&lt;="&amp;2026),"")))</f>
        <v>3.729045</v>
      </c>
      <c r="G24" s="24" t="n">
        <f aca="false">IF(G22&lt;&gt;"",G22,IF(G23&lt;&gt;"",G23,IF(INT(obsd_msft)=2026,obs_msft/1000+SUMIFS(Pipeline!$L$5:$L$64,Pipeline!$C$5:$C$64,"msft",Pipeline!$Q$5:$Q$64,1,Pipeline!$K$5:$K$64,"&gt;"&amp;obsd_msft,Pipeline!$K$5:$K$64,"&lt;="&amp;2027),"")))</f>
        <v>4.5</v>
      </c>
      <c r="H24" s="24" t="str">
        <f aca="false">IF(H22&lt;&gt;"",H22,IF(H23&lt;&gt;"",H23,IF(INT(obsd_msft)=2027,obs_msft/1000+SUMIFS(Pipeline!$L$5:$L$64,Pipeline!$C$5:$C$64,"msft",Pipeline!$Q$5:$Q$64,1,Pipeline!$K$5:$K$64,"&gt;"&amp;obsd_msft,Pipeline!$K$5:$K$64,"&lt;="&amp;2028),"")))</f>
        <v/>
      </c>
      <c r="I24" s="24" t="str">
        <f aca="false">IF(I22&lt;&gt;"",I22,IF(I23&lt;&gt;"",I23,IF(INT(obsd_msft)=2028,obs_msft/1000+SUMIFS(Pipeline!$L$5:$L$64,Pipeline!$C$5:$C$64,"msft",Pipeline!$Q$5:$Q$64,1,Pipeline!$K$5:$K$64,"&gt;"&amp;obsd_msft,Pipeline!$K$5:$K$64,"&lt;="&amp;2029),"")))</f>
        <v/>
      </c>
      <c r="J24" s="24" t="str">
        <f aca="false">IF(J22&lt;&gt;"",J22,IF(J23&lt;&gt;"",J23,IF(INT(obsd_msft)=2029,obs_msft/1000+SUMIFS(Pipeline!$L$5:$L$64,Pipeline!$C$5:$C$64,"msft",Pipeline!$Q$5:$Q$64,1,Pipeline!$K$5:$K$64,"&gt;"&amp;obsd_msft,Pipeline!$K$5:$K$64,"&lt;="&amp;2030),"")))</f>
        <v/>
      </c>
      <c r="K24" s="24" t="str">
        <f aca="false">IF(K22&lt;&gt;"",K22,IF(K23&lt;&gt;"",K23,IF(INT(obsd_msft)=2030,obs_msft/1000+SUMIFS(Pipeline!$L$5:$L$64,Pipeline!$C$5:$C$64,"msft",Pipeline!$Q$5:$Q$64,1,Pipeline!$K$5:$K$64,"&gt;"&amp;obsd_msft,Pipeline!$K$5:$K$64,"&lt;="&amp;2031),"")))</f>
        <v/>
      </c>
      <c r="L24" s="24" t="str">
        <f aca="false">IF(L22&lt;&gt;"",L22,IF(L23&lt;&gt;"",L23,IF(INT(obsd_msft)=2031,obs_msft/1000+SUMIFS(Pipeline!$L$5:$L$64,Pipeline!$C$5:$C$64,"msft",Pipeline!$Q$5:$Q$64,1,Pipeline!$K$5:$K$64,"&gt;"&amp;obsd_msft,Pipeline!$K$5:$K$64,"&lt;="&amp;2032),"")))</f>
        <v/>
      </c>
      <c r="M24" s="24" t="str">
        <f aca="false">IF(M22&lt;&gt;"",M22,IF(M23&lt;&gt;"",M23,IF(INT(obsd_msft)=2032,obs_msft/1000+SUMIFS(Pipeline!$L$5:$L$64,Pipeline!$C$5:$C$64,"msft",Pipeline!$Q$5:$Q$64,1,Pipeline!$K$5:$K$64,"&gt;"&amp;obsd_msft,Pipeline!$K$5:$K$64,"&lt;="&amp;2033),"")))</f>
        <v/>
      </c>
    </row>
    <row r="25" customFormat="false" ht="15" hidden="false" customHeight="false" outlineLevel="0" collapsed="false">
      <c r="A25" s="5" t="s">
        <v>972</v>
      </c>
      <c r="B25" s="0" t="s">
        <v>973</v>
      </c>
      <c r="C25" s="0" t="s">
        <v>77</v>
      </c>
      <c r="D25" s="0" t="str">
        <f aca="false">IF(D24&lt;&gt;"",D24,"")</f>
        <v/>
      </c>
      <c r="E25" s="24" t="n">
        <f aca="false">IF(E24&lt;&gt;"",E24,D25)</f>
        <v>1.593775</v>
      </c>
      <c r="F25" s="24" t="n">
        <f aca="false">IF(F24&lt;&gt;"",F24,E25)</f>
        <v>3.729045</v>
      </c>
      <c r="G25" s="24" t="n">
        <f aca="false">IF(G24&lt;&gt;"",G24,F25)</f>
        <v>4.5</v>
      </c>
      <c r="H25" s="24" t="n">
        <f aca="false">IF(H24&lt;&gt;"",H24,G25)</f>
        <v>4.5</v>
      </c>
      <c r="I25" s="24" t="n">
        <f aca="false">IF(I24&lt;&gt;"",I24,H25)</f>
        <v>4.5</v>
      </c>
      <c r="J25" s="24" t="n">
        <f aca="false">IF(J24&lt;&gt;"",J24,I25)</f>
        <v>4.5</v>
      </c>
      <c r="K25" s="24" t="n">
        <f aca="false">IF(K24&lt;&gt;"",K24,J25)</f>
        <v>4.5</v>
      </c>
      <c r="L25" s="24" t="n">
        <f aca="false">IF(L24&lt;&gt;"",L24,K25)</f>
        <v>4.5</v>
      </c>
      <c r="M25" s="24" t="n">
        <f aca="false">IF(M24&lt;&gt;"",M24,L25)</f>
        <v>4.5</v>
      </c>
    </row>
    <row r="26" customFormat="false" ht="15" hidden="false" customHeight="false" outlineLevel="0" collapsed="false">
      <c r="A26" s="5" t="s">
        <v>974</v>
      </c>
      <c r="B26" s="0" t="s">
        <v>975</v>
      </c>
      <c r="C26" s="5" t="s">
        <v>47</v>
      </c>
      <c r="D26" s="0" t="str">
        <f aca="false">IF(D24&lt;&gt;"",2023,"")</f>
        <v/>
      </c>
      <c r="E26" s="0" t="n">
        <f aca="false">IF(E24&lt;&gt;"",2024,D26)</f>
        <v>2024</v>
      </c>
      <c r="F26" s="0" t="n">
        <f aca="false">IF(F24&lt;&gt;"",2025,E26)</f>
        <v>2025</v>
      </c>
      <c r="G26" s="0" t="n">
        <f aca="false">IF(G24&lt;&gt;"",2026,F26)</f>
        <v>2026</v>
      </c>
      <c r="H26" s="0" t="n">
        <f aca="false">IF(H24&lt;&gt;"",2027,G26)</f>
        <v>2026</v>
      </c>
      <c r="I26" s="0" t="n">
        <f aca="false">IF(I24&lt;&gt;"",2028,H26)</f>
        <v>2026</v>
      </c>
      <c r="J26" s="0" t="n">
        <f aca="false">IF(J24&lt;&gt;"",2029,I26)</f>
        <v>2026</v>
      </c>
      <c r="K26" s="0" t="n">
        <f aca="false">IF(K24&lt;&gt;"",2030,J26)</f>
        <v>2026</v>
      </c>
      <c r="L26" s="0" t="n">
        <f aca="false">IF(L24&lt;&gt;"",2031,K26)</f>
        <v>2026</v>
      </c>
      <c r="M26" s="0" t="n">
        <f aca="false">IF(M24&lt;&gt;"",2032,L26)</f>
        <v>2026</v>
      </c>
    </row>
    <row r="27" customFormat="false" ht="15" hidden="false" customHeight="false" outlineLevel="0" collapsed="false">
      <c r="A27" s="5" t="s">
        <v>976</v>
      </c>
      <c r="B27" s="0" t="s">
        <v>977</v>
      </c>
      <c r="C27" s="0" t="s">
        <v>77</v>
      </c>
      <c r="D27" s="24" t="n">
        <f aca="false">IF(D24&lt;&gt;"",D24,E27)</f>
        <v>1.593775</v>
      </c>
      <c r="E27" s="24" t="n">
        <f aca="false">IF(E24&lt;&gt;"",E24,F27)</f>
        <v>1.593775</v>
      </c>
      <c r="F27" s="24" t="n">
        <f aca="false">IF(F24&lt;&gt;"",F24,G27)</f>
        <v>3.729045</v>
      </c>
      <c r="G27" s="24" t="n">
        <f aca="false">IF(G24&lt;&gt;"",G24,H27)</f>
        <v>4.5</v>
      </c>
      <c r="H27" s="0" t="str">
        <f aca="false">IF(H24&lt;&gt;"",H24,I27)</f>
        <v/>
      </c>
      <c r="I27" s="0" t="str">
        <f aca="false">IF(I24&lt;&gt;"",I24,J27)</f>
        <v/>
      </c>
      <c r="J27" s="0" t="str">
        <f aca="false">IF(J24&lt;&gt;"",J24,K27)</f>
        <v/>
      </c>
      <c r="K27" s="0" t="str">
        <f aca="false">IF(K24&lt;&gt;"",K24,L27)</f>
        <v/>
      </c>
      <c r="L27" s="0" t="str">
        <f aca="false">IF(L24&lt;&gt;"",L24,M27)</f>
        <v/>
      </c>
      <c r="M27" s="0" t="str">
        <f aca="false">IF(M24&lt;&gt;"",M24,"")</f>
        <v/>
      </c>
    </row>
    <row r="28" customFormat="false" ht="15" hidden="false" customHeight="false" outlineLevel="0" collapsed="false">
      <c r="A28" s="5" t="s">
        <v>978</v>
      </c>
      <c r="B28" s="0" t="s">
        <v>979</v>
      </c>
      <c r="C28" s="5" t="s">
        <v>47</v>
      </c>
      <c r="D28" s="0" t="n">
        <f aca="false">IF(D24&lt;&gt;"",2023,E28)</f>
        <v>2024</v>
      </c>
      <c r="E28" s="0" t="n">
        <f aca="false">IF(E24&lt;&gt;"",2024,F28)</f>
        <v>2024</v>
      </c>
      <c r="F28" s="0" t="n">
        <f aca="false">IF(F24&lt;&gt;"",2025,G28)</f>
        <v>2025</v>
      </c>
      <c r="G28" s="0" t="n">
        <f aca="false">IF(G24&lt;&gt;"",2026,H28)</f>
        <v>2026</v>
      </c>
      <c r="H28" s="0" t="str">
        <f aca="false">IF(H24&lt;&gt;"",2027,I28)</f>
        <v/>
      </c>
      <c r="I28" s="0" t="str">
        <f aca="false">IF(I24&lt;&gt;"",2028,J28)</f>
        <v/>
      </c>
      <c r="J28" s="0" t="str">
        <f aca="false">IF(J24&lt;&gt;"",2029,K28)</f>
        <v/>
      </c>
      <c r="K28" s="0" t="str">
        <f aca="false">IF(K24&lt;&gt;"",2030,L28)</f>
        <v/>
      </c>
      <c r="L28" s="0" t="str">
        <f aca="false">IF(L24&lt;&gt;"",2031,M28)</f>
        <v/>
      </c>
      <c r="M28" s="0" t="str">
        <f aca="false">IF(M24&lt;&gt;"",2032,"")</f>
        <v/>
      </c>
    </row>
    <row r="29" customFormat="false" ht="17.15" hidden="false" customHeight="false" outlineLevel="0" collapsed="false">
      <c r="A29" s="5" t="s">
        <v>980</v>
      </c>
      <c r="B29" s="0" t="s">
        <v>981</v>
      </c>
      <c r="C29" s="0" t="s">
        <v>77</v>
      </c>
      <c r="D29" s="24" t="n">
        <f aca="false">SUMIFS(Pipeline!$L$5:$L$64,Pipeline!$C$5:$C$64,"msft",Pipeline!$Q$5:$Q$64,1,Pipeline!$P$5:$P$64,2023)</f>
        <v>0</v>
      </c>
      <c r="E29" s="24" t="n">
        <f aca="false">SUMIFS(Pipeline!$L$5:$L$64,Pipeline!$C$5:$C$64,"msft",Pipeline!$Q$5:$Q$64,1,Pipeline!$P$5:$P$64,2024)</f>
        <v>0</v>
      </c>
      <c r="F29" s="24" t="n">
        <f aca="false">SUMIFS(Pipeline!$L$5:$L$64,Pipeline!$C$5:$C$64,"msft",Pipeline!$Q$5:$Q$64,1,Pipeline!$P$5:$P$64,2025)</f>
        <v>0.321</v>
      </c>
      <c r="G29" s="24" t="n">
        <f aca="false">SUMIFS(Pipeline!$L$5:$L$64,Pipeline!$C$5:$C$64,"msft",Pipeline!$Q$5:$Q$64,1,Pipeline!$P$5:$P$64,2026)</f>
        <v>0.684</v>
      </c>
      <c r="H29" s="24" t="n">
        <f aca="false">SUMIFS(Pipeline!$L$5:$L$64,Pipeline!$C$5:$C$64,"msft",Pipeline!$Q$5:$Q$64,1,Pipeline!$P$5:$P$64,2027)</f>
        <v>1.04</v>
      </c>
      <c r="I29" s="24" t="n">
        <f aca="false">SUMIFS(Pipeline!$L$5:$L$64,Pipeline!$C$5:$C$64,"msft",Pipeline!$Q$5:$Q$64,1,Pipeline!$P$5:$P$64,2028)</f>
        <v>1.526</v>
      </c>
      <c r="J29" s="24" t="n">
        <f aca="false">SUMIFS(Pipeline!$L$5:$L$64,Pipeline!$C$5:$C$64,"msft",Pipeline!$Q$5:$Q$64,1,Pipeline!$P$5:$P$64,2029)</f>
        <v>0</v>
      </c>
      <c r="K29" s="24" t="n">
        <f aca="false">SUMIFS(Pipeline!$L$5:$L$64,Pipeline!$C$5:$C$64,"msft",Pipeline!$Q$5:$Q$64,1,Pipeline!$P$5:$P$64,2030)</f>
        <v>0</v>
      </c>
      <c r="L29" s="24" t="n">
        <f aca="false">SUMIFS(Pipeline!$L$5:$L$64,Pipeline!$C$5:$C$64,"msft",Pipeline!$Q$5:$Q$64,1,Pipeline!$P$5:$P$64,2031)</f>
        <v>0</v>
      </c>
      <c r="M29" s="24" t="n">
        <f aca="false">SUMIFS(Pipeline!$L$5:$L$64,Pipeline!$C$5:$C$64,"msft",Pipeline!$Q$5:$Q$64,1,Pipeline!$P$5:$P$64,2032)</f>
        <v>0</v>
      </c>
    </row>
    <row r="30" customFormat="false" ht="17.15" hidden="false" customHeight="false" outlineLevel="0" collapsed="false">
      <c r="A30" s="5" t="s">
        <v>982</v>
      </c>
      <c r="B30" s="0" t="s">
        <v>983</v>
      </c>
      <c r="C30" s="0" t="s">
        <v>77</v>
      </c>
      <c r="D30" s="25" t="str">
        <f aca="false">IF(D24&lt;&gt;"",D24,IF(AND(D25&lt;&gt;"",D27&lt;&gt;""),D25+(D27-D25)*(2023-D26)/(D28-D26),""))</f>
        <v/>
      </c>
      <c r="E30" s="25" t="n">
        <f aca="false">IF(E24&lt;&gt;"",E24,IF(AND(E25&lt;&gt;"",E27&lt;&gt;""),E25+(E27-E25)*(2024-E26)/(E28-E26),IF(D30&lt;&gt;"",D30+E29,"")))</f>
        <v>1.593775</v>
      </c>
      <c r="F30" s="25" t="n">
        <f aca="false">IF(F24&lt;&gt;"",F24,IF(AND(F25&lt;&gt;"",F27&lt;&gt;""),F25+(F27-F25)*(2025-F26)/(F28-F26),IF(E30&lt;&gt;"",E30+F29,"")))</f>
        <v>3.729045</v>
      </c>
      <c r="G30" s="25" t="n">
        <f aca="false">IF(G24&lt;&gt;"",G24,IF(AND(G25&lt;&gt;"",G27&lt;&gt;""),G25+(G27-G25)*(2026-G26)/(G28-G26),IF(F30&lt;&gt;"",F30+G29,"")))</f>
        <v>4.5</v>
      </c>
      <c r="H30" s="25" t="n">
        <f aca="false">IF(H24&lt;&gt;"",H24,IF(AND(H25&lt;&gt;"",H27&lt;&gt;""),H25+(H27-H25)*(2027-H26)/(H28-H26),IF(G30&lt;&gt;"",G30+H29,"")))</f>
        <v>5.54</v>
      </c>
      <c r="I30" s="25" t="n">
        <f aca="false">IF(I24&lt;&gt;"",I24,IF(AND(I25&lt;&gt;"",I27&lt;&gt;""),I25+(I27-I25)*(2028-I26)/(I28-I26),IF(H30&lt;&gt;"",H30+I29,"")))</f>
        <v>7.066</v>
      </c>
      <c r="J30" s="25" t="n">
        <f aca="false">IF(J24&lt;&gt;"",J24,IF(AND(J25&lt;&gt;"",J27&lt;&gt;""),J25+(J27-J25)*(2029-J26)/(J28-J26),IF(I30&lt;&gt;"",I30+J29,"")))</f>
        <v>7.066</v>
      </c>
      <c r="K30" s="25" t="n">
        <f aca="false">IF(K24&lt;&gt;"",K24,IF(AND(K25&lt;&gt;"",K27&lt;&gt;""),K25+(K27-K25)*(2030-K26)/(K28-K26),IF(J30&lt;&gt;"",J30+K29,"")))</f>
        <v>7.066</v>
      </c>
      <c r="L30" s="25" t="n">
        <f aca="false">IF(L24&lt;&gt;"",L24,IF(AND(L25&lt;&gt;"",L27&lt;&gt;""),L25+(L27-L25)*(2031-L26)/(L28-L26),IF(K30&lt;&gt;"",K30+L29,"")))</f>
        <v>7.066</v>
      </c>
      <c r="M30" s="25" t="n">
        <f aca="false">IF(M24&lt;&gt;"",M24,IF(AND(M25&lt;&gt;"",M27&lt;&gt;""),M25+(M27-M25)*(2032-M26)/(M28-M26),IF(L30&lt;&gt;"",L30+M29,"")))</f>
        <v>7.066</v>
      </c>
    </row>
    <row r="31" customFormat="false" ht="15" hidden="false" customHeight="false" outlineLevel="0" collapsed="false">
      <c r="A31" s="5" t="s">
        <v>984</v>
      </c>
      <c r="B31" s="0" t="s">
        <v>985</v>
      </c>
      <c r="C31" s="0" t="s">
        <v>35</v>
      </c>
      <c r="D31" s="0" t="n">
        <f aca="false">IF(D22&lt;&gt;"",1,IF(D23&lt;&gt;"",5,IF(D24&lt;&gt;"",2,IF(AND(D25&lt;&gt;"",D27&lt;&gt;""),3,IF(D30&lt;&gt;"",4,0)))))</f>
        <v>0</v>
      </c>
      <c r="E31" s="0" t="n">
        <f aca="false">IF(E22&lt;&gt;"",1,IF(E23&lt;&gt;"",5,IF(E24&lt;&gt;"",2,IF(AND(E25&lt;&gt;"",E27&lt;&gt;""),3,IF(E30&lt;&gt;"",4,0)))))</f>
        <v>5</v>
      </c>
      <c r="F31" s="0" t="n">
        <f aca="false">IF(F22&lt;&gt;"",1,IF(F23&lt;&gt;"",5,IF(F24&lt;&gt;"",2,IF(AND(F25&lt;&gt;"",F27&lt;&gt;""),3,IF(F30&lt;&gt;"",4,0)))))</f>
        <v>5</v>
      </c>
      <c r="G31" s="0" t="n">
        <f aca="false">IF(G22&lt;&gt;"",1,IF(G23&lt;&gt;"",5,IF(G24&lt;&gt;"",2,IF(AND(G25&lt;&gt;"",G27&lt;&gt;""),3,IF(G30&lt;&gt;"",4,0)))))</f>
        <v>2</v>
      </c>
      <c r="H31" s="0" t="n">
        <f aca="false">IF(H22&lt;&gt;"",1,IF(H23&lt;&gt;"",5,IF(H24&lt;&gt;"",2,IF(AND(H25&lt;&gt;"",H27&lt;&gt;""),3,IF(H30&lt;&gt;"",4,0)))))</f>
        <v>4</v>
      </c>
      <c r="I31" s="0" t="n">
        <f aca="false">IF(I22&lt;&gt;"",1,IF(I23&lt;&gt;"",5,IF(I24&lt;&gt;"",2,IF(AND(I25&lt;&gt;"",I27&lt;&gt;""),3,IF(I30&lt;&gt;"",4,0)))))</f>
        <v>4</v>
      </c>
      <c r="J31" s="0" t="n">
        <f aca="false">IF(J22&lt;&gt;"",1,IF(J23&lt;&gt;"",5,IF(J24&lt;&gt;"",2,IF(AND(J25&lt;&gt;"",J27&lt;&gt;""),3,IF(J30&lt;&gt;"",4,0)))))</f>
        <v>4</v>
      </c>
      <c r="K31" s="0" t="n">
        <f aca="false">IF(K22&lt;&gt;"",1,IF(K23&lt;&gt;"",5,IF(K24&lt;&gt;"",2,IF(AND(K25&lt;&gt;"",K27&lt;&gt;""),3,IF(K30&lt;&gt;"",4,0)))))</f>
        <v>4</v>
      </c>
      <c r="L31" s="0" t="n">
        <f aca="false">IF(L22&lt;&gt;"",1,IF(L23&lt;&gt;"",5,IF(L24&lt;&gt;"",2,IF(AND(L25&lt;&gt;"",L27&lt;&gt;""),3,IF(L30&lt;&gt;"",4,0)))))</f>
        <v>4</v>
      </c>
      <c r="M31" s="0" t="n">
        <f aca="false">IF(M22&lt;&gt;"",1,IF(M23&lt;&gt;"",5,IF(M24&lt;&gt;"",2,IF(AND(M25&lt;&gt;"",M27&lt;&gt;""),3,IF(M30&lt;&gt;"",4,0)))))</f>
        <v>4</v>
      </c>
    </row>
    <row r="32" customFormat="false" ht="17.15" hidden="false" customHeight="false" outlineLevel="0" collapsed="false">
      <c r="A32" s="5" t="s">
        <v>986</v>
      </c>
      <c r="B32" s="0" t="s">
        <v>987</v>
      </c>
      <c r="C32" s="0" t="s">
        <v>77</v>
      </c>
      <c r="D32" s="24" t="str">
        <f aca="false">IF(D30="","",IF(D31=2,D30-(obs_msft-obs_msft_lo)/1000,IF(AND(D31=5,In!$H$101&lt;&gt;""),In!$H$101*Players!$E$14/1000,D30)))</f>
        <v/>
      </c>
      <c r="E32" s="24" t="n">
        <f aca="false">IF(E30="","",IF(E31=2,E30-(obs_msft-obs_msft_lo)/1000,IF(AND(E31=5,In!$I$101&lt;&gt;""),In!$I$101*Players!$E$14/1000,E30)))</f>
        <v>1.421475</v>
      </c>
      <c r="F32" s="24" t="n">
        <f aca="false">IF(F30="","",IF(F31=2,F30-(obs_msft-obs_msft_lo)/1000,MIN(IF(AND(F31=5,In!$J$101&lt;&gt;""),In!$J$101*Players!$E$14/1000,F30),msft_guardian_lo/1000)))</f>
        <v>1</v>
      </c>
      <c r="G32" s="24" t="n">
        <f aca="false">IF(G30="","",IF(G31=2,G30-(obs_msft-obs_msft_lo)/1000,IF(AND(G31=5,In!$K$101&lt;&gt;""),In!$K$101*Players!$E$14/1000,G30)))</f>
        <v>3.5</v>
      </c>
      <c r="H32" s="24" t="n">
        <f aca="false">IF(H30="","",IF(H31=2,H30-(obs_msft-obs_msft_lo)/1000,IF(AND(H31=5,In!$L$101&lt;&gt;""),In!$L$101*Players!$E$14/1000,H30)))</f>
        <v>5.54</v>
      </c>
      <c r="I32" s="24" t="n">
        <f aca="false">IF(I30="","",IF(I31=2,I30-(obs_msft-obs_msft_lo)/1000,IF(AND(I31=5,In!$M$101&lt;&gt;""),In!$M$101*Players!$E$14/1000,I30)))</f>
        <v>7.066</v>
      </c>
      <c r="J32" s="24" t="n">
        <f aca="false">IF(J30="","",IF(J31=2,J30-(obs_msft-obs_msft_lo)/1000,IF(AND(J31=5,In!$N$101&lt;&gt;""),In!$N$101*Players!$E$14/1000,J30)))</f>
        <v>7.066</v>
      </c>
      <c r="K32" s="24" t="n">
        <f aca="false">IF(K30="","",IF(K31=2,K30-(obs_msft-obs_msft_lo)/1000,IF(AND(K31=5,In!$O$101&lt;&gt;""),In!$O$101*Players!$E$14/1000,K30)))</f>
        <v>7.066</v>
      </c>
      <c r="L32" s="24" t="n">
        <f aca="false">IF(L30="","",IF(L31=2,L30-(obs_msft-obs_msft_lo)/1000,IF(AND(L31=5,In!$P$101&lt;&gt;""),In!$P$101*Players!$E$14/1000,L30)))</f>
        <v>7.066</v>
      </c>
      <c r="M32" s="24" t="n">
        <f aca="false">IF(M30="","",IF(M31=2,M30-(obs_msft-obs_msft_lo)/1000,IF(AND(M31=5,In!$Q$101&lt;&gt;""),In!$Q$101*Players!$E$14/1000,M30)))</f>
        <v>7.066</v>
      </c>
    </row>
    <row r="33" customFormat="false" ht="17.15" hidden="false" customHeight="false" outlineLevel="0" collapsed="false">
      <c r="A33" s="5" t="s">
        <v>988</v>
      </c>
      <c r="B33" s="0" t="s">
        <v>989</v>
      </c>
      <c r="C33" s="0" t="s">
        <v>77</v>
      </c>
      <c r="D33" s="24" t="str">
        <f aca="false">IF(D30="","",IF(D31=2,D30+(obs_msft_hi-obs_msft)/1000,IF(AND(D31=5,In!$H$101&lt;&gt;""),In!$H$101*Players!$F$14/1000,D30)))</f>
        <v/>
      </c>
      <c r="E33" s="24" t="n">
        <f aca="false">IF(E30="","",IF(E31=2,E30+(obs_msft_hi-obs_msft)/1000,IF(AND(E31=5,In!$I$101&lt;&gt;""),In!$I$101*Players!$F$14/1000,E30)))</f>
        <v>1.79192</v>
      </c>
      <c r="F33" s="24" t="n">
        <f aca="false">IF(F30="","",IF(F31=2,F30+(obs_msft_hi-obs_msft)/1000,IF(AND(F31=5,In!$J$101&lt;&gt;""),In!$J$101*Players!$F$14/1000,F30)))</f>
        <v>4.192656</v>
      </c>
      <c r="G33" s="24" t="n">
        <f aca="false">IF(G30="","",IF(G31=2,G30+(obs_msft_hi-obs_msft)/1000,IF(AND(G31=5,In!$K$101&lt;&gt;""),In!$K$101*Players!$F$14/1000,G30)))</f>
        <v>5.5</v>
      </c>
      <c r="H33" s="24" t="n">
        <f aca="false">IF(H30="","",IF(H31=2,H30+(obs_msft_hi-obs_msft)/1000,IF(AND(H31=5,In!$L$101&lt;&gt;""),In!$L$101*Players!$F$14/1000,H30)))</f>
        <v>5.54</v>
      </c>
      <c r="I33" s="24" t="n">
        <f aca="false">IF(I30="","",IF(I31=2,I30+(obs_msft_hi-obs_msft)/1000,IF(AND(I31=5,In!$M$101&lt;&gt;""),In!$M$101*Players!$F$14/1000,I30)))</f>
        <v>7.066</v>
      </c>
      <c r="J33" s="24" t="n">
        <f aca="false">IF(J30="","",IF(J31=2,J30+(obs_msft_hi-obs_msft)/1000,IF(AND(J31=5,In!$N$101&lt;&gt;""),In!$N$101*Players!$F$14/1000,J30)))</f>
        <v>7.066</v>
      </c>
      <c r="K33" s="24" t="n">
        <f aca="false">IF(K30="","",IF(K31=2,K30+(obs_msft_hi-obs_msft)/1000,IF(AND(K31=5,In!$O$101&lt;&gt;""),In!$O$101*Players!$F$14/1000,K30)))</f>
        <v>7.066</v>
      </c>
      <c r="L33" s="24" t="n">
        <f aca="false">IF(L30="","",IF(L31=2,L30+(obs_msft_hi-obs_msft)/1000,IF(AND(L31=5,In!$P$101&lt;&gt;""),In!$P$101*Players!$F$14/1000,L30)))</f>
        <v>7.066</v>
      </c>
      <c r="M33" s="24" t="n">
        <f aca="false">IF(M30="","",IF(M31=2,M30+(obs_msft_hi-obs_msft)/1000,IF(AND(M31=5,In!$Q$101&lt;&gt;""),In!$Q$101*Players!$F$14/1000,M30)))</f>
        <v>7.066</v>
      </c>
    </row>
    <row r="34" customFormat="false" ht="17.15" hidden="false" customHeight="false" outlineLevel="0" collapsed="false">
      <c r="A34" s="5" t="s">
        <v>990</v>
      </c>
      <c r="B34" s="0" t="s">
        <v>991</v>
      </c>
      <c r="C34" s="0" t="s">
        <v>77</v>
      </c>
      <c r="D34" s="24" t="str">
        <f aca="false">IF(D30="","",IF(In!$C$108="未說明",D30/D$13,D30))</f>
        <v/>
      </c>
      <c r="E34" s="24" t="n">
        <f aca="false">IF(E30="","",IF(In!$C$108="未說明",E30/E$13,E30))</f>
        <v>1.593775</v>
      </c>
      <c r="F34" s="24" t="n">
        <f aca="false">IF(F30="","",IF(In!$C$108="未說明",F30/F$13,F30))</f>
        <v>3.729045</v>
      </c>
      <c r="G34" s="24" t="n">
        <f aca="false">IF(G30="","",IF(In!$C$108="未說明",G30/G$13,G30))</f>
        <v>4.5</v>
      </c>
      <c r="H34" s="24" t="n">
        <f aca="false">IF(H30="","",IF(In!$C$108="未說明",H30/H$13,H30))</f>
        <v>5.54</v>
      </c>
      <c r="I34" s="24" t="n">
        <f aca="false">IF(I30="","",IF(In!$C$108="未說明",I30/I$13,I30))</f>
        <v>7.066</v>
      </c>
      <c r="J34" s="24" t="n">
        <f aca="false">IF(J30="","",IF(In!$C$108="未說明",J30/J$13,J30))</f>
        <v>7.066</v>
      </c>
      <c r="K34" s="24" t="n">
        <f aca="false">IF(K30="","",IF(In!$C$108="未說明",K30/K$13,K30))</f>
        <v>7.066</v>
      </c>
      <c r="L34" s="24" t="n">
        <f aca="false">IF(L30="","",IF(In!$C$108="未說明",L30/L$13,L30))</f>
        <v>7.066</v>
      </c>
      <c r="M34" s="24" t="n">
        <f aca="false">IF(M30="","",IF(In!$C$108="未說明",M30/M$13,M30))</f>
        <v>7.066</v>
      </c>
    </row>
    <row r="35" customFormat="false" ht="17.15" hidden="false" customHeight="false" outlineLevel="0" collapsed="false">
      <c r="A35" s="5" t="s">
        <v>992</v>
      </c>
      <c r="B35" s="0" t="s">
        <v>993</v>
      </c>
      <c r="C35" s="0" t="s">
        <v>77</v>
      </c>
      <c r="D35" s="0" t="str">
        <f aca="false">""</f>
        <v/>
      </c>
      <c r="E35" s="24" t="str">
        <f aca="false">IF(AND(D30&lt;&gt;"",E30&lt;&gt;""),(D30+E30)/2,"")</f>
        <v/>
      </c>
      <c r="F35" s="24" t="n">
        <f aca="false">IF(AND(E30&lt;&gt;"",F30&lt;&gt;""),(E30+F30)/2,"")</f>
        <v>2.66141</v>
      </c>
      <c r="G35" s="24" t="n">
        <f aca="false">IF(AND(F30&lt;&gt;"",G30&lt;&gt;""),(F30+G30)/2,"")</f>
        <v>4.1145225</v>
      </c>
      <c r="H35" s="24" t="n">
        <f aca="false">IF(AND(G30&lt;&gt;"",H30&lt;&gt;""),(G30+H30)/2,"")</f>
        <v>5.02</v>
      </c>
      <c r="I35" s="24" t="n">
        <f aca="false">IF(AND(H30&lt;&gt;"",I30&lt;&gt;""),(H30+I30)/2,"")</f>
        <v>6.303</v>
      </c>
      <c r="J35" s="24" t="n">
        <f aca="false">IF(AND(I30&lt;&gt;"",J30&lt;&gt;""),(I30+J30)/2,"")</f>
        <v>7.066</v>
      </c>
      <c r="K35" s="24" t="n">
        <f aca="false">IF(AND(J30&lt;&gt;"",K30&lt;&gt;""),(J30+K30)/2,"")</f>
        <v>7.066</v>
      </c>
      <c r="L35" s="24" t="n">
        <f aca="false">IF(AND(K30&lt;&gt;"",L30&lt;&gt;""),(K30+L30)/2,"")</f>
        <v>7.066</v>
      </c>
      <c r="M35" s="24" t="n">
        <f aca="false">IF(AND(L30&lt;&gt;"",M30&lt;&gt;""),(L30+M30)/2,"")</f>
        <v>7.066</v>
      </c>
    </row>
    <row r="36" customFormat="false" ht="17.15" hidden="false" customHeight="false" outlineLevel="0" collapsed="false">
      <c r="A36" s="5" t="s">
        <v>994</v>
      </c>
      <c r="B36" s="0" t="s">
        <v>995</v>
      </c>
      <c r="C36" s="0" t="s">
        <v>77</v>
      </c>
      <c r="D36" s="0" t="n">
        <v>0</v>
      </c>
      <c r="E36" s="24" t="n">
        <f aca="false">IF(AND(D30&lt;&gt;"",E30&lt;&gt;""),E30-D30,0)</f>
        <v>0</v>
      </c>
      <c r="F36" s="24" t="n">
        <f aca="false">IF(AND(E30&lt;&gt;"",F30&lt;&gt;""),F30-E30,0)</f>
        <v>2.13527</v>
      </c>
      <c r="G36" s="24" t="n">
        <f aca="false">IF(AND(F30&lt;&gt;"",G30&lt;&gt;""),G30-F30,0)</f>
        <v>0.770955</v>
      </c>
      <c r="H36" s="24" t="n">
        <f aca="false">IF(AND(G30&lt;&gt;"",H30&lt;&gt;""),H30-G30,0)</f>
        <v>1.04</v>
      </c>
      <c r="I36" s="24" t="n">
        <f aca="false">IF(AND(H30&lt;&gt;"",I30&lt;&gt;""),I30-H30,0)</f>
        <v>1.526</v>
      </c>
      <c r="J36" s="24" t="n">
        <f aca="false">IF(AND(I30&lt;&gt;"",J30&lt;&gt;""),J30-I30,0)</f>
        <v>0</v>
      </c>
      <c r="K36" s="24" t="n">
        <f aca="false">IF(AND(J30&lt;&gt;"",K30&lt;&gt;""),K30-J30,0)</f>
        <v>0</v>
      </c>
      <c r="L36" s="24" t="n">
        <f aca="false">IF(AND(K30&lt;&gt;"",L30&lt;&gt;""),L30-K30,0)</f>
        <v>0</v>
      </c>
      <c r="M36" s="24" t="n">
        <f aca="false">IF(AND(L30&lt;&gt;"",M30&lt;&gt;""),M30-L30,0)</f>
        <v>0</v>
      </c>
    </row>
    <row r="37" customFormat="false" ht="17.15" hidden="false" customHeight="false" outlineLevel="0" collapsed="false">
      <c r="A37" s="5" t="s">
        <v>996</v>
      </c>
      <c r="B37" s="0" t="s">
        <v>997</v>
      </c>
      <c r="C37" s="0" t="s">
        <v>77</v>
      </c>
      <c r="D37" s="24" t="n">
        <f aca="false">IF(D30&lt;&gt;"",D30,0)</f>
        <v>0</v>
      </c>
      <c r="E37" s="24" t="n">
        <f aca="false">IF(AND(D30="",E30&lt;&gt;""),E30,0)</f>
        <v>1.593775</v>
      </c>
      <c r="F37" s="24" t="n">
        <f aca="false">IF(AND(E30="",F30&lt;&gt;""),F30,0)</f>
        <v>0</v>
      </c>
      <c r="G37" s="24" t="n">
        <f aca="false">IF(AND(F30="",G30&lt;&gt;""),G30,0)</f>
        <v>0</v>
      </c>
      <c r="H37" s="24" t="n">
        <f aca="false">IF(AND(G30="",H30&lt;&gt;""),H30,0)</f>
        <v>0</v>
      </c>
      <c r="I37" s="24" t="n">
        <f aca="false">IF(AND(H30="",I30&lt;&gt;""),I30,0)</f>
        <v>0</v>
      </c>
      <c r="J37" s="24" t="n">
        <f aca="false">IF(AND(I30="",J30&lt;&gt;""),J30,0)</f>
        <v>0</v>
      </c>
      <c r="K37" s="24" t="n">
        <f aca="false">IF(AND(J30="",K30&lt;&gt;""),K30,0)</f>
        <v>0</v>
      </c>
      <c r="L37" s="24" t="n">
        <f aca="false">IF(AND(K30="",L30&lt;&gt;""),L30,0)</f>
        <v>0</v>
      </c>
      <c r="M37" s="24" t="n">
        <f aca="false">IF(AND(L30="",M30&lt;&gt;""),M30,0)</f>
        <v>0</v>
      </c>
    </row>
    <row r="38" customFormat="false" ht="17.15" hidden="false" customHeight="false" outlineLevel="0" collapsed="false">
      <c r="A38" s="5" t="s">
        <v>998</v>
      </c>
      <c r="B38" s="0" t="s">
        <v>999</v>
      </c>
      <c r="C38" s="0" t="s">
        <v>52</v>
      </c>
      <c r="D38" s="23" t="n">
        <f aca="false">D$12</f>
        <v>0.238210067173108</v>
      </c>
      <c r="E38" s="23" t="n">
        <f aca="false">E$12</f>
        <v>0.238210067173108</v>
      </c>
      <c r="F38" s="23" t="n">
        <f aca="false">F$12</f>
        <v>0.238210067173108</v>
      </c>
      <c r="G38" s="23" t="n">
        <f aca="false">G$12</f>
        <v>0.238210067173108</v>
      </c>
      <c r="H38" s="23" t="n">
        <f aca="false">H$12</f>
        <v>0.273101862203342</v>
      </c>
      <c r="I38" s="23" t="n">
        <f aca="false">I$12</f>
        <v>0.269621396123668</v>
      </c>
      <c r="J38" s="23" t="n">
        <f aca="false">J$12</f>
        <v>0.272187509408712</v>
      </c>
      <c r="K38" s="23" t="n">
        <f aca="false">K$12</f>
        <v>0.272187509408712</v>
      </c>
      <c r="L38" s="23" t="n">
        <f aca="false">L$12</f>
        <v>0.272187509408712</v>
      </c>
      <c r="M38" s="23" t="n">
        <f aca="false">M$12</f>
        <v>0.272187509408712</v>
      </c>
    </row>
    <row r="40" customFormat="false" ht="17.15" hidden="false" customHeight="false" outlineLevel="0" collapsed="false">
      <c r="A40" s="8" t="s">
        <v>1000</v>
      </c>
      <c r="B40" s="20" t="s">
        <v>511</v>
      </c>
      <c r="N40" s="20" t="s">
        <v>1001</v>
      </c>
    </row>
    <row r="41" customFormat="false" ht="17.15" hidden="false" customHeight="false" outlineLevel="0" collapsed="false">
      <c r="A41" s="5" t="s">
        <v>966</v>
      </c>
      <c r="B41" s="0" t="s">
        <v>1002</v>
      </c>
      <c r="C41" s="0" t="s">
        <v>77</v>
      </c>
      <c r="D41" s="24" t="str">
        <f aca="false">IF(In!$H$109="","",IF(In!$C$109="設施",In!$H$109/1000/D$13,In!$H$109/1000))</f>
        <v/>
      </c>
      <c r="E41" s="24" t="str">
        <f aca="false">IF(In!$I$109="","",IF(In!$C$109="設施",In!$I$109/1000/E$13,In!$I$109/1000))</f>
        <v/>
      </c>
      <c r="F41" s="24" t="str">
        <f aca="false">IF(In!$J$109="","",IF(In!$C$109="設施",In!$J$109/1000/F$13,In!$J$109/1000))</f>
        <v/>
      </c>
      <c r="G41" s="24" t="str">
        <f aca="false">IF(In!$K$109="","",IF(In!$C$109="設施",In!$K$109/1000/G$13,In!$K$109/1000))</f>
        <v/>
      </c>
      <c r="H41" s="24" t="str">
        <f aca="false">IF(In!$L$109="","",IF(In!$C$109="設施",In!$L$109/1000/H$13,In!$L$109/1000))</f>
        <v/>
      </c>
      <c r="I41" s="24" t="str">
        <f aca="false">IF(In!$M$109="","",IF(In!$C$109="設施",In!$M$109/1000/I$13,In!$M$109/1000))</f>
        <v/>
      </c>
      <c r="J41" s="24" t="str">
        <f aca="false">IF(In!$N$109="","",IF(In!$C$109="設施",In!$N$109/1000/J$13,In!$N$109/1000))</f>
        <v/>
      </c>
      <c r="K41" s="24" t="str">
        <f aca="false">IF(In!$O$109="","",IF(In!$C$109="設施",In!$O$109/1000/K$13,In!$O$109/1000))</f>
        <v/>
      </c>
      <c r="L41" s="24" t="str">
        <f aca="false">IF(In!$P$109="","",IF(In!$C$109="設施",In!$P$109/1000/L$13,In!$P$109/1000))</f>
        <v/>
      </c>
      <c r="M41" s="24" t="str">
        <f aca="false">IF(In!$Q$109="","",IF(In!$C$109="設施",In!$Q$109/1000/M$13,In!$Q$109/1000))</f>
        <v/>
      </c>
    </row>
    <row r="42" customFormat="false" ht="17.15" hidden="false" customHeight="false" outlineLevel="0" collapsed="false">
      <c r="A42" s="5" t="s">
        <v>968</v>
      </c>
      <c r="B42" s="0" t="s">
        <v>1003</v>
      </c>
      <c r="C42" s="0" t="s">
        <v>77</v>
      </c>
      <c r="D42" s="24" t="n">
        <f aca="false">IF(In!$H$102="","",In!$H$102*Players!$D$15/1000)</f>
        <v>0.560578355681972</v>
      </c>
      <c r="E42" s="24" t="n">
        <f aca="false">IF(In!$I$102="","",In!$I$102*Players!$D$15/1000)</f>
        <v>1.89038669917378</v>
      </c>
      <c r="F42" s="24" t="n">
        <f aca="false">IF(In!$J$102="","",In!$J$102*Players!$D$15/1000)</f>
        <v>4.3</v>
      </c>
      <c r="G42" s="24" t="str">
        <f aca="false">IF(In!$K$102="","",In!$K$102*Players!$D$15/1000)</f>
        <v/>
      </c>
      <c r="H42" s="24" t="str">
        <f aca="false">IF(In!$L$102="","",In!$L$102*Players!$D$15/1000)</f>
        <v/>
      </c>
      <c r="I42" s="24" t="str">
        <f aca="false">IF(In!$M$102="","",In!$M$102*Players!$D$15/1000)</f>
        <v/>
      </c>
      <c r="J42" s="24" t="str">
        <f aca="false">IF(In!$N$102="","",In!$N$102*Players!$D$15/1000)</f>
        <v/>
      </c>
      <c r="K42" s="24" t="str">
        <f aca="false">IF(In!$O$102="","",In!$O$102*Players!$D$15/1000)</f>
        <v/>
      </c>
      <c r="L42" s="24" t="str">
        <f aca="false">IF(In!$P$102="","",In!$P$102*Players!$D$15/1000)</f>
        <v/>
      </c>
      <c r="M42" s="24" t="str">
        <f aca="false">IF(In!$Q$102="","",In!$Q$102*Players!$D$15/1000)</f>
        <v/>
      </c>
    </row>
    <row r="43" customFormat="false" ht="15" hidden="false" customHeight="false" outlineLevel="0" collapsed="false">
      <c r="A43" s="5" t="s">
        <v>970</v>
      </c>
      <c r="B43" s="0" t="s">
        <v>1004</v>
      </c>
      <c r="C43" s="0" t="s">
        <v>77</v>
      </c>
      <c r="D43" s="24" t="n">
        <f aca="false">IF(D41&lt;&gt;"",D41,IF(D42&lt;&gt;"",D42,IF(INT(obsd_googl)=2023,obschip_googl*Players!$D$15/1000+SUMIFS(Pipeline!$L$5:$L$64,Pipeline!$C$5:$C$64,"googl",Pipeline!$Q$5:$Q$64,1,Pipeline!$K$5:$K$64,"&gt;"&amp;obsd_googl,Pipeline!$K$5:$K$64,"&lt;="&amp;2024),"")))</f>
        <v>0.560578355681972</v>
      </c>
      <c r="E43" s="24" t="n">
        <f aca="false">IF(E41&lt;&gt;"",E41,IF(E42&lt;&gt;"",E42,IF(INT(obsd_googl)=2024,obschip_googl*Players!$D$15/1000+SUMIFS(Pipeline!$L$5:$L$64,Pipeline!$C$5:$C$64,"googl",Pipeline!$Q$5:$Q$64,1,Pipeline!$K$5:$K$64,"&gt;"&amp;obsd_googl,Pipeline!$K$5:$K$64,"&lt;="&amp;2025),"")))</f>
        <v>1.89038669917378</v>
      </c>
      <c r="F43" s="24" t="n">
        <f aca="false">IF(F41&lt;&gt;"",F41,IF(F42&lt;&gt;"",F42,IF(INT(obsd_googl)=2025,obschip_googl*Players!$D$15/1000+SUMIFS(Pipeline!$L$5:$L$64,Pipeline!$C$5:$C$64,"googl",Pipeline!$Q$5:$Q$64,1,Pipeline!$K$5:$K$64,"&gt;"&amp;obsd_googl,Pipeline!$K$5:$K$64,"&lt;="&amp;2026),"")))</f>
        <v>4.3</v>
      </c>
      <c r="G43" s="24" t="n">
        <f aca="false">IF(G41&lt;&gt;"",G41,IF(G42&lt;&gt;"",G42,IF(INT(obsd_googl)=2026,obschip_googl*Players!$D$15/1000+SUMIFS(Pipeline!$L$5:$L$64,Pipeline!$C$5:$C$64,"googl",Pipeline!$Q$5:$Q$64,1,Pipeline!$K$5:$K$64,"&gt;"&amp;obsd_googl,Pipeline!$K$5:$K$64,"&lt;="&amp;2027),"")))</f>
        <v>5.59267912772586</v>
      </c>
      <c r="H43" s="24" t="str">
        <f aca="false">IF(H41&lt;&gt;"",H41,IF(H42&lt;&gt;"",H42,IF(INT(obsd_googl)=2027,obschip_googl*Players!$D$15/1000+SUMIFS(Pipeline!$L$5:$L$64,Pipeline!$C$5:$C$64,"googl",Pipeline!$Q$5:$Q$64,1,Pipeline!$K$5:$K$64,"&gt;"&amp;obsd_googl,Pipeline!$K$5:$K$64,"&lt;="&amp;2028),"")))</f>
        <v/>
      </c>
      <c r="I43" s="24" t="str">
        <f aca="false">IF(I41&lt;&gt;"",I41,IF(I42&lt;&gt;"",I42,IF(INT(obsd_googl)=2028,obschip_googl*Players!$D$15/1000+SUMIFS(Pipeline!$L$5:$L$64,Pipeline!$C$5:$C$64,"googl",Pipeline!$Q$5:$Q$64,1,Pipeline!$K$5:$K$64,"&gt;"&amp;obsd_googl,Pipeline!$K$5:$K$64,"&lt;="&amp;2029),"")))</f>
        <v/>
      </c>
      <c r="J43" s="24" t="str">
        <f aca="false">IF(J41&lt;&gt;"",J41,IF(J42&lt;&gt;"",J42,IF(INT(obsd_googl)=2029,obschip_googl*Players!$D$15/1000+SUMIFS(Pipeline!$L$5:$L$64,Pipeline!$C$5:$C$64,"googl",Pipeline!$Q$5:$Q$64,1,Pipeline!$K$5:$K$64,"&gt;"&amp;obsd_googl,Pipeline!$K$5:$K$64,"&lt;="&amp;2030),"")))</f>
        <v/>
      </c>
      <c r="K43" s="24" t="str">
        <f aca="false">IF(K41&lt;&gt;"",K41,IF(K42&lt;&gt;"",K42,IF(INT(obsd_googl)=2030,obschip_googl*Players!$D$15/1000+SUMIFS(Pipeline!$L$5:$L$64,Pipeline!$C$5:$C$64,"googl",Pipeline!$Q$5:$Q$64,1,Pipeline!$K$5:$K$64,"&gt;"&amp;obsd_googl,Pipeline!$K$5:$K$64,"&lt;="&amp;2031),"")))</f>
        <v/>
      </c>
      <c r="L43" s="24" t="str">
        <f aca="false">IF(L41&lt;&gt;"",L41,IF(L42&lt;&gt;"",L42,IF(INT(obsd_googl)=2031,obschip_googl*Players!$D$15/1000+SUMIFS(Pipeline!$L$5:$L$64,Pipeline!$C$5:$C$64,"googl",Pipeline!$Q$5:$Q$64,1,Pipeline!$K$5:$K$64,"&gt;"&amp;obsd_googl,Pipeline!$K$5:$K$64,"&lt;="&amp;2032),"")))</f>
        <v/>
      </c>
      <c r="M43" s="24" t="str">
        <f aca="false">IF(M41&lt;&gt;"",M41,IF(M42&lt;&gt;"",M42,IF(INT(obsd_googl)=2032,obschip_googl*Players!$D$15/1000+SUMIFS(Pipeline!$L$5:$L$64,Pipeline!$C$5:$C$64,"googl",Pipeline!$Q$5:$Q$64,1,Pipeline!$K$5:$K$64,"&gt;"&amp;obsd_googl,Pipeline!$K$5:$K$64,"&lt;="&amp;2033),"")))</f>
        <v/>
      </c>
    </row>
    <row r="44" customFormat="false" ht="15" hidden="false" customHeight="false" outlineLevel="0" collapsed="false">
      <c r="A44" s="5" t="s">
        <v>972</v>
      </c>
      <c r="B44" s="0" t="s">
        <v>1005</v>
      </c>
      <c r="C44" s="0" t="s">
        <v>77</v>
      </c>
      <c r="D44" s="24" t="n">
        <f aca="false">IF(D43&lt;&gt;"",D43,"")</f>
        <v>0.560578355681972</v>
      </c>
      <c r="E44" s="24" t="n">
        <f aca="false">IF(E43&lt;&gt;"",E43,D44)</f>
        <v>1.89038669917378</v>
      </c>
      <c r="F44" s="24" t="n">
        <f aca="false">IF(F43&lt;&gt;"",F43,E44)</f>
        <v>4.3</v>
      </c>
      <c r="G44" s="24" t="n">
        <f aca="false">IF(G43&lt;&gt;"",G43,F44)</f>
        <v>5.59267912772586</v>
      </c>
      <c r="H44" s="24" t="n">
        <f aca="false">IF(H43&lt;&gt;"",H43,G44)</f>
        <v>5.59267912772586</v>
      </c>
      <c r="I44" s="24" t="n">
        <f aca="false">IF(I43&lt;&gt;"",I43,H44)</f>
        <v>5.59267912772586</v>
      </c>
      <c r="J44" s="24" t="n">
        <f aca="false">IF(J43&lt;&gt;"",J43,I44)</f>
        <v>5.59267912772586</v>
      </c>
      <c r="K44" s="24" t="n">
        <f aca="false">IF(K43&lt;&gt;"",K43,J44)</f>
        <v>5.59267912772586</v>
      </c>
      <c r="L44" s="24" t="n">
        <f aca="false">IF(L43&lt;&gt;"",L43,K44)</f>
        <v>5.59267912772586</v>
      </c>
      <c r="M44" s="24" t="n">
        <f aca="false">IF(M43&lt;&gt;"",M43,L44)</f>
        <v>5.59267912772586</v>
      </c>
    </row>
    <row r="45" customFormat="false" ht="15" hidden="false" customHeight="false" outlineLevel="0" collapsed="false">
      <c r="A45" s="5" t="s">
        <v>974</v>
      </c>
      <c r="B45" s="0" t="s">
        <v>1006</v>
      </c>
      <c r="C45" s="5" t="s">
        <v>47</v>
      </c>
      <c r="D45" s="0" t="n">
        <f aca="false">IF(D43&lt;&gt;"",2023,"")</f>
        <v>2023</v>
      </c>
      <c r="E45" s="0" t="n">
        <f aca="false">IF(E43&lt;&gt;"",2024,D45)</f>
        <v>2024</v>
      </c>
      <c r="F45" s="0" t="n">
        <f aca="false">IF(F43&lt;&gt;"",2025,E45)</f>
        <v>2025</v>
      </c>
      <c r="G45" s="0" t="n">
        <f aca="false">IF(G43&lt;&gt;"",2026,F45)</f>
        <v>2026</v>
      </c>
      <c r="H45" s="0" t="n">
        <f aca="false">IF(H43&lt;&gt;"",2027,G45)</f>
        <v>2026</v>
      </c>
      <c r="I45" s="0" t="n">
        <f aca="false">IF(I43&lt;&gt;"",2028,H45)</f>
        <v>2026</v>
      </c>
      <c r="J45" s="0" t="n">
        <f aca="false">IF(J43&lt;&gt;"",2029,I45)</f>
        <v>2026</v>
      </c>
      <c r="K45" s="0" t="n">
        <f aca="false">IF(K43&lt;&gt;"",2030,J45)</f>
        <v>2026</v>
      </c>
      <c r="L45" s="0" t="n">
        <f aca="false">IF(L43&lt;&gt;"",2031,K45)</f>
        <v>2026</v>
      </c>
      <c r="M45" s="0" t="n">
        <f aca="false">IF(M43&lt;&gt;"",2032,L45)</f>
        <v>2026</v>
      </c>
    </row>
    <row r="46" customFormat="false" ht="15" hidden="false" customHeight="false" outlineLevel="0" collapsed="false">
      <c r="A46" s="5" t="s">
        <v>976</v>
      </c>
      <c r="B46" s="0" t="s">
        <v>1007</v>
      </c>
      <c r="C46" s="0" t="s">
        <v>77</v>
      </c>
      <c r="D46" s="24" t="n">
        <f aca="false">IF(D43&lt;&gt;"",D43,E46)</f>
        <v>0.560578355681972</v>
      </c>
      <c r="E46" s="24" t="n">
        <f aca="false">IF(E43&lt;&gt;"",E43,F46)</f>
        <v>1.89038669917378</v>
      </c>
      <c r="F46" s="24" t="n">
        <f aca="false">IF(F43&lt;&gt;"",F43,G46)</f>
        <v>4.3</v>
      </c>
      <c r="G46" s="24" t="n">
        <f aca="false">IF(G43&lt;&gt;"",G43,H46)</f>
        <v>5.59267912772586</v>
      </c>
      <c r="H46" s="0" t="str">
        <f aca="false">IF(H43&lt;&gt;"",H43,I46)</f>
        <v/>
      </c>
      <c r="I46" s="0" t="str">
        <f aca="false">IF(I43&lt;&gt;"",I43,J46)</f>
        <v/>
      </c>
      <c r="J46" s="0" t="str">
        <f aca="false">IF(J43&lt;&gt;"",J43,K46)</f>
        <v/>
      </c>
      <c r="K46" s="0" t="str">
        <f aca="false">IF(K43&lt;&gt;"",K43,L46)</f>
        <v/>
      </c>
      <c r="L46" s="0" t="str">
        <f aca="false">IF(L43&lt;&gt;"",L43,M46)</f>
        <v/>
      </c>
      <c r="M46" s="0" t="str">
        <f aca="false">IF(M43&lt;&gt;"",M43,"")</f>
        <v/>
      </c>
    </row>
    <row r="47" customFormat="false" ht="15" hidden="false" customHeight="false" outlineLevel="0" collapsed="false">
      <c r="A47" s="5" t="s">
        <v>978</v>
      </c>
      <c r="B47" s="0" t="s">
        <v>1008</v>
      </c>
      <c r="C47" s="5" t="s">
        <v>47</v>
      </c>
      <c r="D47" s="0" t="n">
        <f aca="false">IF(D43&lt;&gt;"",2023,E47)</f>
        <v>2023</v>
      </c>
      <c r="E47" s="0" t="n">
        <f aca="false">IF(E43&lt;&gt;"",2024,F47)</f>
        <v>2024</v>
      </c>
      <c r="F47" s="0" t="n">
        <f aca="false">IF(F43&lt;&gt;"",2025,G47)</f>
        <v>2025</v>
      </c>
      <c r="G47" s="0" t="n">
        <f aca="false">IF(G43&lt;&gt;"",2026,H47)</f>
        <v>2026</v>
      </c>
      <c r="H47" s="0" t="str">
        <f aca="false">IF(H43&lt;&gt;"",2027,I47)</f>
        <v/>
      </c>
      <c r="I47" s="0" t="str">
        <f aca="false">IF(I43&lt;&gt;"",2028,J47)</f>
        <v/>
      </c>
      <c r="J47" s="0" t="str">
        <f aca="false">IF(J43&lt;&gt;"",2029,K47)</f>
        <v/>
      </c>
      <c r="K47" s="0" t="str">
        <f aca="false">IF(K43&lt;&gt;"",2030,L47)</f>
        <v/>
      </c>
      <c r="L47" s="0" t="str">
        <f aca="false">IF(L43&lt;&gt;"",2031,M47)</f>
        <v/>
      </c>
      <c r="M47" s="0" t="str">
        <f aca="false">IF(M43&lt;&gt;"",2032,"")</f>
        <v/>
      </c>
    </row>
    <row r="48" customFormat="false" ht="17.15" hidden="false" customHeight="false" outlineLevel="0" collapsed="false">
      <c r="A48" s="5" t="s">
        <v>980</v>
      </c>
      <c r="B48" s="0" t="s">
        <v>1009</v>
      </c>
      <c r="C48" s="0" t="s">
        <v>77</v>
      </c>
      <c r="D48" s="24" t="n">
        <f aca="false">SUMIFS(Pipeline!$L$5:$L$64,Pipeline!$C$5:$C$64,"googl",Pipeline!$Q$5:$Q$64,1,Pipeline!$P$5:$P$64,2023)</f>
        <v>0</v>
      </c>
      <c r="E48" s="24" t="n">
        <f aca="false">SUMIFS(Pipeline!$L$5:$L$64,Pipeline!$C$5:$C$64,"googl",Pipeline!$Q$5:$Q$64,1,Pipeline!$P$5:$P$64,2024)</f>
        <v>0</v>
      </c>
      <c r="F48" s="24" t="n">
        <f aca="false">SUMIFS(Pipeline!$L$5:$L$64,Pipeline!$C$5:$C$64,"googl",Pipeline!$Q$5:$Q$64,1,Pipeline!$P$5:$P$64,2025)</f>
        <v>0</v>
      </c>
      <c r="G48" s="24" t="n">
        <f aca="false">SUMIFS(Pipeline!$L$5:$L$64,Pipeline!$C$5:$C$64,"googl",Pipeline!$Q$5:$Q$64,1,Pipeline!$P$5:$P$64,2026)</f>
        <v>0</v>
      </c>
      <c r="H48" s="24" t="n">
        <f aca="false">SUMIFS(Pipeline!$L$5:$L$64,Pipeline!$C$5:$C$64,"googl",Pipeline!$Q$5:$Q$64,1,Pipeline!$P$5:$P$64,2027)</f>
        <v>0</v>
      </c>
      <c r="I48" s="24" t="n">
        <f aca="false">SUMIFS(Pipeline!$L$5:$L$64,Pipeline!$C$5:$C$64,"googl",Pipeline!$Q$5:$Q$64,1,Pipeline!$P$5:$P$64,2028)</f>
        <v>0</v>
      </c>
      <c r="J48" s="24" t="n">
        <f aca="false">SUMIFS(Pipeline!$L$5:$L$64,Pipeline!$C$5:$C$64,"googl",Pipeline!$Q$5:$Q$64,1,Pipeline!$P$5:$P$64,2029)</f>
        <v>0</v>
      </c>
      <c r="K48" s="24" t="n">
        <f aca="false">SUMIFS(Pipeline!$L$5:$L$64,Pipeline!$C$5:$C$64,"googl",Pipeline!$Q$5:$Q$64,1,Pipeline!$P$5:$P$64,2030)</f>
        <v>0</v>
      </c>
      <c r="L48" s="24" t="n">
        <f aca="false">SUMIFS(Pipeline!$L$5:$L$64,Pipeline!$C$5:$C$64,"googl",Pipeline!$Q$5:$Q$64,1,Pipeline!$P$5:$P$64,2031)</f>
        <v>0</v>
      </c>
      <c r="M48" s="24" t="n">
        <f aca="false">SUMIFS(Pipeline!$L$5:$L$64,Pipeline!$C$5:$C$64,"googl",Pipeline!$Q$5:$Q$64,1,Pipeline!$P$5:$P$64,2032)</f>
        <v>0</v>
      </c>
    </row>
    <row r="49" customFormat="false" ht="17.15" hidden="false" customHeight="false" outlineLevel="0" collapsed="false">
      <c r="A49" s="5" t="s">
        <v>982</v>
      </c>
      <c r="B49" s="0" t="s">
        <v>1010</v>
      </c>
      <c r="C49" s="0" t="s">
        <v>77</v>
      </c>
      <c r="D49" s="25" t="n">
        <f aca="false">IF(D43&lt;&gt;"",D43,IF(AND(D44&lt;&gt;"",D46&lt;&gt;""),D44+(D46-D44)*(2023-D45)/(D47-D45),""))</f>
        <v>0.560578355681972</v>
      </c>
      <c r="E49" s="25" t="n">
        <f aca="false">IF(E43&lt;&gt;"",E43,IF(AND(E44&lt;&gt;"",E46&lt;&gt;""),E44+(E46-E44)*(2024-E45)/(E47-E45),IF(D49&lt;&gt;"",D49+E48,"")))</f>
        <v>1.89038669917378</v>
      </c>
      <c r="F49" s="25" t="n">
        <f aca="false">IF(F43&lt;&gt;"",F43,IF(AND(F44&lt;&gt;"",F46&lt;&gt;""),F44+(F46-F44)*(2025-F45)/(F47-F45),IF(E49&lt;&gt;"",E49+F48,"")))</f>
        <v>4.3</v>
      </c>
      <c r="G49" s="25" t="n">
        <f aca="false">IF(G43&lt;&gt;"",G43,IF(AND(G44&lt;&gt;"",G46&lt;&gt;""),G44+(G46-G44)*(2026-G45)/(G47-G45),IF(F49&lt;&gt;"",F49+G48,"")))</f>
        <v>5.59267912772586</v>
      </c>
      <c r="H49" s="25" t="n">
        <f aca="false">IF(H43&lt;&gt;"",H43,IF(AND(H44&lt;&gt;"",H46&lt;&gt;""),H44+(H46-H44)*(2027-H45)/(H47-H45),IF(G49&lt;&gt;"",G49+H48,"")))</f>
        <v>5.59267912772586</v>
      </c>
      <c r="I49" s="25" t="n">
        <f aca="false">IF(I43&lt;&gt;"",I43,IF(AND(I44&lt;&gt;"",I46&lt;&gt;""),I44+(I46-I44)*(2028-I45)/(I47-I45),IF(H49&lt;&gt;"",H49+I48,"")))</f>
        <v>5.59267912772586</v>
      </c>
      <c r="J49" s="25" t="n">
        <f aca="false">IF(J43&lt;&gt;"",J43,IF(AND(J44&lt;&gt;"",J46&lt;&gt;""),J44+(J46-J44)*(2029-J45)/(J47-J45),IF(I49&lt;&gt;"",I49+J48,"")))</f>
        <v>5.59267912772586</v>
      </c>
      <c r="K49" s="25" t="n">
        <f aca="false">IF(K43&lt;&gt;"",K43,IF(AND(K44&lt;&gt;"",K46&lt;&gt;""),K44+(K46-K44)*(2030-K45)/(K47-K45),IF(J49&lt;&gt;"",J49+K48,"")))</f>
        <v>5.59267912772586</v>
      </c>
      <c r="L49" s="25" t="n">
        <f aca="false">IF(L43&lt;&gt;"",L43,IF(AND(L44&lt;&gt;"",L46&lt;&gt;""),L44+(L46-L44)*(2031-L45)/(L47-L45),IF(K49&lt;&gt;"",K49+L48,"")))</f>
        <v>5.59267912772586</v>
      </c>
      <c r="M49" s="25" t="n">
        <f aca="false">IF(M43&lt;&gt;"",M43,IF(AND(M44&lt;&gt;"",M46&lt;&gt;""),M44+(M46-M44)*(2032-M45)/(M47-M45),IF(L49&lt;&gt;"",L49+M48,"")))</f>
        <v>5.59267912772586</v>
      </c>
    </row>
    <row r="50" customFormat="false" ht="15" hidden="false" customHeight="false" outlineLevel="0" collapsed="false">
      <c r="A50" s="5" t="s">
        <v>984</v>
      </c>
      <c r="B50" s="0" t="s">
        <v>1011</v>
      </c>
      <c r="C50" s="0" t="s">
        <v>35</v>
      </c>
      <c r="D50" s="0" t="n">
        <f aca="false">IF(D41&lt;&gt;"",1,IF(D42&lt;&gt;"",5,IF(D43&lt;&gt;"",2,IF(AND(D44&lt;&gt;"",D46&lt;&gt;""),3,IF(D49&lt;&gt;"",4,0)))))</f>
        <v>5</v>
      </c>
      <c r="E50" s="0" t="n">
        <f aca="false">IF(E41&lt;&gt;"",1,IF(E42&lt;&gt;"",5,IF(E43&lt;&gt;"",2,IF(AND(E44&lt;&gt;"",E46&lt;&gt;""),3,IF(E49&lt;&gt;"",4,0)))))</f>
        <v>5</v>
      </c>
      <c r="F50" s="0" t="n">
        <f aca="false">IF(F41&lt;&gt;"",1,IF(F42&lt;&gt;"",5,IF(F43&lt;&gt;"",2,IF(AND(F44&lt;&gt;"",F46&lt;&gt;""),3,IF(F49&lt;&gt;"",4,0)))))</f>
        <v>5</v>
      </c>
      <c r="G50" s="0" t="n">
        <f aca="false">IF(G41&lt;&gt;"",1,IF(G42&lt;&gt;"",5,IF(G43&lt;&gt;"",2,IF(AND(G44&lt;&gt;"",G46&lt;&gt;""),3,IF(G49&lt;&gt;"",4,0)))))</f>
        <v>2</v>
      </c>
      <c r="H50" s="0" t="n">
        <f aca="false">IF(H41&lt;&gt;"",1,IF(H42&lt;&gt;"",5,IF(H43&lt;&gt;"",2,IF(AND(H44&lt;&gt;"",H46&lt;&gt;""),3,IF(H49&lt;&gt;"",4,0)))))</f>
        <v>4</v>
      </c>
      <c r="I50" s="0" t="n">
        <f aca="false">IF(I41&lt;&gt;"",1,IF(I42&lt;&gt;"",5,IF(I43&lt;&gt;"",2,IF(AND(I44&lt;&gt;"",I46&lt;&gt;""),3,IF(I49&lt;&gt;"",4,0)))))</f>
        <v>4</v>
      </c>
      <c r="J50" s="0" t="n">
        <f aca="false">IF(J41&lt;&gt;"",1,IF(J42&lt;&gt;"",5,IF(J43&lt;&gt;"",2,IF(AND(J44&lt;&gt;"",J46&lt;&gt;""),3,IF(J49&lt;&gt;"",4,0)))))</f>
        <v>4</v>
      </c>
      <c r="K50" s="0" t="n">
        <f aca="false">IF(K41&lt;&gt;"",1,IF(K42&lt;&gt;"",5,IF(K43&lt;&gt;"",2,IF(AND(K44&lt;&gt;"",K46&lt;&gt;""),3,IF(K49&lt;&gt;"",4,0)))))</f>
        <v>4</v>
      </c>
      <c r="L50" s="0" t="n">
        <f aca="false">IF(L41&lt;&gt;"",1,IF(L42&lt;&gt;"",5,IF(L43&lt;&gt;"",2,IF(AND(L44&lt;&gt;"",L46&lt;&gt;""),3,IF(L49&lt;&gt;"",4,0)))))</f>
        <v>4</v>
      </c>
      <c r="M50" s="0" t="n">
        <f aca="false">IF(M41&lt;&gt;"",1,IF(M42&lt;&gt;"",5,IF(M43&lt;&gt;"",2,IF(AND(M44&lt;&gt;"",M46&lt;&gt;""),3,IF(M49&lt;&gt;"",4,0)))))</f>
        <v>4</v>
      </c>
    </row>
    <row r="51" customFormat="false" ht="17.15" hidden="false" customHeight="false" outlineLevel="0" collapsed="false">
      <c r="A51" s="5" t="s">
        <v>986</v>
      </c>
      <c r="B51" s="0" t="s">
        <v>1012</v>
      </c>
      <c r="C51" s="0" t="s">
        <v>77</v>
      </c>
      <c r="D51" s="24" t="n">
        <f aca="false">IF(D49="","",IF(AND(D50=5,In!$H$102&lt;&gt;""),In!$H$102*Players!$E$15/1000,D49))</f>
        <v>0.508431531897603</v>
      </c>
      <c r="E51" s="24" t="n">
        <f aca="false">IF(E49="","",IF(AND(E50=5,In!$I$102&lt;&gt;""),In!$I$102*Players!$E$15/1000,E49))</f>
        <v>1.71453677366924</v>
      </c>
      <c r="F51" s="24" t="n">
        <f aca="false">IF(F49="","",IF(AND(F50=5,In!$J$102&lt;&gt;""),In!$J$102*Players!$E$15/1000,F49))</f>
        <v>3.9</v>
      </c>
      <c r="G51" s="24" t="n">
        <f aca="false">IF(G49="","",IF(AND(G50=5,In!$K$102&lt;&gt;""),In!$K$102*Players!$E$15/1000,G49))</f>
        <v>5.59267912772586</v>
      </c>
      <c r="H51" s="24" t="n">
        <f aca="false">IF(H49="","",IF(AND(H50=5,In!$L$102&lt;&gt;""),In!$L$102*Players!$E$15/1000,H49))</f>
        <v>5.59267912772586</v>
      </c>
      <c r="I51" s="24" t="n">
        <f aca="false">IF(I49="","",IF(AND(I50=5,In!$M$102&lt;&gt;""),In!$M$102*Players!$E$15/1000,I49))</f>
        <v>5.59267912772586</v>
      </c>
      <c r="J51" s="24" t="n">
        <f aca="false">IF(J49="","",IF(AND(J50=5,In!$N$102&lt;&gt;""),In!$N$102*Players!$E$15/1000,J49))</f>
        <v>5.59267912772586</v>
      </c>
      <c r="K51" s="24" t="n">
        <f aca="false">IF(K49="","",IF(AND(K50=5,In!$O$102&lt;&gt;""),In!$O$102*Players!$E$15/1000,K49))</f>
        <v>5.59267912772586</v>
      </c>
      <c r="L51" s="24" t="n">
        <f aca="false">IF(L49="","",IF(AND(L50=5,In!$P$102&lt;&gt;""),In!$P$102*Players!$E$15/1000,L49))</f>
        <v>5.59267912772586</v>
      </c>
      <c r="M51" s="24" t="n">
        <f aca="false">IF(M49="","",IF(AND(M50=5,In!$Q$102&lt;&gt;""),In!$Q$102*Players!$E$15/1000,M49))</f>
        <v>5.59267912772586</v>
      </c>
    </row>
    <row r="52" customFormat="false" ht="17.15" hidden="false" customHeight="false" outlineLevel="0" collapsed="false">
      <c r="A52" s="5" t="s">
        <v>988</v>
      </c>
      <c r="B52" s="0" t="s">
        <v>1013</v>
      </c>
      <c r="C52" s="0" t="s">
        <v>77</v>
      </c>
      <c r="D52" s="24" t="n">
        <f aca="false">IF(D49="","",IF(AND(D50=5,In!$H$102&lt;&gt;""),In!$H$102*Players!$F$15/1000,D49))</f>
        <v>0.638798591358527</v>
      </c>
      <c r="E52" s="24" t="n">
        <f aca="false">IF(E49="","",IF(AND(E50=5,In!$I$102&lt;&gt;""),In!$I$102*Players!$F$15/1000,E49))</f>
        <v>2.15416158743058</v>
      </c>
      <c r="F52" s="24" t="n">
        <f aca="false">IF(F49="","",IF(AND(F50=5,In!$J$102&lt;&gt;""),In!$J$102*Players!$F$15/1000,F49))</f>
        <v>4.9</v>
      </c>
      <c r="G52" s="24" t="n">
        <f aca="false">IF(G49="","",IF(AND(G50=5,In!$K$102&lt;&gt;""),In!$K$102*Players!$F$15/1000,G49))</f>
        <v>5.59267912772586</v>
      </c>
      <c r="H52" s="24" t="n">
        <f aca="false">IF(H49="","",IF(AND(H50=5,In!$L$102&lt;&gt;""),In!$L$102*Players!$F$15/1000,H49))</f>
        <v>5.59267912772586</v>
      </c>
      <c r="I52" s="24" t="n">
        <f aca="false">IF(I49="","",IF(AND(I50=5,In!$M$102&lt;&gt;""),In!$M$102*Players!$F$15/1000,I49))</f>
        <v>5.59267912772586</v>
      </c>
      <c r="J52" s="24" t="n">
        <f aca="false">IF(J49="","",IF(AND(J50=5,In!$N$102&lt;&gt;""),In!$N$102*Players!$F$15/1000,J49))</f>
        <v>5.59267912772586</v>
      </c>
      <c r="K52" s="24" t="n">
        <f aca="false">IF(K49="","",IF(AND(K50=5,In!$O$102&lt;&gt;""),In!$O$102*Players!$F$15/1000,K49))</f>
        <v>5.59267912772586</v>
      </c>
      <c r="L52" s="24" t="n">
        <f aca="false">IF(L49="","",IF(AND(L50=5,In!$P$102&lt;&gt;""),In!$P$102*Players!$F$15/1000,L49))</f>
        <v>5.59267912772586</v>
      </c>
      <c r="M52" s="24" t="n">
        <f aca="false">IF(M49="","",IF(AND(M50=5,In!$Q$102&lt;&gt;""),In!$Q$102*Players!$F$15/1000,M49))</f>
        <v>5.59267912772586</v>
      </c>
    </row>
    <row r="53" customFormat="false" ht="17.15" hidden="false" customHeight="false" outlineLevel="0" collapsed="false">
      <c r="A53" s="5" t="s">
        <v>990</v>
      </c>
      <c r="B53" s="0" t="s">
        <v>1014</v>
      </c>
      <c r="C53" s="0" t="s">
        <v>77</v>
      </c>
      <c r="D53" s="24" t="n">
        <f aca="false">IF(D49="","",IF(In!$C$109="未說明",D49/D$13,D49))</f>
        <v>0.560578355681972</v>
      </c>
      <c r="E53" s="24" t="n">
        <f aca="false">IF(E49="","",IF(In!$C$109="未說明",E49/E$13,E49))</f>
        <v>1.89038669917378</v>
      </c>
      <c r="F53" s="24" t="n">
        <f aca="false">IF(F49="","",IF(In!$C$109="未說明",F49/F$13,F49))</f>
        <v>4.3</v>
      </c>
      <c r="G53" s="24" t="n">
        <f aca="false">IF(G49="","",IF(In!$C$109="未說明",G49/G$13,G49))</f>
        <v>5.59267912772586</v>
      </c>
      <c r="H53" s="24" t="n">
        <f aca="false">IF(H49="","",IF(In!$C$109="未說明",H49/H$13,H49))</f>
        <v>5.59267912772586</v>
      </c>
      <c r="I53" s="24" t="n">
        <f aca="false">IF(I49="","",IF(In!$C$109="未說明",I49/I$13,I49))</f>
        <v>5.59267912772586</v>
      </c>
      <c r="J53" s="24" t="n">
        <f aca="false">IF(J49="","",IF(In!$C$109="未說明",J49/J$13,J49))</f>
        <v>5.59267912772586</v>
      </c>
      <c r="K53" s="24" t="n">
        <f aca="false">IF(K49="","",IF(In!$C$109="未說明",K49/K$13,K49))</f>
        <v>5.59267912772586</v>
      </c>
      <c r="L53" s="24" t="n">
        <f aca="false">IF(L49="","",IF(In!$C$109="未說明",L49/L$13,L49))</f>
        <v>5.59267912772586</v>
      </c>
      <c r="M53" s="24" t="n">
        <f aca="false">IF(M49="","",IF(In!$C$109="未說明",M49/M$13,M49))</f>
        <v>5.59267912772586</v>
      </c>
    </row>
    <row r="54" customFormat="false" ht="17.15" hidden="false" customHeight="false" outlineLevel="0" collapsed="false">
      <c r="A54" s="5" t="s">
        <v>992</v>
      </c>
      <c r="B54" s="0" t="s">
        <v>1015</v>
      </c>
      <c r="C54" s="0" t="s">
        <v>77</v>
      </c>
      <c r="D54" s="0" t="str">
        <f aca="false">""</f>
        <v/>
      </c>
      <c r="E54" s="24" t="n">
        <f aca="false">IF(AND(D49&lt;&gt;"",E49&lt;&gt;""),(D49+E49)/2,"")</f>
        <v>1.22548252742788</v>
      </c>
      <c r="F54" s="24" t="n">
        <f aca="false">IF(AND(E49&lt;&gt;"",F49&lt;&gt;""),(E49+F49)/2,"")</f>
        <v>3.09519334958689</v>
      </c>
      <c r="G54" s="24" t="n">
        <f aca="false">IF(AND(F49&lt;&gt;"",G49&lt;&gt;""),(F49+G49)/2,"")</f>
        <v>4.94633956386293</v>
      </c>
      <c r="H54" s="24" t="n">
        <f aca="false">IF(AND(G49&lt;&gt;"",H49&lt;&gt;""),(G49+H49)/2,"")</f>
        <v>5.59267912772586</v>
      </c>
      <c r="I54" s="24" t="n">
        <f aca="false">IF(AND(H49&lt;&gt;"",I49&lt;&gt;""),(H49+I49)/2,"")</f>
        <v>5.59267912772586</v>
      </c>
      <c r="J54" s="24" t="n">
        <f aca="false">IF(AND(I49&lt;&gt;"",J49&lt;&gt;""),(I49+J49)/2,"")</f>
        <v>5.59267912772586</v>
      </c>
      <c r="K54" s="24" t="n">
        <f aca="false">IF(AND(J49&lt;&gt;"",K49&lt;&gt;""),(J49+K49)/2,"")</f>
        <v>5.59267912772586</v>
      </c>
      <c r="L54" s="24" t="n">
        <f aca="false">IF(AND(K49&lt;&gt;"",L49&lt;&gt;""),(K49+L49)/2,"")</f>
        <v>5.59267912772586</v>
      </c>
      <c r="M54" s="24" t="n">
        <f aca="false">IF(AND(L49&lt;&gt;"",M49&lt;&gt;""),(L49+M49)/2,"")</f>
        <v>5.59267912772586</v>
      </c>
    </row>
    <row r="55" customFormat="false" ht="17.15" hidden="false" customHeight="false" outlineLevel="0" collapsed="false">
      <c r="A55" s="5" t="s">
        <v>994</v>
      </c>
      <c r="B55" s="0" t="s">
        <v>1016</v>
      </c>
      <c r="C55" s="0" t="s">
        <v>77</v>
      </c>
      <c r="D55" s="0" t="n">
        <v>0</v>
      </c>
      <c r="E55" s="24" t="n">
        <f aca="false">IF(AND(D49&lt;&gt;"",E49&lt;&gt;""),E49-D49,0)</f>
        <v>1.32980834349181</v>
      </c>
      <c r="F55" s="24" t="n">
        <f aca="false">IF(AND(E49&lt;&gt;"",F49&lt;&gt;""),F49-E49,0)</f>
        <v>2.40961330082622</v>
      </c>
      <c r="G55" s="24" t="n">
        <f aca="false">IF(AND(F49&lt;&gt;"",G49&lt;&gt;""),G49-F49,0)</f>
        <v>1.29267912772586</v>
      </c>
      <c r="H55" s="24" t="n">
        <f aca="false">IF(AND(G49&lt;&gt;"",H49&lt;&gt;""),H49-G49,0)</f>
        <v>0</v>
      </c>
      <c r="I55" s="24" t="n">
        <f aca="false">IF(AND(H49&lt;&gt;"",I49&lt;&gt;""),I49-H49,0)</f>
        <v>0</v>
      </c>
      <c r="J55" s="24" t="n">
        <f aca="false">IF(AND(I49&lt;&gt;"",J49&lt;&gt;""),J49-I49,0)</f>
        <v>0</v>
      </c>
      <c r="K55" s="24" t="n">
        <f aca="false">IF(AND(J49&lt;&gt;"",K49&lt;&gt;""),K49-J49,0)</f>
        <v>0</v>
      </c>
      <c r="L55" s="24" t="n">
        <f aca="false">IF(AND(K49&lt;&gt;"",L49&lt;&gt;""),L49-K49,0)</f>
        <v>0</v>
      </c>
      <c r="M55" s="24" t="n">
        <f aca="false">IF(AND(L49&lt;&gt;"",M49&lt;&gt;""),M49-L49,0)</f>
        <v>0</v>
      </c>
    </row>
    <row r="56" customFormat="false" ht="17.15" hidden="false" customHeight="false" outlineLevel="0" collapsed="false">
      <c r="A56" s="5" t="s">
        <v>996</v>
      </c>
      <c r="B56" s="0" t="s">
        <v>1017</v>
      </c>
      <c r="C56" s="0" t="s">
        <v>77</v>
      </c>
      <c r="D56" s="24" t="n">
        <f aca="false">IF(D49&lt;&gt;"",D49,0)</f>
        <v>0.560578355681972</v>
      </c>
      <c r="E56" s="24" t="n">
        <f aca="false">IF(AND(D49="",E49&lt;&gt;""),E49,0)</f>
        <v>0</v>
      </c>
      <c r="F56" s="24" t="n">
        <f aca="false">IF(AND(E49="",F49&lt;&gt;""),F49,0)</f>
        <v>0</v>
      </c>
      <c r="G56" s="24" t="n">
        <f aca="false">IF(AND(F49="",G49&lt;&gt;""),G49,0)</f>
        <v>0</v>
      </c>
      <c r="H56" s="24" t="n">
        <f aca="false">IF(AND(G49="",H49&lt;&gt;""),H49,0)</f>
        <v>0</v>
      </c>
      <c r="I56" s="24" t="n">
        <f aca="false">IF(AND(H49="",I49&lt;&gt;""),I49,0)</f>
        <v>0</v>
      </c>
      <c r="J56" s="24" t="n">
        <f aca="false">IF(AND(I49="",J49&lt;&gt;""),J49,0)</f>
        <v>0</v>
      </c>
      <c r="K56" s="24" t="n">
        <f aca="false">IF(AND(J49="",K49&lt;&gt;""),K49,0)</f>
        <v>0</v>
      </c>
      <c r="L56" s="24" t="n">
        <f aca="false">IF(AND(K49="",L49&lt;&gt;""),L49,0)</f>
        <v>0</v>
      </c>
      <c r="M56" s="24" t="n">
        <f aca="false">IF(AND(L49="",M49&lt;&gt;""),M49,0)</f>
        <v>0</v>
      </c>
    </row>
    <row r="57" customFormat="false" ht="17.15" hidden="false" customHeight="false" outlineLevel="0" collapsed="false">
      <c r="A57" s="5" t="s">
        <v>998</v>
      </c>
      <c r="B57" s="0" t="s">
        <v>1018</v>
      </c>
      <c r="C57" s="0" t="s">
        <v>52</v>
      </c>
      <c r="D57" s="23" t="n">
        <f aca="false">nnv_googl</f>
        <v>0.753</v>
      </c>
      <c r="E57" s="23" t="n">
        <f aca="false">nnv_googl</f>
        <v>0.753</v>
      </c>
      <c r="F57" s="23" t="n">
        <f aca="false">nnv_googl</f>
        <v>0.753</v>
      </c>
      <c r="G57" s="23" t="n">
        <f aca="false">nnv_googl</f>
        <v>0.753</v>
      </c>
      <c r="H57" s="23" t="n">
        <f aca="false">nnv_googl</f>
        <v>0.753</v>
      </c>
      <c r="I57" s="23" t="n">
        <f aca="false">nnv_googl</f>
        <v>0.753</v>
      </c>
      <c r="J57" s="23" t="n">
        <f aca="false">nnv_googl</f>
        <v>0.753</v>
      </c>
      <c r="K57" s="23" t="n">
        <f aca="false">nnv_googl</f>
        <v>0.753</v>
      </c>
      <c r="L57" s="23" t="n">
        <f aca="false">nnv_googl</f>
        <v>0.753</v>
      </c>
      <c r="M57" s="23" t="n">
        <f aca="false">nnv_googl</f>
        <v>0.753</v>
      </c>
    </row>
    <row r="59" customFormat="false" ht="17.15" hidden="false" customHeight="false" outlineLevel="0" collapsed="false">
      <c r="A59" s="8" t="s">
        <v>1019</v>
      </c>
      <c r="B59" s="20" t="s">
        <v>519</v>
      </c>
      <c r="N59" s="20" t="s">
        <v>1020</v>
      </c>
    </row>
    <row r="60" customFormat="false" ht="17.15" hidden="false" customHeight="false" outlineLevel="0" collapsed="false">
      <c r="A60" s="5" t="s">
        <v>966</v>
      </c>
      <c r="B60" s="0" t="s">
        <v>1021</v>
      </c>
      <c r="C60" s="0" t="s">
        <v>77</v>
      </c>
      <c r="D60" s="24" t="str">
        <f aca="false">IF(In!$H$110="","",IF(In!$C$110="設施",In!$H$110/1000/D$13,In!$H$110/1000))</f>
        <v/>
      </c>
      <c r="E60" s="24" t="str">
        <f aca="false">IF(In!$I$110="","",IF(In!$C$110="設施",In!$I$110/1000/E$13,In!$I$110/1000))</f>
        <v/>
      </c>
      <c r="F60" s="24" t="str">
        <f aca="false">IF(In!$J$110="","",IF(In!$C$110="設施",In!$J$110/1000/F$13,In!$J$110/1000))</f>
        <v/>
      </c>
      <c r="G60" s="24" t="str">
        <f aca="false">IF(In!$K$110="","",IF(In!$C$110="設施",In!$K$110/1000/G$13,In!$K$110/1000))</f>
        <v/>
      </c>
      <c r="H60" s="24" t="str">
        <f aca="false">IF(In!$L$110="","",IF(In!$C$110="設施",In!$L$110/1000/H$13,In!$L$110/1000))</f>
        <v/>
      </c>
      <c r="I60" s="24" t="str">
        <f aca="false">IF(In!$M$110="","",IF(In!$C$110="設施",In!$M$110/1000/I$13,In!$M$110/1000))</f>
        <v/>
      </c>
      <c r="J60" s="24" t="str">
        <f aca="false">IF(In!$N$110="","",IF(In!$C$110="設施",In!$N$110/1000/J$13,In!$N$110/1000))</f>
        <v/>
      </c>
      <c r="K60" s="24" t="str">
        <f aca="false">IF(In!$O$110="","",IF(In!$C$110="設施",In!$O$110/1000/K$13,In!$O$110/1000))</f>
        <v/>
      </c>
      <c r="L60" s="24" t="str">
        <f aca="false">IF(In!$P$110="","",IF(In!$C$110="設施",In!$P$110/1000/L$13,In!$P$110/1000))</f>
        <v/>
      </c>
      <c r="M60" s="24" t="str">
        <f aca="false">IF(In!$Q$110="","",IF(In!$C$110="設施",In!$Q$110/1000/M$13,In!$Q$110/1000))</f>
        <v/>
      </c>
    </row>
    <row r="61" customFormat="false" ht="17.15" hidden="false" customHeight="false" outlineLevel="0" collapsed="false">
      <c r="A61" s="5" t="s">
        <v>968</v>
      </c>
      <c r="B61" s="0" t="s">
        <v>1022</v>
      </c>
      <c r="C61" s="0" t="s">
        <v>77</v>
      </c>
      <c r="D61" s="24" t="str">
        <f aca="false">IF(In!$H$103="","",In!$H$103*Players!$D$16/1000)</f>
        <v/>
      </c>
      <c r="E61" s="24" t="n">
        <f aca="false">IF(In!$I$103="","",In!$I$103*Players!$D$16/1000)</f>
        <v>0.810284005979073</v>
      </c>
      <c r="F61" s="24" t="n">
        <f aca="false">IF(In!$J$103="","",In!$J$103*Players!$D$16/1000)</f>
        <v>2.2</v>
      </c>
      <c r="G61" s="24" t="str">
        <f aca="false">IF(In!$K$103="","",In!$K$103*Players!$D$16/1000)</f>
        <v/>
      </c>
      <c r="H61" s="24" t="str">
        <f aca="false">IF(In!$L$103="","",In!$L$103*Players!$D$16/1000)</f>
        <v/>
      </c>
      <c r="I61" s="24" t="str">
        <f aca="false">IF(In!$M$103="","",In!$M$103*Players!$D$16/1000)</f>
        <v/>
      </c>
      <c r="J61" s="24" t="str">
        <f aca="false">IF(In!$N$103="","",In!$N$103*Players!$D$16/1000)</f>
        <v/>
      </c>
      <c r="K61" s="24" t="str">
        <f aca="false">IF(In!$O$103="","",In!$O$103*Players!$D$16/1000)</f>
        <v/>
      </c>
      <c r="L61" s="24" t="str">
        <f aca="false">IF(In!$P$103="","",In!$P$103*Players!$D$16/1000)</f>
        <v/>
      </c>
      <c r="M61" s="24" t="str">
        <f aca="false">IF(In!$Q$103="","",In!$Q$103*Players!$D$16/1000)</f>
        <v/>
      </c>
    </row>
    <row r="62" customFormat="false" ht="15" hidden="false" customHeight="false" outlineLevel="0" collapsed="false">
      <c r="A62" s="5" t="s">
        <v>970</v>
      </c>
      <c r="B62" s="0" t="s">
        <v>1023</v>
      </c>
      <c r="C62" s="0" t="s">
        <v>77</v>
      </c>
      <c r="D62" s="24" t="str">
        <f aca="false">IF(D60&lt;&gt;"",D60,IF(D61&lt;&gt;"",D61,IF(INT(obsd_amzn)=2023,obs_amzn/1000+SUMIFS(Pipeline!$L$5:$L$64,Pipeline!$C$5:$C$64,"amzn",Pipeline!$Q$5:$Q$64,1,Pipeline!$K$5:$K$64,"&gt;"&amp;obsd_amzn,Pipeline!$K$5:$K$64,"&lt;="&amp;2024),"")))</f>
        <v/>
      </c>
      <c r="E62" s="24" t="n">
        <f aca="false">IF(E60&lt;&gt;"",E60,IF(E61&lt;&gt;"",E61,IF(INT(obsd_amzn)=2024,obs_amzn/1000+SUMIFS(Pipeline!$L$5:$L$64,Pipeline!$C$5:$C$64,"amzn",Pipeline!$Q$5:$Q$64,1,Pipeline!$K$5:$K$64,"&gt;"&amp;obsd_amzn,Pipeline!$K$5:$K$64,"&lt;="&amp;2025),"")))</f>
        <v>0.810284005979073</v>
      </c>
      <c r="F62" s="24" t="n">
        <f aca="false">IF(F60&lt;&gt;"",F60,IF(F61&lt;&gt;"",F61,IF(INT(obsd_amzn)=2025,obs_amzn/1000+SUMIFS(Pipeline!$L$5:$L$64,Pipeline!$C$5:$C$64,"amzn",Pipeline!$Q$5:$Q$64,1,Pipeline!$K$5:$K$64,"&gt;"&amp;obsd_amzn,Pipeline!$K$5:$K$64,"&lt;="&amp;2026),"")))</f>
        <v>2.2</v>
      </c>
      <c r="G62" s="24" t="n">
        <f aca="false">IF(G60&lt;&gt;"",G60,IF(G61&lt;&gt;"",G61,IF(INT(obsd_amzn)=2026,obs_amzn/1000+SUMIFS(Pipeline!$L$5:$L$64,Pipeline!$C$5:$C$64,"amzn",Pipeline!$Q$5:$Q$64,1,Pipeline!$K$5:$K$64,"&gt;"&amp;obsd_amzn,Pipeline!$K$5:$K$64,"&lt;="&amp;2027),"")))</f>
        <v>2.727</v>
      </c>
      <c r="H62" s="24" t="str">
        <f aca="false">IF(H60&lt;&gt;"",H60,IF(H61&lt;&gt;"",H61,IF(INT(obsd_amzn)=2027,obs_amzn/1000+SUMIFS(Pipeline!$L$5:$L$64,Pipeline!$C$5:$C$64,"amzn",Pipeline!$Q$5:$Q$64,1,Pipeline!$K$5:$K$64,"&gt;"&amp;obsd_amzn,Pipeline!$K$5:$K$64,"&lt;="&amp;2028),"")))</f>
        <v/>
      </c>
      <c r="I62" s="24" t="str">
        <f aca="false">IF(I60&lt;&gt;"",I60,IF(I61&lt;&gt;"",I61,IF(INT(obsd_amzn)=2028,obs_amzn/1000+SUMIFS(Pipeline!$L$5:$L$64,Pipeline!$C$5:$C$64,"amzn",Pipeline!$Q$5:$Q$64,1,Pipeline!$K$5:$K$64,"&gt;"&amp;obsd_amzn,Pipeline!$K$5:$K$64,"&lt;="&amp;2029),"")))</f>
        <v/>
      </c>
      <c r="J62" s="24" t="str">
        <f aca="false">IF(J60&lt;&gt;"",J60,IF(J61&lt;&gt;"",J61,IF(INT(obsd_amzn)=2029,obs_amzn/1000+SUMIFS(Pipeline!$L$5:$L$64,Pipeline!$C$5:$C$64,"amzn",Pipeline!$Q$5:$Q$64,1,Pipeline!$K$5:$K$64,"&gt;"&amp;obsd_amzn,Pipeline!$K$5:$K$64,"&lt;="&amp;2030),"")))</f>
        <v/>
      </c>
      <c r="K62" s="24" t="str">
        <f aca="false">IF(K60&lt;&gt;"",K60,IF(K61&lt;&gt;"",K61,IF(INT(obsd_amzn)=2030,obs_amzn/1000+SUMIFS(Pipeline!$L$5:$L$64,Pipeline!$C$5:$C$64,"amzn",Pipeline!$Q$5:$Q$64,1,Pipeline!$K$5:$K$64,"&gt;"&amp;obsd_amzn,Pipeline!$K$5:$K$64,"&lt;="&amp;2031),"")))</f>
        <v/>
      </c>
      <c r="L62" s="24" t="str">
        <f aca="false">IF(L60&lt;&gt;"",L60,IF(L61&lt;&gt;"",L61,IF(INT(obsd_amzn)=2031,obs_amzn/1000+SUMIFS(Pipeline!$L$5:$L$64,Pipeline!$C$5:$C$64,"amzn",Pipeline!$Q$5:$Q$64,1,Pipeline!$K$5:$K$64,"&gt;"&amp;obsd_amzn,Pipeline!$K$5:$K$64,"&lt;="&amp;2032),"")))</f>
        <v/>
      </c>
      <c r="M62" s="24" t="str">
        <f aca="false">IF(M60&lt;&gt;"",M60,IF(M61&lt;&gt;"",M61,IF(INT(obsd_amzn)=2032,obs_amzn/1000+SUMIFS(Pipeline!$L$5:$L$64,Pipeline!$C$5:$C$64,"amzn",Pipeline!$Q$5:$Q$64,1,Pipeline!$K$5:$K$64,"&gt;"&amp;obsd_amzn,Pipeline!$K$5:$K$64,"&lt;="&amp;2033),"")))</f>
        <v/>
      </c>
    </row>
    <row r="63" customFormat="false" ht="15" hidden="false" customHeight="false" outlineLevel="0" collapsed="false">
      <c r="A63" s="5" t="s">
        <v>972</v>
      </c>
      <c r="B63" s="0" t="s">
        <v>1024</v>
      </c>
      <c r="C63" s="0" t="s">
        <v>77</v>
      </c>
      <c r="D63" s="0" t="str">
        <f aca="false">IF(D62&lt;&gt;"",D62,"")</f>
        <v/>
      </c>
      <c r="E63" s="24" t="n">
        <f aca="false">IF(E62&lt;&gt;"",E62,D63)</f>
        <v>0.810284005979073</v>
      </c>
      <c r="F63" s="24" t="n">
        <f aca="false">IF(F62&lt;&gt;"",F62,E63)</f>
        <v>2.2</v>
      </c>
      <c r="G63" s="24" t="n">
        <f aca="false">IF(G62&lt;&gt;"",G62,F63)</f>
        <v>2.727</v>
      </c>
      <c r="H63" s="24" t="n">
        <f aca="false">IF(H62&lt;&gt;"",H62,G63)</f>
        <v>2.727</v>
      </c>
      <c r="I63" s="24" t="n">
        <f aca="false">IF(I62&lt;&gt;"",I62,H63)</f>
        <v>2.727</v>
      </c>
      <c r="J63" s="24" t="n">
        <f aca="false">IF(J62&lt;&gt;"",J62,I63)</f>
        <v>2.727</v>
      </c>
      <c r="K63" s="24" t="n">
        <f aca="false">IF(K62&lt;&gt;"",K62,J63)</f>
        <v>2.727</v>
      </c>
      <c r="L63" s="24" t="n">
        <f aca="false">IF(L62&lt;&gt;"",L62,K63)</f>
        <v>2.727</v>
      </c>
      <c r="M63" s="24" t="n">
        <f aca="false">IF(M62&lt;&gt;"",M62,L63)</f>
        <v>2.727</v>
      </c>
    </row>
    <row r="64" customFormat="false" ht="15" hidden="false" customHeight="false" outlineLevel="0" collapsed="false">
      <c r="A64" s="5" t="s">
        <v>974</v>
      </c>
      <c r="B64" s="0" t="s">
        <v>1025</v>
      </c>
      <c r="C64" s="5" t="s">
        <v>47</v>
      </c>
      <c r="D64" s="0" t="str">
        <f aca="false">IF(D62&lt;&gt;"",2023,"")</f>
        <v/>
      </c>
      <c r="E64" s="0" t="n">
        <f aca="false">IF(E62&lt;&gt;"",2024,D64)</f>
        <v>2024</v>
      </c>
      <c r="F64" s="0" t="n">
        <f aca="false">IF(F62&lt;&gt;"",2025,E64)</f>
        <v>2025</v>
      </c>
      <c r="G64" s="0" t="n">
        <f aca="false">IF(G62&lt;&gt;"",2026,F64)</f>
        <v>2026</v>
      </c>
      <c r="H64" s="0" t="n">
        <f aca="false">IF(H62&lt;&gt;"",2027,G64)</f>
        <v>2026</v>
      </c>
      <c r="I64" s="0" t="n">
        <f aca="false">IF(I62&lt;&gt;"",2028,H64)</f>
        <v>2026</v>
      </c>
      <c r="J64" s="0" t="n">
        <f aca="false">IF(J62&lt;&gt;"",2029,I64)</f>
        <v>2026</v>
      </c>
      <c r="K64" s="0" t="n">
        <f aca="false">IF(K62&lt;&gt;"",2030,J64)</f>
        <v>2026</v>
      </c>
      <c r="L64" s="0" t="n">
        <f aca="false">IF(L62&lt;&gt;"",2031,K64)</f>
        <v>2026</v>
      </c>
      <c r="M64" s="0" t="n">
        <f aca="false">IF(M62&lt;&gt;"",2032,L64)</f>
        <v>2026</v>
      </c>
    </row>
    <row r="65" customFormat="false" ht="15" hidden="false" customHeight="false" outlineLevel="0" collapsed="false">
      <c r="A65" s="5" t="s">
        <v>976</v>
      </c>
      <c r="B65" s="0" t="s">
        <v>1026</v>
      </c>
      <c r="C65" s="0" t="s">
        <v>77</v>
      </c>
      <c r="D65" s="24" t="n">
        <f aca="false">IF(D62&lt;&gt;"",D62,E65)</f>
        <v>0.810284005979073</v>
      </c>
      <c r="E65" s="24" t="n">
        <f aca="false">IF(E62&lt;&gt;"",E62,F65)</f>
        <v>0.810284005979073</v>
      </c>
      <c r="F65" s="24" t="n">
        <f aca="false">IF(F62&lt;&gt;"",F62,G65)</f>
        <v>2.2</v>
      </c>
      <c r="G65" s="24" t="n">
        <f aca="false">IF(G62&lt;&gt;"",G62,H65)</f>
        <v>2.727</v>
      </c>
      <c r="H65" s="0" t="str">
        <f aca="false">IF(H62&lt;&gt;"",H62,I65)</f>
        <v/>
      </c>
      <c r="I65" s="0" t="str">
        <f aca="false">IF(I62&lt;&gt;"",I62,J65)</f>
        <v/>
      </c>
      <c r="J65" s="0" t="str">
        <f aca="false">IF(J62&lt;&gt;"",J62,K65)</f>
        <v/>
      </c>
      <c r="K65" s="0" t="str">
        <f aca="false">IF(K62&lt;&gt;"",K62,L65)</f>
        <v/>
      </c>
      <c r="L65" s="0" t="str">
        <f aca="false">IF(L62&lt;&gt;"",L62,M65)</f>
        <v/>
      </c>
      <c r="M65" s="0" t="str">
        <f aca="false">IF(M62&lt;&gt;"",M62,"")</f>
        <v/>
      </c>
    </row>
    <row r="66" customFormat="false" ht="15" hidden="false" customHeight="false" outlineLevel="0" collapsed="false">
      <c r="A66" s="5" t="s">
        <v>978</v>
      </c>
      <c r="B66" s="0" t="s">
        <v>1027</v>
      </c>
      <c r="C66" s="5" t="s">
        <v>47</v>
      </c>
      <c r="D66" s="0" t="n">
        <f aca="false">IF(D62&lt;&gt;"",2023,E66)</f>
        <v>2024</v>
      </c>
      <c r="E66" s="0" t="n">
        <f aca="false">IF(E62&lt;&gt;"",2024,F66)</f>
        <v>2024</v>
      </c>
      <c r="F66" s="0" t="n">
        <f aca="false">IF(F62&lt;&gt;"",2025,G66)</f>
        <v>2025</v>
      </c>
      <c r="G66" s="0" t="n">
        <f aca="false">IF(G62&lt;&gt;"",2026,H66)</f>
        <v>2026</v>
      </c>
      <c r="H66" s="0" t="str">
        <f aca="false">IF(H62&lt;&gt;"",2027,I66)</f>
        <v/>
      </c>
      <c r="I66" s="0" t="str">
        <f aca="false">IF(I62&lt;&gt;"",2028,J66)</f>
        <v/>
      </c>
      <c r="J66" s="0" t="str">
        <f aca="false">IF(J62&lt;&gt;"",2029,K66)</f>
        <v/>
      </c>
      <c r="K66" s="0" t="str">
        <f aca="false">IF(K62&lt;&gt;"",2030,L66)</f>
        <v/>
      </c>
      <c r="L66" s="0" t="str">
        <f aca="false">IF(L62&lt;&gt;"",2031,M66)</f>
        <v/>
      </c>
      <c r="M66" s="0" t="str">
        <f aca="false">IF(M62&lt;&gt;"",2032,"")</f>
        <v/>
      </c>
    </row>
    <row r="67" customFormat="false" ht="17.15" hidden="false" customHeight="false" outlineLevel="0" collapsed="false">
      <c r="A67" s="5" t="s">
        <v>980</v>
      </c>
      <c r="B67" s="0" t="s">
        <v>1028</v>
      </c>
      <c r="C67" s="0" t="s">
        <v>77</v>
      </c>
      <c r="D67" s="24" t="n">
        <f aca="false">SUMIFS(Pipeline!$L$5:$L$64,Pipeline!$C$5:$C$64,"amzn",Pipeline!$Q$5:$Q$64,1,Pipeline!$P$5:$P$64,2023)</f>
        <v>0</v>
      </c>
      <c r="E67" s="24" t="n">
        <f aca="false">SUMIFS(Pipeline!$L$5:$L$64,Pipeline!$C$5:$C$64,"amzn",Pipeline!$Q$5:$Q$64,1,Pipeline!$P$5:$P$64,2024)</f>
        <v>0</v>
      </c>
      <c r="F67" s="24" t="n">
        <f aca="false">SUMIFS(Pipeline!$L$5:$L$64,Pipeline!$C$5:$C$64,"amzn",Pipeline!$Q$5:$Q$64,1,Pipeline!$P$5:$P$64,2025)</f>
        <v>0</v>
      </c>
      <c r="G67" s="24" t="n">
        <f aca="false">SUMIFS(Pipeline!$L$5:$L$64,Pipeline!$C$5:$C$64,"amzn",Pipeline!$Q$5:$Q$64,1,Pipeline!$P$5:$P$64,2026)</f>
        <v>0.127</v>
      </c>
      <c r="H67" s="24" t="n">
        <f aca="false">SUMIFS(Pipeline!$L$5:$L$64,Pipeline!$C$5:$C$64,"amzn",Pipeline!$Q$5:$Q$64,1,Pipeline!$P$5:$P$64,2027)</f>
        <v>0.041</v>
      </c>
      <c r="I67" s="24" t="n">
        <f aca="false">SUMIFS(Pipeline!$L$5:$L$64,Pipeline!$C$5:$C$64,"amzn",Pipeline!$Q$5:$Q$64,1,Pipeline!$P$5:$P$64,2028)</f>
        <v>1.444</v>
      </c>
      <c r="J67" s="24" t="n">
        <f aca="false">SUMIFS(Pipeline!$L$5:$L$64,Pipeline!$C$5:$C$64,"amzn",Pipeline!$Q$5:$Q$64,1,Pipeline!$P$5:$P$64,2029)</f>
        <v>0.062</v>
      </c>
      <c r="K67" s="24" t="n">
        <f aca="false">SUMIFS(Pipeline!$L$5:$L$64,Pipeline!$C$5:$C$64,"amzn",Pipeline!$Q$5:$Q$64,1,Pipeline!$P$5:$P$64,2030)</f>
        <v>0</v>
      </c>
      <c r="L67" s="24" t="n">
        <f aca="false">SUMIFS(Pipeline!$L$5:$L$64,Pipeline!$C$5:$C$64,"amzn",Pipeline!$Q$5:$Q$64,1,Pipeline!$P$5:$P$64,2031)</f>
        <v>0</v>
      </c>
      <c r="M67" s="24" t="n">
        <f aca="false">SUMIFS(Pipeline!$L$5:$L$64,Pipeline!$C$5:$C$64,"amzn",Pipeline!$Q$5:$Q$64,1,Pipeline!$P$5:$P$64,2032)</f>
        <v>0</v>
      </c>
    </row>
    <row r="68" customFormat="false" ht="17.15" hidden="false" customHeight="false" outlineLevel="0" collapsed="false">
      <c r="A68" s="5" t="s">
        <v>982</v>
      </c>
      <c r="B68" s="0" t="s">
        <v>1029</v>
      </c>
      <c r="C68" s="0" t="s">
        <v>77</v>
      </c>
      <c r="D68" s="25" t="str">
        <f aca="false">IF(D62&lt;&gt;"",D62,IF(AND(D63&lt;&gt;"",D65&lt;&gt;""),D63+(D65-D63)*(2023-D64)/(D66-D64),""))</f>
        <v/>
      </c>
      <c r="E68" s="25" t="n">
        <f aca="false">IF(E62&lt;&gt;"",E62,IF(AND(E63&lt;&gt;"",E65&lt;&gt;""),E63+(E65-E63)*(2024-E64)/(E66-E64),IF(D68&lt;&gt;"",D68+E67,"")))</f>
        <v>0.810284005979073</v>
      </c>
      <c r="F68" s="25" t="n">
        <f aca="false">IF(F62&lt;&gt;"",F62,IF(AND(F63&lt;&gt;"",F65&lt;&gt;""),F63+(F65-F63)*(2025-F64)/(F66-F64),IF(E68&lt;&gt;"",E68+F67,"")))</f>
        <v>2.2</v>
      </c>
      <c r="G68" s="25" t="n">
        <f aca="false">IF(G62&lt;&gt;"",G62,IF(AND(G63&lt;&gt;"",G65&lt;&gt;""),G63+(G65-G63)*(2026-G64)/(G66-G64),IF(F68&lt;&gt;"",F68+G67,"")))</f>
        <v>2.727</v>
      </c>
      <c r="H68" s="25" t="n">
        <f aca="false">IF(H62&lt;&gt;"",H62,IF(AND(H63&lt;&gt;"",H65&lt;&gt;""),H63+(H65-H63)*(2027-H64)/(H66-H64),IF(G68&lt;&gt;"",G68+H67,"")))</f>
        <v>2.768</v>
      </c>
      <c r="I68" s="25" t="n">
        <f aca="false">IF(I62&lt;&gt;"",I62,IF(AND(I63&lt;&gt;"",I65&lt;&gt;""),I63+(I65-I63)*(2028-I64)/(I66-I64),IF(H68&lt;&gt;"",H68+I67,"")))</f>
        <v>4.212</v>
      </c>
      <c r="J68" s="25" t="n">
        <f aca="false">IF(J62&lt;&gt;"",J62,IF(AND(J63&lt;&gt;"",J65&lt;&gt;""),J63+(J65-J63)*(2029-J64)/(J66-J64),IF(I68&lt;&gt;"",I68+J67,"")))</f>
        <v>4.274</v>
      </c>
      <c r="K68" s="25" t="n">
        <f aca="false">IF(K62&lt;&gt;"",K62,IF(AND(K63&lt;&gt;"",K65&lt;&gt;""),K63+(K65-K63)*(2030-K64)/(K66-K64),IF(J68&lt;&gt;"",J68+K67,"")))</f>
        <v>4.274</v>
      </c>
      <c r="L68" s="25" t="n">
        <f aca="false">IF(L62&lt;&gt;"",L62,IF(AND(L63&lt;&gt;"",L65&lt;&gt;""),L63+(L65-L63)*(2031-L64)/(L66-L64),IF(K68&lt;&gt;"",K68+L67,"")))</f>
        <v>4.274</v>
      </c>
      <c r="M68" s="25" t="n">
        <f aca="false">IF(M62&lt;&gt;"",M62,IF(AND(M63&lt;&gt;"",M65&lt;&gt;""),M63+(M65-M63)*(2032-M64)/(M66-M64),IF(L68&lt;&gt;"",L68+M67,"")))</f>
        <v>4.274</v>
      </c>
    </row>
    <row r="69" customFormat="false" ht="15" hidden="false" customHeight="false" outlineLevel="0" collapsed="false">
      <c r="A69" s="5" t="s">
        <v>984</v>
      </c>
      <c r="B69" s="0" t="s">
        <v>1030</v>
      </c>
      <c r="C69" s="0" t="s">
        <v>35</v>
      </c>
      <c r="D69" s="0" t="n">
        <f aca="false">IF(D60&lt;&gt;"",1,IF(D61&lt;&gt;"",5,IF(D62&lt;&gt;"",2,IF(AND(D63&lt;&gt;"",D65&lt;&gt;""),3,IF(D68&lt;&gt;"",4,0)))))</f>
        <v>0</v>
      </c>
      <c r="E69" s="0" t="n">
        <f aca="false">IF(E60&lt;&gt;"",1,IF(E61&lt;&gt;"",5,IF(E62&lt;&gt;"",2,IF(AND(E63&lt;&gt;"",E65&lt;&gt;""),3,IF(E68&lt;&gt;"",4,0)))))</f>
        <v>5</v>
      </c>
      <c r="F69" s="0" t="n">
        <f aca="false">IF(F60&lt;&gt;"",1,IF(F61&lt;&gt;"",5,IF(F62&lt;&gt;"",2,IF(AND(F63&lt;&gt;"",F65&lt;&gt;""),3,IF(F68&lt;&gt;"",4,0)))))</f>
        <v>5</v>
      </c>
      <c r="G69" s="0" t="n">
        <f aca="false">IF(G60&lt;&gt;"",1,IF(G61&lt;&gt;"",5,IF(G62&lt;&gt;"",2,IF(AND(G63&lt;&gt;"",G65&lt;&gt;""),3,IF(G68&lt;&gt;"",4,0)))))</f>
        <v>2</v>
      </c>
      <c r="H69" s="0" t="n">
        <f aca="false">IF(H60&lt;&gt;"",1,IF(H61&lt;&gt;"",5,IF(H62&lt;&gt;"",2,IF(AND(H63&lt;&gt;"",H65&lt;&gt;""),3,IF(H68&lt;&gt;"",4,0)))))</f>
        <v>4</v>
      </c>
      <c r="I69" s="0" t="n">
        <f aca="false">IF(I60&lt;&gt;"",1,IF(I61&lt;&gt;"",5,IF(I62&lt;&gt;"",2,IF(AND(I63&lt;&gt;"",I65&lt;&gt;""),3,IF(I68&lt;&gt;"",4,0)))))</f>
        <v>4</v>
      </c>
      <c r="J69" s="0" t="n">
        <f aca="false">IF(J60&lt;&gt;"",1,IF(J61&lt;&gt;"",5,IF(J62&lt;&gt;"",2,IF(AND(J63&lt;&gt;"",J65&lt;&gt;""),3,IF(J68&lt;&gt;"",4,0)))))</f>
        <v>4</v>
      </c>
      <c r="K69" s="0" t="n">
        <f aca="false">IF(K60&lt;&gt;"",1,IF(K61&lt;&gt;"",5,IF(K62&lt;&gt;"",2,IF(AND(K63&lt;&gt;"",K65&lt;&gt;""),3,IF(K68&lt;&gt;"",4,0)))))</f>
        <v>4</v>
      </c>
      <c r="L69" s="0" t="n">
        <f aca="false">IF(L60&lt;&gt;"",1,IF(L61&lt;&gt;"",5,IF(L62&lt;&gt;"",2,IF(AND(L63&lt;&gt;"",L65&lt;&gt;""),3,IF(L68&lt;&gt;"",4,0)))))</f>
        <v>4</v>
      </c>
      <c r="M69" s="0" t="n">
        <f aca="false">IF(M60&lt;&gt;"",1,IF(M61&lt;&gt;"",5,IF(M62&lt;&gt;"",2,IF(AND(M63&lt;&gt;"",M65&lt;&gt;""),3,IF(M68&lt;&gt;"",4,0)))))</f>
        <v>4</v>
      </c>
    </row>
    <row r="70" customFormat="false" ht="17.15" hidden="false" customHeight="false" outlineLevel="0" collapsed="false">
      <c r="A70" s="5" t="s">
        <v>986</v>
      </c>
      <c r="B70" s="0" t="s">
        <v>1031</v>
      </c>
      <c r="C70" s="0" t="s">
        <v>77</v>
      </c>
      <c r="D70" s="24" t="str">
        <f aca="false">IF(D68="","",IF(D69=2,D68-(obs_amzn-obs_amzn_lo)/1000,IF(AND(D69=5,In!$H$103&lt;&gt;""),In!$H$103*Players!$E$16/1000,D68)))</f>
        <v/>
      </c>
      <c r="E70" s="24" t="n">
        <f aca="false">IF(E68="","",IF(E69=2,E68-(obs_amzn-obs_amzn_lo)/1000,IF(AND(E69=5,In!$I$103&lt;&gt;""),In!$I$103*Players!$E$16/1000,E68)))</f>
        <v>0.699790732436472</v>
      </c>
      <c r="F70" s="24" t="n">
        <f aca="false">IF(F68="","",IF(F69=2,F68-(obs_amzn-obs_amzn_lo)/1000,IF(AND(F69=5,In!$J$103&lt;&gt;""),In!$J$103*Players!$E$16/1000,F68)))</f>
        <v>1.9</v>
      </c>
      <c r="G70" s="24" t="n">
        <f aca="false">IF(G68="","",IF(G69=2,G68-(obs_amzn-obs_amzn_lo)/1000,IF(AND(G69=5,In!$K$103&lt;&gt;""),In!$K$103*Players!$E$16/1000,G68)))</f>
        <v>2.127</v>
      </c>
      <c r="H70" s="24" t="n">
        <f aca="false">IF(H68="","",IF(H69=2,H68-(obs_amzn-obs_amzn_lo)/1000,IF(AND(H69=5,In!$L$103&lt;&gt;""),In!$L$103*Players!$E$16/1000,H68)))</f>
        <v>2.768</v>
      </c>
      <c r="I70" s="24" t="n">
        <f aca="false">IF(I68="","",IF(I69=2,I68-(obs_amzn-obs_amzn_lo)/1000,IF(AND(I69=5,In!$M$103&lt;&gt;""),In!$M$103*Players!$E$16/1000,I68)))</f>
        <v>4.212</v>
      </c>
      <c r="J70" s="24" t="n">
        <f aca="false">IF(J68="","",IF(J69=2,J68-(obs_amzn-obs_amzn_lo)/1000,IF(AND(J69=5,In!$N$103&lt;&gt;""),In!$N$103*Players!$E$16/1000,J68)))</f>
        <v>4.274</v>
      </c>
      <c r="K70" s="24" t="n">
        <f aca="false">IF(K68="","",IF(K69=2,K68-(obs_amzn-obs_amzn_lo)/1000,IF(AND(K69=5,In!$O$103&lt;&gt;""),In!$O$103*Players!$E$16/1000,K68)))</f>
        <v>4.274</v>
      </c>
      <c r="L70" s="24" t="n">
        <f aca="false">IF(L68="","",IF(L69=2,L68-(obs_amzn-obs_amzn_lo)/1000,IF(AND(L69=5,In!$P$103&lt;&gt;""),In!$P$103*Players!$E$16/1000,L68)))</f>
        <v>4.274</v>
      </c>
      <c r="M70" s="24" t="n">
        <f aca="false">IF(M68="","",IF(M69=2,M68-(obs_amzn-obs_amzn_lo)/1000,IF(AND(M69=5,In!$Q$103&lt;&gt;""),In!$Q$103*Players!$E$16/1000,M68)))</f>
        <v>4.274</v>
      </c>
    </row>
    <row r="71" customFormat="false" ht="17.15" hidden="false" customHeight="false" outlineLevel="0" collapsed="false">
      <c r="A71" s="5" t="s">
        <v>988</v>
      </c>
      <c r="B71" s="0" t="s">
        <v>1032</v>
      </c>
      <c r="C71" s="0" t="s">
        <v>77</v>
      </c>
      <c r="D71" s="24" t="str">
        <f aca="false">IF(D68="","",IF(D69=2,D68+(obs_amzn_hi-obs_amzn)/1000,IF(AND(D69=5,In!$H$103&lt;&gt;""),In!$H$103*Players!$F$16/1000,D68)))</f>
        <v/>
      </c>
      <c r="E71" s="24" t="n">
        <f aca="false">IF(E68="","",IF(E69=2,E68+(obs_amzn_hi-obs_amzn)/1000,IF(AND(E69=5,In!$I$103&lt;&gt;""),In!$I$103*Players!$F$16/1000,E68)))</f>
        <v>0.957608370702541</v>
      </c>
      <c r="F71" s="24" t="n">
        <f aca="false">IF(F68="","",IF(F69=2,F68+(obs_amzn_hi-obs_amzn)/1000,IF(AND(F69=5,In!$J$103&lt;&gt;""),In!$J$103*Players!$F$16/1000,F68)))</f>
        <v>2.6</v>
      </c>
      <c r="G71" s="24" t="n">
        <f aca="false">IF(G68="","",IF(G69=2,G68+(obs_amzn_hi-obs_amzn)/1000,IF(AND(G69=5,In!$K$103&lt;&gt;""),In!$K$103*Players!$F$16/1000,G68)))</f>
        <v>3.427</v>
      </c>
      <c r="H71" s="24" t="n">
        <f aca="false">IF(H68="","",IF(H69=2,H68+(obs_amzn_hi-obs_amzn)/1000,IF(AND(H69=5,In!$L$103&lt;&gt;""),In!$L$103*Players!$F$16/1000,H68)))</f>
        <v>2.768</v>
      </c>
      <c r="I71" s="24" t="n">
        <f aca="false">IF(I68="","",IF(I69=2,I68+(obs_amzn_hi-obs_amzn)/1000,IF(AND(I69=5,In!$M$103&lt;&gt;""),In!$M$103*Players!$F$16/1000,I68)))</f>
        <v>4.212</v>
      </c>
      <c r="J71" s="24" t="n">
        <f aca="false">IF(J68="","",IF(J69=2,J68+(obs_amzn_hi-obs_amzn)/1000,IF(AND(J69=5,In!$N$103&lt;&gt;""),In!$N$103*Players!$F$16/1000,J68)))</f>
        <v>4.274</v>
      </c>
      <c r="K71" s="24" t="n">
        <f aca="false">IF(K68="","",IF(K69=2,K68+(obs_amzn_hi-obs_amzn)/1000,IF(AND(K69=5,In!$O$103&lt;&gt;""),In!$O$103*Players!$F$16/1000,K68)))</f>
        <v>4.274</v>
      </c>
      <c r="L71" s="24" t="n">
        <f aca="false">IF(L68="","",IF(L69=2,L68+(obs_amzn_hi-obs_amzn)/1000,IF(AND(L69=5,In!$P$103&lt;&gt;""),In!$P$103*Players!$F$16/1000,L68)))</f>
        <v>4.274</v>
      </c>
      <c r="M71" s="24" t="n">
        <f aca="false">IF(M68="","",IF(M69=2,M68+(obs_amzn_hi-obs_amzn)/1000,IF(AND(M69=5,In!$Q$103&lt;&gt;""),In!$Q$103*Players!$F$16/1000,M68)))</f>
        <v>4.274</v>
      </c>
    </row>
    <row r="72" customFormat="false" ht="17.15" hidden="false" customHeight="false" outlineLevel="0" collapsed="false">
      <c r="A72" s="5" t="s">
        <v>990</v>
      </c>
      <c r="B72" s="0" t="s">
        <v>1033</v>
      </c>
      <c r="C72" s="0" t="s">
        <v>77</v>
      </c>
      <c r="D72" s="24" t="str">
        <f aca="false">IF(D68="","",IF(In!$C$110="未說明",D68/D$13,D68))</f>
        <v/>
      </c>
      <c r="E72" s="24" t="n">
        <f aca="false">IF(E68="","",IF(In!$C$110="未說明",E68/E$13,E68))</f>
        <v>0.810284005979073</v>
      </c>
      <c r="F72" s="24" t="n">
        <f aca="false">IF(F68="","",IF(In!$C$110="未說明",F68/F$13,F68))</f>
        <v>2.2</v>
      </c>
      <c r="G72" s="24" t="n">
        <f aca="false">IF(G68="","",IF(In!$C$110="未說明",G68/G$13,G68))</f>
        <v>2.727</v>
      </c>
      <c r="H72" s="24" t="n">
        <f aca="false">IF(H68="","",IF(In!$C$110="未說明",H68/H$13,H68))</f>
        <v>2.768</v>
      </c>
      <c r="I72" s="24" t="n">
        <f aca="false">IF(I68="","",IF(In!$C$110="未說明",I68/I$13,I68))</f>
        <v>4.212</v>
      </c>
      <c r="J72" s="24" t="n">
        <f aca="false">IF(J68="","",IF(In!$C$110="未說明",J68/J$13,J68))</f>
        <v>4.274</v>
      </c>
      <c r="K72" s="24" t="n">
        <f aca="false">IF(K68="","",IF(In!$C$110="未說明",K68/K$13,K68))</f>
        <v>4.274</v>
      </c>
      <c r="L72" s="24" t="n">
        <f aca="false">IF(L68="","",IF(In!$C$110="未說明",L68/L$13,L68))</f>
        <v>4.274</v>
      </c>
      <c r="M72" s="24" t="n">
        <f aca="false">IF(M68="","",IF(In!$C$110="未說明",M68/M$13,M68))</f>
        <v>4.274</v>
      </c>
    </row>
    <row r="73" customFormat="false" ht="17.15" hidden="false" customHeight="false" outlineLevel="0" collapsed="false">
      <c r="A73" s="5" t="s">
        <v>992</v>
      </c>
      <c r="B73" s="0" t="s">
        <v>1034</v>
      </c>
      <c r="C73" s="0" t="s">
        <v>77</v>
      </c>
      <c r="D73" s="0" t="str">
        <f aca="false">""</f>
        <v/>
      </c>
      <c r="E73" s="24" t="str">
        <f aca="false">IF(AND(D68&lt;&gt;"",E68&lt;&gt;""),(D68+E68)/2,"")</f>
        <v/>
      </c>
      <c r="F73" s="24" t="n">
        <f aca="false">IF(AND(E68&lt;&gt;"",F68&lt;&gt;""),(E68+F68)/2,"")</f>
        <v>1.50514200298954</v>
      </c>
      <c r="G73" s="24" t="n">
        <f aca="false">IF(AND(F68&lt;&gt;"",G68&lt;&gt;""),(F68+G68)/2,"")</f>
        <v>2.4635</v>
      </c>
      <c r="H73" s="24" t="n">
        <f aca="false">IF(AND(G68&lt;&gt;"",H68&lt;&gt;""),(G68+H68)/2,"")</f>
        <v>2.7475</v>
      </c>
      <c r="I73" s="24" t="n">
        <f aca="false">IF(AND(H68&lt;&gt;"",I68&lt;&gt;""),(H68+I68)/2,"")</f>
        <v>3.49</v>
      </c>
      <c r="J73" s="24" t="n">
        <f aca="false">IF(AND(I68&lt;&gt;"",J68&lt;&gt;""),(I68+J68)/2,"")</f>
        <v>4.243</v>
      </c>
      <c r="K73" s="24" t="n">
        <f aca="false">IF(AND(J68&lt;&gt;"",K68&lt;&gt;""),(J68+K68)/2,"")</f>
        <v>4.274</v>
      </c>
      <c r="L73" s="24" t="n">
        <f aca="false">IF(AND(K68&lt;&gt;"",L68&lt;&gt;""),(K68+L68)/2,"")</f>
        <v>4.274</v>
      </c>
      <c r="M73" s="24" t="n">
        <f aca="false">IF(AND(L68&lt;&gt;"",M68&lt;&gt;""),(L68+M68)/2,"")</f>
        <v>4.274</v>
      </c>
    </row>
    <row r="74" customFormat="false" ht="17.15" hidden="false" customHeight="false" outlineLevel="0" collapsed="false">
      <c r="A74" s="5" t="s">
        <v>994</v>
      </c>
      <c r="B74" s="0" t="s">
        <v>1035</v>
      </c>
      <c r="C74" s="0" t="s">
        <v>77</v>
      </c>
      <c r="D74" s="0" t="n">
        <v>0</v>
      </c>
      <c r="E74" s="24" t="n">
        <f aca="false">IF(AND(D68&lt;&gt;"",E68&lt;&gt;""),E68-D68,0)</f>
        <v>0</v>
      </c>
      <c r="F74" s="24" t="n">
        <f aca="false">IF(AND(E68&lt;&gt;"",F68&lt;&gt;""),F68-E68,0)</f>
        <v>1.38971599402093</v>
      </c>
      <c r="G74" s="24" t="n">
        <f aca="false">IF(AND(F68&lt;&gt;"",G68&lt;&gt;""),G68-F68,0)</f>
        <v>0.527</v>
      </c>
      <c r="H74" s="24" t="n">
        <f aca="false">IF(AND(G68&lt;&gt;"",H68&lt;&gt;""),H68-G68,0)</f>
        <v>0.0409999999999999</v>
      </c>
      <c r="I74" s="24" t="n">
        <f aca="false">IF(AND(H68&lt;&gt;"",I68&lt;&gt;""),I68-H68,0)</f>
        <v>1.444</v>
      </c>
      <c r="J74" s="24" t="n">
        <f aca="false">IF(AND(I68&lt;&gt;"",J68&lt;&gt;""),J68-I68,0)</f>
        <v>0.0620000000000003</v>
      </c>
      <c r="K74" s="24" t="n">
        <f aca="false">IF(AND(J68&lt;&gt;"",K68&lt;&gt;""),K68-J68,0)</f>
        <v>0</v>
      </c>
      <c r="L74" s="24" t="n">
        <f aca="false">IF(AND(K68&lt;&gt;"",L68&lt;&gt;""),L68-K68,0)</f>
        <v>0</v>
      </c>
      <c r="M74" s="24" t="n">
        <f aca="false">IF(AND(L68&lt;&gt;"",M68&lt;&gt;""),M68-L68,0)</f>
        <v>0</v>
      </c>
    </row>
    <row r="75" customFormat="false" ht="17.15" hidden="false" customHeight="false" outlineLevel="0" collapsed="false">
      <c r="A75" s="5" t="s">
        <v>996</v>
      </c>
      <c r="B75" s="0" t="s">
        <v>1036</v>
      </c>
      <c r="C75" s="0" t="s">
        <v>77</v>
      </c>
      <c r="D75" s="24" t="n">
        <f aca="false">IF(D68&lt;&gt;"",D68,0)</f>
        <v>0</v>
      </c>
      <c r="E75" s="24" t="n">
        <f aca="false">IF(AND(D68="",E68&lt;&gt;""),E68,0)</f>
        <v>0.810284005979073</v>
      </c>
      <c r="F75" s="24" t="n">
        <f aca="false">IF(AND(E68="",F68&lt;&gt;""),F68,0)</f>
        <v>0</v>
      </c>
      <c r="G75" s="24" t="n">
        <f aca="false">IF(AND(F68="",G68&lt;&gt;""),G68,0)</f>
        <v>0</v>
      </c>
      <c r="H75" s="24" t="n">
        <f aca="false">IF(AND(G68="",H68&lt;&gt;""),H68,0)</f>
        <v>0</v>
      </c>
      <c r="I75" s="24" t="n">
        <f aca="false">IF(AND(H68="",I68&lt;&gt;""),I68,0)</f>
        <v>0</v>
      </c>
      <c r="J75" s="24" t="n">
        <f aca="false">IF(AND(I68="",J68&lt;&gt;""),J68,0)</f>
        <v>0</v>
      </c>
      <c r="K75" s="24" t="n">
        <f aca="false">IF(AND(J68="",K68&lt;&gt;""),K68,0)</f>
        <v>0</v>
      </c>
      <c r="L75" s="24" t="n">
        <f aca="false">IF(AND(K68="",L68&lt;&gt;""),L68,0)</f>
        <v>0</v>
      </c>
      <c r="M75" s="24" t="n">
        <f aca="false">IF(AND(L68="",M68&lt;&gt;""),M68,0)</f>
        <v>0</v>
      </c>
    </row>
    <row r="76" customFormat="false" ht="17.15" hidden="false" customHeight="false" outlineLevel="0" collapsed="false">
      <c r="A76" s="5" t="s">
        <v>998</v>
      </c>
      <c r="B76" s="0" t="s">
        <v>1037</v>
      </c>
      <c r="C76" s="0" t="s">
        <v>52</v>
      </c>
      <c r="D76" s="23" t="n">
        <f aca="false">nnv_amzn</f>
        <v>0.67</v>
      </c>
      <c r="E76" s="23" t="n">
        <f aca="false">nnv_amzn</f>
        <v>0.67</v>
      </c>
      <c r="F76" s="23" t="n">
        <f aca="false">nnv_amzn</f>
        <v>0.67</v>
      </c>
      <c r="G76" s="23" t="n">
        <f aca="false">nnv_amzn</f>
        <v>0.67</v>
      </c>
      <c r="H76" s="23" t="n">
        <f aca="false">nnv_amzn</f>
        <v>0.67</v>
      </c>
      <c r="I76" s="23" t="n">
        <f aca="false">nnv_amzn</f>
        <v>0.67</v>
      </c>
      <c r="J76" s="23" t="n">
        <f aca="false">nnv_amzn</f>
        <v>0.67</v>
      </c>
      <c r="K76" s="23" t="n">
        <f aca="false">nnv_amzn</f>
        <v>0.67</v>
      </c>
      <c r="L76" s="23" t="n">
        <f aca="false">nnv_amzn</f>
        <v>0.67</v>
      </c>
      <c r="M76" s="23" t="n">
        <f aca="false">nnv_amzn</f>
        <v>0.67</v>
      </c>
    </row>
    <row r="78" customFormat="false" ht="17.15" hidden="false" customHeight="false" outlineLevel="0" collapsed="false">
      <c r="A78" s="8" t="s">
        <v>1038</v>
      </c>
      <c r="B78" s="20" t="s">
        <v>526</v>
      </c>
      <c r="N78" s="20" t="s">
        <v>1039</v>
      </c>
    </row>
    <row r="79" customFormat="false" ht="17.15" hidden="false" customHeight="false" outlineLevel="0" collapsed="false">
      <c r="A79" s="5" t="s">
        <v>966</v>
      </c>
      <c r="B79" s="0" t="s">
        <v>1040</v>
      </c>
      <c r="C79" s="0" t="s">
        <v>77</v>
      </c>
      <c r="D79" s="24" t="str">
        <f aca="false">IF(In!$H$111="","",IF(In!$C$111="設施",In!$H$111/1000/D$13,In!$H$111/1000))</f>
        <v/>
      </c>
      <c r="E79" s="24" t="str">
        <f aca="false">IF(In!$I$111="","",IF(In!$C$111="設施",In!$I$111/1000/E$13,In!$I$111/1000))</f>
        <v/>
      </c>
      <c r="F79" s="24" t="str">
        <f aca="false">IF(In!$J$111="","",IF(In!$C$111="設施",In!$J$111/1000/F$13,In!$J$111/1000))</f>
        <v/>
      </c>
      <c r="G79" s="24" t="str">
        <f aca="false">IF(In!$K$111="","",IF(In!$C$111="設施",In!$K$111/1000/G$13,In!$K$111/1000))</f>
        <v/>
      </c>
      <c r="H79" s="24" t="str">
        <f aca="false">IF(In!$L$111="","",IF(In!$C$111="設施",In!$L$111/1000/H$13,In!$L$111/1000))</f>
        <v/>
      </c>
      <c r="I79" s="24" t="str">
        <f aca="false">IF(In!$M$111="","",IF(In!$C$111="設施",In!$M$111/1000/I$13,In!$M$111/1000))</f>
        <v/>
      </c>
      <c r="J79" s="24" t="str">
        <f aca="false">IF(In!$N$111="","",IF(In!$C$111="設施",In!$N$111/1000/J$13,In!$N$111/1000))</f>
        <v/>
      </c>
      <c r="K79" s="24" t="str">
        <f aca="false">IF(In!$O$111="","",IF(In!$C$111="設施",In!$O$111/1000/K$13,In!$O$111/1000))</f>
        <v/>
      </c>
      <c r="L79" s="24" t="str">
        <f aca="false">IF(In!$P$111="","",IF(In!$C$111="設施",In!$P$111/1000/L$13,In!$P$111/1000))</f>
        <v/>
      </c>
      <c r="M79" s="24" t="str">
        <f aca="false">IF(In!$Q$111="","",IF(In!$C$111="設施",In!$Q$111/1000/M$13,In!$Q$111/1000))</f>
        <v/>
      </c>
    </row>
    <row r="80" customFormat="false" ht="17.15" hidden="false" customHeight="false" outlineLevel="0" collapsed="false">
      <c r="A80" s="5" t="s">
        <v>968</v>
      </c>
      <c r="B80" s="0" t="s">
        <v>1041</v>
      </c>
      <c r="C80" s="0" t="s">
        <v>77</v>
      </c>
      <c r="D80" s="24" t="str">
        <f aca="false">IF(In!$H$104="","",In!$H$104*Players!$D$17/1000)</f>
        <v/>
      </c>
      <c r="E80" s="24" t="n">
        <f aca="false">IF(In!$I$104="","",In!$I$104*Players!$D$17/1000)</f>
        <v>0.968475</v>
      </c>
      <c r="F80" s="24" t="n">
        <f aca="false">IF(In!$J$104="","",In!$J$104*Players!$D$17/1000)</f>
        <v>2.476595</v>
      </c>
      <c r="G80" s="24" t="str">
        <f aca="false">IF(In!$K$104="","",In!$K$104*Players!$D$17/1000)</f>
        <v/>
      </c>
      <c r="H80" s="24" t="str">
        <f aca="false">IF(In!$L$104="","",In!$L$104*Players!$D$17/1000)</f>
        <v/>
      </c>
      <c r="I80" s="24" t="str">
        <f aca="false">IF(In!$M$104="","",In!$M$104*Players!$D$17/1000)</f>
        <v/>
      </c>
      <c r="J80" s="24" t="str">
        <f aca="false">IF(In!$N$104="","",In!$N$104*Players!$D$17/1000)</f>
        <v/>
      </c>
      <c r="K80" s="24" t="str">
        <f aca="false">IF(In!$O$104="","",In!$O$104*Players!$D$17/1000)</f>
        <v/>
      </c>
      <c r="L80" s="24" t="str">
        <f aca="false">IF(In!$P$104="","",In!$P$104*Players!$D$17/1000)</f>
        <v/>
      </c>
      <c r="M80" s="24" t="str">
        <f aca="false">IF(In!$Q$104="","",In!$Q$104*Players!$D$17/1000)</f>
        <v/>
      </c>
    </row>
    <row r="81" customFormat="false" ht="15" hidden="false" customHeight="false" outlineLevel="0" collapsed="false">
      <c r="A81" s="5" t="s">
        <v>970</v>
      </c>
      <c r="B81" s="0" t="s">
        <v>1042</v>
      </c>
      <c r="C81" s="0" t="s">
        <v>77</v>
      </c>
      <c r="D81" s="0" t="str">
        <f aca="false">IF(D79&lt;&gt;"",D79,IF(D80&lt;&gt;"",D80,""))</f>
        <v/>
      </c>
      <c r="E81" s="24" t="n">
        <f aca="false">IF(E79&lt;&gt;"",E79,IF(E80&lt;&gt;"",E80,""))</f>
        <v>0.968475</v>
      </c>
      <c r="F81" s="24" t="n">
        <f aca="false">IF(F79&lt;&gt;"",F79,IF(F80&lt;&gt;"",F80,""))</f>
        <v>2.476595</v>
      </c>
      <c r="G81" s="0" t="str">
        <f aca="false">IF(G79&lt;&gt;"",G79,IF(G80&lt;&gt;"",G80,""))</f>
        <v/>
      </c>
      <c r="H81" s="0" t="str">
        <f aca="false">IF(H79&lt;&gt;"",H79,IF(H80&lt;&gt;"",H80,""))</f>
        <v/>
      </c>
      <c r="I81" s="0" t="str">
        <f aca="false">IF(I79&lt;&gt;"",I79,IF(I80&lt;&gt;"",I80,""))</f>
        <v/>
      </c>
      <c r="J81" s="0" t="str">
        <f aca="false">IF(J79&lt;&gt;"",J79,IF(J80&lt;&gt;"",J80,""))</f>
        <v/>
      </c>
      <c r="K81" s="0" t="str">
        <f aca="false">IF(K79&lt;&gt;"",K79,IF(K80&lt;&gt;"",K80,""))</f>
        <v/>
      </c>
      <c r="L81" s="0" t="str">
        <f aca="false">IF(L79&lt;&gt;"",L79,IF(L80&lt;&gt;"",L80,""))</f>
        <v/>
      </c>
      <c r="M81" s="0" t="str">
        <f aca="false">IF(M79&lt;&gt;"",M79,IF(M80&lt;&gt;"",M80,""))</f>
        <v/>
      </c>
    </row>
    <row r="82" customFormat="false" ht="15" hidden="false" customHeight="false" outlineLevel="0" collapsed="false">
      <c r="A82" s="5" t="s">
        <v>972</v>
      </c>
      <c r="B82" s="0" t="s">
        <v>1043</v>
      </c>
      <c r="C82" s="0" t="s">
        <v>77</v>
      </c>
      <c r="D82" s="0" t="str">
        <f aca="false">IF(D81&lt;&gt;"",D81,"")</f>
        <v/>
      </c>
      <c r="E82" s="24" t="n">
        <f aca="false">IF(E81&lt;&gt;"",E81,D82)</f>
        <v>0.968475</v>
      </c>
      <c r="F82" s="24" t="n">
        <f aca="false">IF(F81&lt;&gt;"",F81,E82)</f>
        <v>2.476595</v>
      </c>
      <c r="G82" s="24" t="n">
        <f aca="false">IF(G81&lt;&gt;"",G81,F82)</f>
        <v>2.476595</v>
      </c>
      <c r="H82" s="24" t="n">
        <f aca="false">IF(H81&lt;&gt;"",H81,G82)</f>
        <v>2.476595</v>
      </c>
      <c r="I82" s="24" t="n">
        <f aca="false">IF(I81&lt;&gt;"",I81,H82)</f>
        <v>2.476595</v>
      </c>
      <c r="J82" s="24" t="n">
        <f aca="false">IF(J81&lt;&gt;"",J81,I82)</f>
        <v>2.476595</v>
      </c>
      <c r="K82" s="24" t="n">
        <f aca="false">IF(K81&lt;&gt;"",K81,J82)</f>
        <v>2.476595</v>
      </c>
      <c r="L82" s="24" t="n">
        <f aca="false">IF(L81&lt;&gt;"",L81,K82)</f>
        <v>2.476595</v>
      </c>
      <c r="M82" s="24" t="n">
        <f aca="false">IF(M81&lt;&gt;"",M81,L82)</f>
        <v>2.476595</v>
      </c>
    </row>
    <row r="83" customFormat="false" ht="15" hidden="false" customHeight="false" outlineLevel="0" collapsed="false">
      <c r="A83" s="5" t="s">
        <v>974</v>
      </c>
      <c r="B83" s="0" t="s">
        <v>1044</v>
      </c>
      <c r="C83" s="5" t="s">
        <v>47</v>
      </c>
      <c r="D83" s="0" t="str">
        <f aca="false">IF(D81&lt;&gt;"",2023,"")</f>
        <v/>
      </c>
      <c r="E83" s="0" t="n">
        <f aca="false">IF(E81&lt;&gt;"",2024,D83)</f>
        <v>2024</v>
      </c>
      <c r="F83" s="0" t="n">
        <f aca="false">IF(F81&lt;&gt;"",2025,E83)</f>
        <v>2025</v>
      </c>
      <c r="G83" s="0" t="n">
        <f aca="false">IF(G81&lt;&gt;"",2026,F83)</f>
        <v>2025</v>
      </c>
      <c r="H83" s="0" t="n">
        <f aca="false">IF(H81&lt;&gt;"",2027,G83)</f>
        <v>2025</v>
      </c>
      <c r="I83" s="0" t="n">
        <f aca="false">IF(I81&lt;&gt;"",2028,H83)</f>
        <v>2025</v>
      </c>
      <c r="J83" s="0" t="n">
        <f aca="false">IF(J81&lt;&gt;"",2029,I83)</f>
        <v>2025</v>
      </c>
      <c r="K83" s="0" t="n">
        <f aca="false">IF(K81&lt;&gt;"",2030,J83)</f>
        <v>2025</v>
      </c>
      <c r="L83" s="0" t="n">
        <f aca="false">IF(L81&lt;&gt;"",2031,K83)</f>
        <v>2025</v>
      </c>
      <c r="M83" s="0" t="n">
        <f aca="false">IF(M81&lt;&gt;"",2032,L83)</f>
        <v>2025</v>
      </c>
    </row>
    <row r="84" customFormat="false" ht="15" hidden="false" customHeight="false" outlineLevel="0" collapsed="false">
      <c r="A84" s="5" t="s">
        <v>976</v>
      </c>
      <c r="B84" s="0" t="s">
        <v>1045</v>
      </c>
      <c r="C84" s="0" t="s">
        <v>77</v>
      </c>
      <c r="D84" s="24" t="n">
        <f aca="false">IF(D81&lt;&gt;"",D81,E84)</f>
        <v>0.968475</v>
      </c>
      <c r="E84" s="24" t="n">
        <f aca="false">IF(E81&lt;&gt;"",E81,F84)</f>
        <v>0.968475</v>
      </c>
      <c r="F84" s="24" t="n">
        <f aca="false">IF(F81&lt;&gt;"",F81,G84)</f>
        <v>2.476595</v>
      </c>
      <c r="G84" s="0" t="str">
        <f aca="false">IF(G81&lt;&gt;"",G81,H84)</f>
        <v/>
      </c>
      <c r="H84" s="0" t="str">
        <f aca="false">IF(H81&lt;&gt;"",H81,I84)</f>
        <v/>
      </c>
      <c r="I84" s="0" t="str">
        <f aca="false">IF(I81&lt;&gt;"",I81,J84)</f>
        <v/>
      </c>
      <c r="J84" s="0" t="str">
        <f aca="false">IF(J81&lt;&gt;"",J81,K84)</f>
        <v/>
      </c>
      <c r="K84" s="0" t="str">
        <f aca="false">IF(K81&lt;&gt;"",K81,L84)</f>
        <v/>
      </c>
      <c r="L84" s="0" t="str">
        <f aca="false">IF(L81&lt;&gt;"",L81,M84)</f>
        <v/>
      </c>
      <c r="M84" s="0" t="str">
        <f aca="false">IF(M81&lt;&gt;"",M81,"")</f>
        <v/>
      </c>
    </row>
    <row r="85" customFormat="false" ht="15" hidden="false" customHeight="false" outlineLevel="0" collapsed="false">
      <c r="A85" s="5" t="s">
        <v>978</v>
      </c>
      <c r="B85" s="0" t="s">
        <v>1046</v>
      </c>
      <c r="C85" s="5" t="s">
        <v>47</v>
      </c>
      <c r="D85" s="0" t="n">
        <f aca="false">IF(D81&lt;&gt;"",2023,E85)</f>
        <v>2024</v>
      </c>
      <c r="E85" s="0" t="n">
        <f aca="false">IF(E81&lt;&gt;"",2024,F85)</f>
        <v>2024</v>
      </c>
      <c r="F85" s="0" t="n">
        <f aca="false">IF(F81&lt;&gt;"",2025,G85)</f>
        <v>2025</v>
      </c>
      <c r="G85" s="0" t="str">
        <f aca="false">IF(G81&lt;&gt;"",2026,H85)</f>
        <v/>
      </c>
      <c r="H85" s="0" t="str">
        <f aca="false">IF(H81&lt;&gt;"",2027,I85)</f>
        <v/>
      </c>
      <c r="I85" s="0" t="str">
        <f aca="false">IF(I81&lt;&gt;"",2028,J85)</f>
        <v/>
      </c>
      <c r="J85" s="0" t="str">
        <f aca="false">IF(J81&lt;&gt;"",2029,K85)</f>
        <v/>
      </c>
      <c r="K85" s="0" t="str">
        <f aca="false">IF(K81&lt;&gt;"",2030,L85)</f>
        <v/>
      </c>
      <c r="L85" s="0" t="str">
        <f aca="false">IF(L81&lt;&gt;"",2031,M85)</f>
        <v/>
      </c>
      <c r="M85" s="0" t="str">
        <f aca="false">IF(M81&lt;&gt;"",2032,"")</f>
        <v/>
      </c>
    </row>
    <row r="86" customFormat="false" ht="17.15" hidden="false" customHeight="false" outlineLevel="0" collapsed="false">
      <c r="A86" s="5" t="s">
        <v>980</v>
      </c>
      <c r="B86" s="0" t="s">
        <v>1047</v>
      </c>
      <c r="C86" s="0" t="s">
        <v>77</v>
      </c>
      <c r="D86" s="24" t="n">
        <f aca="false">SUMIFS(Pipeline!$L$5:$L$64,Pipeline!$C$5:$C$64,"meta",Pipeline!$Q$5:$Q$64,1,Pipeline!$P$5:$P$64,2023)</f>
        <v>0</v>
      </c>
      <c r="E86" s="24" t="n">
        <f aca="false">SUMIFS(Pipeline!$L$5:$L$64,Pipeline!$C$5:$C$64,"meta",Pipeline!$Q$5:$Q$64,1,Pipeline!$P$5:$P$64,2024)</f>
        <v>0</v>
      </c>
      <c r="F86" s="24" t="n">
        <f aca="false">SUMIFS(Pipeline!$L$5:$L$64,Pipeline!$C$5:$C$64,"meta",Pipeline!$Q$5:$Q$64,1,Pipeline!$P$5:$P$64,2025)</f>
        <v>0</v>
      </c>
      <c r="G86" s="24" t="n">
        <f aca="false">SUMIFS(Pipeline!$L$5:$L$64,Pipeline!$C$5:$C$64,"meta",Pipeline!$Q$5:$Q$64,1,Pipeline!$P$5:$P$64,2026)</f>
        <v>0.676</v>
      </c>
      <c r="H86" s="24" t="n">
        <f aca="false">SUMIFS(Pipeline!$L$5:$L$64,Pipeline!$C$5:$C$64,"meta",Pipeline!$Q$5:$Q$64,1,Pipeline!$P$5:$P$64,2027)</f>
        <v>0.192</v>
      </c>
      <c r="I86" s="24" t="n">
        <f aca="false">SUMIFS(Pipeline!$L$5:$L$64,Pipeline!$C$5:$C$64,"meta",Pipeline!$Q$5:$Q$64,1,Pipeline!$P$5:$P$64,2028)</f>
        <v>2.786</v>
      </c>
      <c r="J86" s="24" t="n">
        <f aca="false">SUMIFS(Pipeline!$L$5:$L$64,Pipeline!$C$5:$C$64,"meta",Pipeline!$Q$5:$Q$64,1,Pipeline!$P$5:$P$64,2029)</f>
        <v>0.368</v>
      </c>
      <c r="K86" s="24" t="n">
        <f aca="false">SUMIFS(Pipeline!$L$5:$L$64,Pipeline!$C$5:$C$64,"meta",Pipeline!$Q$5:$Q$64,1,Pipeline!$P$5:$P$64,2030)</f>
        <v>0</v>
      </c>
      <c r="L86" s="24" t="n">
        <f aca="false">SUMIFS(Pipeline!$L$5:$L$64,Pipeline!$C$5:$C$64,"meta",Pipeline!$Q$5:$Q$64,1,Pipeline!$P$5:$P$64,2031)</f>
        <v>0</v>
      </c>
      <c r="M86" s="24" t="n">
        <f aca="false">SUMIFS(Pipeline!$L$5:$L$64,Pipeline!$C$5:$C$64,"meta",Pipeline!$Q$5:$Q$64,1,Pipeline!$P$5:$P$64,2032)</f>
        <v>0</v>
      </c>
    </row>
    <row r="87" customFormat="false" ht="17.15" hidden="false" customHeight="false" outlineLevel="0" collapsed="false">
      <c r="A87" s="5" t="s">
        <v>982</v>
      </c>
      <c r="B87" s="0" t="s">
        <v>1048</v>
      </c>
      <c r="C87" s="0" t="s">
        <v>77</v>
      </c>
      <c r="D87" s="25" t="str">
        <f aca="false">IF(D81&lt;&gt;"",D81,IF(AND(D82&lt;&gt;"",D84&lt;&gt;""),D82+(D84-D82)*(2023-D83)/(D85-D83),""))</f>
        <v/>
      </c>
      <c r="E87" s="25" t="n">
        <f aca="false">IF(E81&lt;&gt;"",E81,IF(AND(E82&lt;&gt;"",E84&lt;&gt;""),E82+(E84-E82)*(2024-E83)/(E85-E83),IF(D87&lt;&gt;"",D87+E86,"")))</f>
        <v>0.968475</v>
      </c>
      <c r="F87" s="25" t="n">
        <f aca="false">IF(F81&lt;&gt;"",F81,IF(AND(F82&lt;&gt;"",F84&lt;&gt;""),F82+(F84-F82)*(2025-F83)/(F85-F83),IF(E87&lt;&gt;"",E87+F86,"")))</f>
        <v>2.476595</v>
      </c>
      <c r="G87" s="25" t="n">
        <f aca="false">IF(G81&lt;&gt;"",G81,IF(AND(G82&lt;&gt;"",G84&lt;&gt;""),G82+(G84-G82)*(2026-G83)/(G85-G83),IF(F87&lt;&gt;"",F87+G86,"")))</f>
        <v>3.152595</v>
      </c>
      <c r="H87" s="25" t="n">
        <f aca="false">IF(H81&lt;&gt;"",H81,IF(AND(H82&lt;&gt;"",H84&lt;&gt;""),H82+(H84-H82)*(2027-H83)/(H85-H83),IF(G87&lt;&gt;"",G87+H86,"")))</f>
        <v>3.344595</v>
      </c>
      <c r="I87" s="25" t="n">
        <f aca="false">IF(I81&lt;&gt;"",I81,IF(AND(I82&lt;&gt;"",I84&lt;&gt;""),I82+(I84-I82)*(2028-I83)/(I85-I83),IF(H87&lt;&gt;"",H87+I86,"")))</f>
        <v>6.130595</v>
      </c>
      <c r="J87" s="25" t="n">
        <f aca="false">IF(J81&lt;&gt;"",J81,IF(AND(J82&lt;&gt;"",J84&lt;&gt;""),J82+(J84-J82)*(2029-J83)/(J85-J83),IF(I87&lt;&gt;"",I87+J86,"")))</f>
        <v>6.498595</v>
      </c>
      <c r="K87" s="25" t="n">
        <f aca="false">IF(K81&lt;&gt;"",K81,IF(AND(K82&lt;&gt;"",K84&lt;&gt;""),K82+(K84-K82)*(2030-K83)/(K85-K83),IF(J87&lt;&gt;"",J87+K86,"")))</f>
        <v>6.498595</v>
      </c>
      <c r="L87" s="25" t="n">
        <f aca="false">IF(L81&lt;&gt;"",L81,IF(AND(L82&lt;&gt;"",L84&lt;&gt;""),L82+(L84-L82)*(2031-L83)/(L85-L83),IF(K87&lt;&gt;"",K87+L86,"")))</f>
        <v>6.498595</v>
      </c>
      <c r="M87" s="25" t="n">
        <f aca="false">IF(M81&lt;&gt;"",M81,IF(AND(M82&lt;&gt;"",M84&lt;&gt;""),M82+(M84-M82)*(2032-M83)/(M85-M83),IF(L87&lt;&gt;"",L87+M86,"")))</f>
        <v>6.498595</v>
      </c>
    </row>
    <row r="88" customFormat="false" ht="15" hidden="false" customHeight="false" outlineLevel="0" collapsed="false">
      <c r="A88" s="5" t="s">
        <v>984</v>
      </c>
      <c r="B88" s="0" t="s">
        <v>1049</v>
      </c>
      <c r="C88" s="0" t="s">
        <v>35</v>
      </c>
      <c r="D88" s="0" t="n">
        <f aca="false">IF(D79&lt;&gt;"",1,IF(D80&lt;&gt;"",5,IF(D81&lt;&gt;"",2,IF(AND(D82&lt;&gt;"",D84&lt;&gt;""),3,IF(D87&lt;&gt;"",4,0)))))</f>
        <v>0</v>
      </c>
      <c r="E88" s="0" t="n">
        <f aca="false">IF(E79&lt;&gt;"",1,IF(E80&lt;&gt;"",5,IF(E81&lt;&gt;"",2,IF(AND(E82&lt;&gt;"",E84&lt;&gt;""),3,IF(E87&lt;&gt;"",4,0)))))</f>
        <v>5</v>
      </c>
      <c r="F88" s="0" t="n">
        <f aca="false">IF(F79&lt;&gt;"",1,IF(F80&lt;&gt;"",5,IF(F81&lt;&gt;"",2,IF(AND(F82&lt;&gt;"",F84&lt;&gt;""),3,IF(F87&lt;&gt;"",4,0)))))</f>
        <v>5</v>
      </c>
      <c r="G88" s="0" t="n">
        <f aca="false">IF(G79&lt;&gt;"",1,IF(G80&lt;&gt;"",5,IF(G81&lt;&gt;"",2,IF(AND(G82&lt;&gt;"",G84&lt;&gt;""),3,IF(G87&lt;&gt;"",4,0)))))</f>
        <v>4</v>
      </c>
      <c r="H88" s="0" t="n">
        <f aca="false">IF(H79&lt;&gt;"",1,IF(H80&lt;&gt;"",5,IF(H81&lt;&gt;"",2,IF(AND(H82&lt;&gt;"",H84&lt;&gt;""),3,IF(H87&lt;&gt;"",4,0)))))</f>
        <v>4</v>
      </c>
      <c r="I88" s="0" t="n">
        <f aca="false">IF(I79&lt;&gt;"",1,IF(I80&lt;&gt;"",5,IF(I81&lt;&gt;"",2,IF(AND(I82&lt;&gt;"",I84&lt;&gt;""),3,IF(I87&lt;&gt;"",4,0)))))</f>
        <v>4</v>
      </c>
      <c r="J88" s="0" t="n">
        <f aca="false">IF(J79&lt;&gt;"",1,IF(J80&lt;&gt;"",5,IF(J81&lt;&gt;"",2,IF(AND(J82&lt;&gt;"",J84&lt;&gt;""),3,IF(J87&lt;&gt;"",4,0)))))</f>
        <v>4</v>
      </c>
      <c r="K88" s="0" t="n">
        <f aca="false">IF(K79&lt;&gt;"",1,IF(K80&lt;&gt;"",5,IF(K81&lt;&gt;"",2,IF(AND(K82&lt;&gt;"",K84&lt;&gt;""),3,IF(K87&lt;&gt;"",4,0)))))</f>
        <v>4</v>
      </c>
      <c r="L88" s="0" t="n">
        <f aca="false">IF(L79&lt;&gt;"",1,IF(L80&lt;&gt;"",5,IF(L81&lt;&gt;"",2,IF(AND(L82&lt;&gt;"",L84&lt;&gt;""),3,IF(L87&lt;&gt;"",4,0)))))</f>
        <v>4</v>
      </c>
      <c r="M88" s="0" t="n">
        <f aca="false">IF(M79&lt;&gt;"",1,IF(M80&lt;&gt;"",5,IF(M81&lt;&gt;"",2,IF(AND(M82&lt;&gt;"",M84&lt;&gt;""),3,IF(M87&lt;&gt;"",4,0)))))</f>
        <v>4</v>
      </c>
    </row>
    <row r="89" customFormat="false" ht="17.15" hidden="false" customHeight="false" outlineLevel="0" collapsed="false">
      <c r="A89" s="5" t="s">
        <v>986</v>
      </c>
      <c r="B89" s="0" t="s">
        <v>1050</v>
      </c>
      <c r="C89" s="0" t="s">
        <v>77</v>
      </c>
      <c r="D89" s="24" t="str">
        <f aca="false">IF(D87="","",IF(AND(D88=5,In!$H$104&lt;&gt;""),In!$H$104*Players!$E$17/1000,D87))</f>
        <v/>
      </c>
      <c r="E89" s="24" t="n">
        <f aca="false">IF(E87="","",IF(AND(E88=5,In!$I$104&lt;&gt;""),In!$I$104*Players!$E$17/1000,E87))</f>
        <v>0.863775</v>
      </c>
      <c r="F89" s="24" t="n">
        <f aca="false">IF(F87="","",IF(AND(F88=5,In!$J$104&lt;&gt;""),In!$J$104*Players!$E$17/1000,F87))</f>
        <v>2.208855</v>
      </c>
      <c r="G89" s="24" t="n">
        <f aca="false">IF(G87="","",IF(AND(G88=5,In!$K$104&lt;&gt;""),In!$K$104*Players!$E$17/1000,G87))</f>
        <v>3.152595</v>
      </c>
      <c r="H89" s="24" t="n">
        <f aca="false">IF(H87="","",IF(AND(H88=5,In!$L$104&lt;&gt;""),In!$L$104*Players!$E$17/1000,H87))</f>
        <v>3.344595</v>
      </c>
      <c r="I89" s="24" t="n">
        <f aca="false">IF(I87="","",IF(AND(I88=5,In!$M$104&lt;&gt;""),In!$M$104*Players!$E$17/1000,I87))</f>
        <v>6.130595</v>
      </c>
      <c r="J89" s="24" t="n">
        <f aca="false">IF(J87="","",IF(AND(J88=5,In!$N$104&lt;&gt;""),In!$N$104*Players!$E$17/1000,J87))</f>
        <v>6.498595</v>
      </c>
      <c r="K89" s="24" t="n">
        <f aca="false">IF(K87="","",IF(AND(K88=5,In!$O$104&lt;&gt;""),In!$O$104*Players!$E$17/1000,K87))</f>
        <v>6.498595</v>
      </c>
      <c r="L89" s="24" t="n">
        <f aca="false">IF(L87="","",IF(AND(L88=5,In!$P$104&lt;&gt;""),In!$P$104*Players!$E$17/1000,L87))</f>
        <v>6.498595</v>
      </c>
      <c r="M89" s="24" t="n">
        <f aca="false">IF(M87="","",IF(AND(M88=5,In!$Q$104&lt;&gt;""),In!$Q$104*Players!$E$17/1000,M87))</f>
        <v>6.498595</v>
      </c>
    </row>
    <row r="90" customFormat="false" ht="17.15" hidden="false" customHeight="false" outlineLevel="0" collapsed="false">
      <c r="A90" s="5" t="s">
        <v>988</v>
      </c>
      <c r="B90" s="0" t="s">
        <v>1051</v>
      </c>
      <c r="C90" s="0" t="s">
        <v>77</v>
      </c>
      <c r="D90" s="24" t="str">
        <f aca="false">IF(D87="","",IF(AND(D88=5,In!$H$104&lt;&gt;""),In!$H$104*Players!$F$17/1000,D87))</f>
        <v/>
      </c>
      <c r="E90" s="24" t="n">
        <f aca="false">IF(E87="","",IF(AND(E88=5,In!$I$104&lt;&gt;""),In!$I$104*Players!$F$17/1000,E87))</f>
        <v>1.08888</v>
      </c>
      <c r="F90" s="24" t="n">
        <f aca="false">IF(F87="","",IF(AND(F88=5,In!$J$104&lt;&gt;""),In!$J$104*Players!$F$17/1000,F87))</f>
        <v>2.784496</v>
      </c>
      <c r="G90" s="24" t="n">
        <f aca="false">IF(G87="","",IF(AND(G88=5,In!$K$104&lt;&gt;""),In!$K$104*Players!$F$17/1000,G87))</f>
        <v>3.152595</v>
      </c>
      <c r="H90" s="24" t="n">
        <f aca="false">IF(H87="","",IF(AND(H88=5,In!$L$104&lt;&gt;""),In!$L$104*Players!$F$17/1000,H87))</f>
        <v>3.344595</v>
      </c>
      <c r="I90" s="24" t="n">
        <f aca="false">IF(I87="","",IF(AND(I88=5,In!$M$104&lt;&gt;""),In!$M$104*Players!$F$17/1000,I87))</f>
        <v>6.130595</v>
      </c>
      <c r="J90" s="24" t="n">
        <f aca="false">IF(J87="","",IF(AND(J88=5,In!$N$104&lt;&gt;""),In!$N$104*Players!$F$17/1000,J87))</f>
        <v>6.498595</v>
      </c>
      <c r="K90" s="24" t="n">
        <f aca="false">IF(K87="","",IF(AND(K88=5,In!$O$104&lt;&gt;""),In!$O$104*Players!$F$17/1000,K87))</f>
        <v>6.498595</v>
      </c>
      <c r="L90" s="24" t="n">
        <f aca="false">IF(L87="","",IF(AND(L88=5,In!$P$104&lt;&gt;""),In!$P$104*Players!$F$17/1000,L87))</f>
        <v>6.498595</v>
      </c>
      <c r="M90" s="24" t="n">
        <f aca="false">IF(M87="","",IF(AND(M88=5,In!$Q$104&lt;&gt;""),In!$Q$104*Players!$F$17/1000,M87))</f>
        <v>6.498595</v>
      </c>
    </row>
    <row r="91" customFormat="false" ht="17.15" hidden="false" customHeight="false" outlineLevel="0" collapsed="false">
      <c r="A91" s="5" t="s">
        <v>990</v>
      </c>
      <c r="B91" s="0" t="s">
        <v>1052</v>
      </c>
      <c r="C91" s="0" t="s">
        <v>77</v>
      </c>
      <c r="D91" s="24" t="str">
        <f aca="false">IF(D87="","",IF(In!$C$111="未說明",D87/D$13,D87))</f>
        <v/>
      </c>
      <c r="E91" s="24" t="n">
        <f aca="false">IF(E87="","",IF(In!$C$111="未說明",E87/E$13,E87))</f>
        <v>0.968475</v>
      </c>
      <c r="F91" s="24" t="n">
        <f aca="false">IF(F87="","",IF(In!$C$111="未說明",F87/F$13,F87))</f>
        <v>2.476595</v>
      </c>
      <c r="G91" s="24" t="n">
        <f aca="false">IF(G87="","",IF(In!$C$111="未說明",G87/G$13,G87))</f>
        <v>3.152595</v>
      </c>
      <c r="H91" s="24" t="n">
        <f aca="false">IF(H87="","",IF(In!$C$111="未說明",H87/H$13,H87))</f>
        <v>3.344595</v>
      </c>
      <c r="I91" s="24" t="n">
        <f aca="false">IF(I87="","",IF(In!$C$111="未說明",I87/I$13,I87))</f>
        <v>6.130595</v>
      </c>
      <c r="J91" s="24" t="n">
        <f aca="false">IF(J87="","",IF(In!$C$111="未說明",J87/J$13,J87))</f>
        <v>6.498595</v>
      </c>
      <c r="K91" s="24" t="n">
        <f aca="false">IF(K87="","",IF(In!$C$111="未說明",K87/K$13,K87))</f>
        <v>6.498595</v>
      </c>
      <c r="L91" s="24" t="n">
        <f aca="false">IF(L87="","",IF(In!$C$111="未說明",L87/L$13,L87))</f>
        <v>6.498595</v>
      </c>
      <c r="M91" s="24" t="n">
        <f aca="false">IF(M87="","",IF(In!$C$111="未說明",M87/M$13,M87))</f>
        <v>6.498595</v>
      </c>
    </row>
    <row r="92" customFormat="false" ht="17.15" hidden="false" customHeight="false" outlineLevel="0" collapsed="false">
      <c r="A92" s="5" t="s">
        <v>992</v>
      </c>
      <c r="B92" s="0" t="s">
        <v>1053</v>
      </c>
      <c r="C92" s="0" t="s">
        <v>77</v>
      </c>
      <c r="D92" s="0" t="str">
        <f aca="false">""</f>
        <v/>
      </c>
      <c r="E92" s="24" t="str">
        <f aca="false">IF(AND(D87&lt;&gt;"",E87&lt;&gt;""),(D87+E87)/2,"")</f>
        <v/>
      </c>
      <c r="F92" s="24" t="n">
        <f aca="false">IF(AND(E87&lt;&gt;"",F87&lt;&gt;""),(E87+F87)/2,"")</f>
        <v>1.722535</v>
      </c>
      <c r="G92" s="24" t="n">
        <f aca="false">IF(AND(F87&lt;&gt;"",G87&lt;&gt;""),(F87+G87)/2,"")</f>
        <v>2.814595</v>
      </c>
      <c r="H92" s="24" t="n">
        <f aca="false">IF(AND(G87&lt;&gt;"",H87&lt;&gt;""),(G87+H87)/2,"")</f>
        <v>3.248595</v>
      </c>
      <c r="I92" s="24" t="n">
        <f aca="false">IF(AND(H87&lt;&gt;"",I87&lt;&gt;""),(H87+I87)/2,"")</f>
        <v>4.737595</v>
      </c>
      <c r="J92" s="24" t="n">
        <f aca="false">IF(AND(I87&lt;&gt;"",J87&lt;&gt;""),(I87+J87)/2,"")</f>
        <v>6.314595</v>
      </c>
      <c r="K92" s="24" t="n">
        <f aca="false">IF(AND(J87&lt;&gt;"",K87&lt;&gt;""),(J87+K87)/2,"")</f>
        <v>6.498595</v>
      </c>
      <c r="L92" s="24" t="n">
        <f aca="false">IF(AND(K87&lt;&gt;"",L87&lt;&gt;""),(K87+L87)/2,"")</f>
        <v>6.498595</v>
      </c>
      <c r="M92" s="24" t="n">
        <f aca="false">IF(AND(L87&lt;&gt;"",M87&lt;&gt;""),(L87+M87)/2,"")</f>
        <v>6.498595</v>
      </c>
    </row>
    <row r="93" customFormat="false" ht="17.15" hidden="false" customHeight="false" outlineLevel="0" collapsed="false">
      <c r="A93" s="5" t="s">
        <v>994</v>
      </c>
      <c r="B93" s="0" t="s">
        <v>1054</v>
      </c>
      <c r="C93" s="0" t="s">
        <v>77</v>
      </c>
      <c r="D93" s="0" t="n">
        <v>0</v>
      </c>
      <c r="E93" s="24" t="n">
        <f aca="false">IF(AND(D87&lt;&gt;"",E87&lt;&gt;""),E87-D87,0)</f>
        <v>0</v>
      </c>
      <c r="F93" s="24" t="n">
        <f aca="false">IF(AND(E87&lt;&gt;"",F87&lt;&gt;""),F87-E87,0)</f>
        <v>1.50812</v>
      </c>
      <c r="G93" s="24" t="n">
        <f aca="false">IF(AND(F87&lt;&gt;"",G87&lt;&gt;""),G87-F87,0)</f>
        <v>0.676</v>
      </c>
      <c r="H93" s="24" t="n">
        <f aca="false">IF(AND(G87&lt;&gt;"",H87&lt;&gt;""),H87-G87,0)</f>
        <v>0.192</v>
      </c>
      <c r="I93" s="24" t="n">
        <f aca="false">IF(AND(H87&lt;&gt;"",I87&lt;&gt;""),I87-H87,0)</f>
        <v>2.786</v>
      </c>
      <c r="J93" s="24" t="n">
        <f aca="false">IF(AND(I87&lt;&gt;"",J87&lt;&gt;""),J87-I87,0)</f>
        <v>0.368</v>
      </c>
      <c r="K93" s="24" t="n">
        <f aca="false">IF(AND(J87&lt;&gt;"",K87&lt;&gt;""),K87-J87,0)</f>
        <v>0</v>
      </c>
      <c r="L93" s="24" t="n">
        <f aca="false">IF(AND(K87&lt;&gt;"",L87&lt;&gt;""),L87-K87,0)</f>
        <v>0</v>
      </c>
      <c r="M93" s="24" t="n">
        <f aca="false">IF(AND(L87&lt;&gt;"",M87&lt;&gt;""),M87-L87,0)</f>
        <v>0</v>
      </c>
    </row>
    <row r="94" customFormat="false" ht="17.15" hidden="false" customHeight="false" outlineLevel="0" collapsed="false">
      <c r="A94" s="5" t="s">
        <v>996</v>
      </c>
      <c r="B94" s="0" t="s">
        <v>1055</v>
      </c>
      <c r="C94" s="0" t="s">
        <v>77</v>
      </c>
      <c r="D94" s="24" t="n">
        <f aca="false">IF(D87&lt;&gt;"",D87,0)</f>
        <v>0</v>
      </c>
      <c r="E94" s="24" t="n">
        <f aca="false">IF(AND(D87="",E87&lt;&gt;""),E87,0)</f>
        <v>0.968475</v>
      </c>
      <c r="F94" s="24" t="n">
        <f aca="false">IF(AND(E87="",F87&lt;&gt;""),F87,0)</f>
        <v>0</v>
      </c>
      <c r="G94" s="24" t="n">
        <f aca="false">IF(AND(F87="",G87&lt;&gt;""),G87,0)</f>
        <v>0</v>
      </c>
      <c r="H94" s="24" t="n">
        <f aca="false">IF(AND(G87="",H87&lt;&gt;""),H87,0)</f>
        <v>0</v>
      </c>
      <c r="I94" s="24" t="n">
        <f aca="false">IF(AND(H87="",I87&lt;&gt;""),I87,0)</f>
        <v>0</v>
      </c>
      <c r="J94" s="24" t="n">
        <f aca="false">IF(AND(I87="",J87&lt;&gt;""),J87,0)</f>
        <v>0</v>
      </c>
      <c r="K94" s="24" t="n">
        <f aca="false">IF(AND(J87="",K87&lt;&gt;""),K87,0)</f>
        <v>0</v>
      </c>
      <c r="L94" s="24" t="n">
        <f aca="false">IF(AND(K87="",L87&lt;&gt;""),L87,0)</f>
        <v>0</v>
      </c>
      <c r="M94" s="24" t="n">
        <f aca="false">IF(AND(L87="",M87&lt;&gt;""),M87,0)</f>
        <v>0</v>
      </c>
    </row>
    <row r="95" customFormat="false" ht="17.15" hidden="false" customHeight="false" outlineLevel="0" collapsed="false">
      <c r="A95" s="5" t="s">
        <v>998</v>
      </c>
      <c r="B95" s="0" t="s">
        <v>1056</v>
      </c>
      <c r="C95" s="0" t="s">
        <v>52</v>
      </c>
      <c r="D95" s="23" t="n">
        <f aca="false">D$12</f>
        <v>0.238210067173108</v>
      </c>
      <c r="E95" s="23" t="n">
        <f aca="false">E$12</f>
        <v>0.238210067173108</v>
      </c>
      <c r="F95" s="23" t="n">
        <f aca="false">F$12</f>
        <v>0.238210067173108</v>
      </c>
      <c r="G95" s="23" t="n">
        <f aca="false">G$12</f>
        <v>0.238210067173108</v>
      </c>
      <c r="H95" s="23" t="n">
        <f aca="false">H$12</f>
        <v>0.273101862203342</v>
      </c>
      <c r="I95" s="23" t="n">
        <f aca="false">I$12</f>
        <v>0.269621396123668</v>
      </c>
      <c r="J95" s="23" t="n">
        <f aca="false">J$12</f>
        <v>0.272187509408712</v>
      </c>
      <c r="K95" s="23" t="n">
        <f aca="false">K$12</f>
        <v>0.272187509408712</v>
      </c>
      <c r="L95" s="23" t="n">
        <f aca="false">L$12</f>
        <v>0.272187509408712</v>
      </c>
      <c r="M95" s="23" t="n">
        <f aca="false">M$12</f>
        <v>0.272187509408712</v>
      </c>
    </row>
    <row r="97" customFormat="false" ht="17.15" hidden="false" customHeight="false" outlineLevel="0" collapsed="false">
      <c r="A97" s="8" t="s">
        <v>1057</v>
      </c>
      <c r="B97" s="20" t="s">
        <v>530</v>
      </c>
      <c r="N97" s="20" t="s">
        <v>1058</v>
      </c>
    </row>
    <row r="98" customFormat="false" ht="17.15" hidden="false" customHeight="false" outlineLevel="0" collapsed="false">
      <c r="A98" s="5" t="s">
        <v>966</v>
      </c>
      <c r="B98" s="0" t="s">
        <v>1059</v>
      </c>
      <c r="C98" s="0" t="s">
        <v>77</v>
      </c>
      <c r="D98" s="24" t="str">
        <f aca="false">IF(In!$H$112="","",IF(In!$C$112="設施",In!$H$112/1000/D$13,In!$H$112/1000))</f>
        <v/>
      </c>
      <c r="E98" s="24" t="str">
        <f aca="false">IF(In!$I$112="","",IF(In!$C$112="設施",In!$I$112/1000/E$13,In!$I$112/1000))</f>
        <v/>
      </c>
      <c r="F98" s="24" t="str">
        <f aca="false">IF(In!$J$112="","",IF(In!$C$112="設施",In!$J$112/1000/F$13,In!$J$112/1000))</f>
        <v/>
      </c>
      <c r="G98" s="24" t="str">
        <f aca="false">IF(In!$K$112="","",IF(In!$C$112="設施",In!$K$112/1000/G$13,In!$K$112/1000))</f>
        <v/>
      </c>
      <c r="H98" s="24" t="str">
        <f aca="false">IF(In!$L$112="","",IF(In!$C$112="設施",In!$L$112/1000/H$13,In!$L$112/1000))</f>
        <v/>
      </c>
      <c r="I98" s="24" t="str">
        <f aca="false">IF(In!$M$112="","",IF(In!$C$112="設施",In!$M$112/1000/I$13,In!$M$112/1000))</f>
        <v/>
      </c>
      <c r="J98" s="24" t="str">
        <f aca="false">IF(In!$N$112="","",IF(In!$C$112="設施",In!$N$112/1000/J$13,In!$N$112/1000))</f>
        <v/>
      </c>
      <c r="K98" s="24" t="str">
        <f aca="false">IF(In!$O$112="","",IF(In!$C$112="設施",In!$O$112/1000/K$13,In!$O$112/1000))</f>
        <v/>
      </c>
      <c r="L98" s="24" t="str">
        <f aca="false">IF(In!$P$112="","",IF(In!$C$112="設施",In!$P$112/1000/L$13,In!$P$112/1000))</f>
        <v/>
      </c>
      <c r="M98" s="24" t="str">
        <f aca="false">IF(In!$Q$112="","",IF(In!$C$112="設施",In!$Q$112/1000/M$13,In!$Q$112/1000))</f>
        <v/>
      </c>
    </row>
    <row r="99" customFormat="false" ht="17.15" hidden="false" customHeight="false" outlineLevel="0" collapsed="false">
      <c r="A99" s="5" t="s">
        <v>968</v>
      </c>
      <c r="B99" s="0" t="s">
        <v>1060</v>
      </c>
      <c r="C99" s="0" t="s">
        <v>77</v>
      </c>
      <c r="D99" s="24" t="str">
        <f aca="false">IF(In!$H$105="","",In!$H$105*Players!$D$18/1000)</f>
        <v/>
      </c>
      <c r="E99" s="24" t="n">
        <f aca="false">IF(In!$I$105="","",In!$I$105*Players!$D$18/1000)</f>
        <v>0.386465</v>
      </c>
      <c r="F99" s="24" t="n">
        <f aca="false">IF(In!$J$105="","",In!$J$105*Players!$D$18/1000)</f>
        <v>1.20287</v>
      </c>
      <c r="G99" s="24" t="str">
        <f aca="false">IF(In!$K$105="","",In!$K$105*Players!$D$18/1000)</f>
        <v/>
      </c>
      <c r="H99" s="24" t="str">
        <f aca="false">IF(In!$L$105="","",In!$L$105*Players!$D$18/1000)</f>
        <v/>
      </c>
      <c r="I99" s="24" t="str">
        <f aca="false">IF(In!$M$105="","",In!$M$105*Players!$D$18/1000)</f>
        <v/>
      </c>
      <c r="J99" s="24" t="str">
        <f aca="false">IF(In!$N$105="","",In!$N$105*Players!$D$18/1000)</f>
        <v/>
      </c>
      <c r="K99" s="24" t="str">
        <f aca="false">IF(In!$O$105="","",In!$O$105*Players!$D$18/1000)</f>
        <v/>
      </c>
      <c r="L99" s="24" t="str">
        <f aca="false">IF(In!$P$105="","",In!$P$105*Players!$D$18/1000)</f>
        <v/>
      </c>
      <c r="M99" s="24" t="str">
        <f aca="false">IF(In!$Q$105="","",In!$Q$105*Players!$D$18/1000)</f>
        <v/>
      </c>
    </row>
    <row r="100" customFormat="false" ht="15" hidden="false" customHeight="false" outlineLevel="0" collapsed="false">
      <c r="A100" s="5" t="s">
        <v>970</v>
      </c>
      <c r="B100" s="0" t="s">
        <v>1061</v>
      </c>
      <c r="C100" s="0" t="s">
        <v>77</v>
      </c>
      <c r="D100" s="24" t="str">
        <f aca="false">IF(D98&lt;&gt;"",D98,IF(D99&lt;&gt;"",D99,IF(INT(obsd_orcl)=2023,obs_orcl/1000+SUMIFS(Pipeline!$L$5:$L$64,Pipeline!$C$5:$C$64,"orcl",Pipeline!$Q$5:$Q$64,1,Pipeline!$K$5:$K$64,"&gt;"&amp;obsd_orcl,Pipeline!$K$5:$K$64,"&lt;="&amp;2024),"")))</f>
        <v/>
      </c>
      <c r="E100" s="24" t="n">
        <f aca="false">IF(E98&lt;&gt;"",E98,IF(E99&lt;&gt;"",E99,IF(INT(obsd_orcl)=2024,obs_orcl/1000+SUMIFS(Pipeline!$L$5:$L$64,Pipeline!$C$5:$C$64,"orcl",Pipeline!$Q$5:$Q$64,1,Pipeline!$K$5:$K$64,"&gt;"&amp;obsd_orcl,Pipeline!$K$5:$K$64,"&lt;="&amp;2025),"")))</f>
        <v>0.386465</v>
      </c>
      <c r="F100" s="24" t="n">
        <f aca="false">IF(F98&lt;&gt;"",F98,IF(F99&lt;&gt;"",F99,IF(INT(obsd_orcl)=2025,obs_orcl/1000+SUMIFS(Pipeline!$L$5:$L$64,Pipeline!$C$5:$C$64,"orcl",Pipeline!$Q$5:$Q$64,1,Pipeline!$K$5:$K$64,"&gt;"&amp;obsd_orcl,Pipeline!$K$5:$K$64,"&lt;="&amp;2026),"")))</f>
        <v>1.20287</v>
      </c>
      <c r="G100" s="24" t="n">
        <f aca="false">IF(G98&lt;&gt;"",G98,IF(G99&lt;&gt;"",G99,IF(INT(obsd_orcl)=2026,obs_orcl/1000+SUMIFS(Pipeline!$L$5:$L$64,Pipeline!$C$5:$C$64,"orcl",Pipeline!$Q$5:$Q$64,1,Pipeline!$K$5:$K$64,"&gt;"&amp;obsd_orcl,Pipeline!$K$5:$K$64,"&lt;="&amp;2027),"")))</f>
        <v>2.749</v>
      </c>
      <c r="H100" s="24" t="str">
        <f aca="false">IF(H98&lt;&gt;"",H98,IF(H99&lt;&gt;"",H99,IF(INT(obsd_orcl)=2027,obs_orcl/1000+SUMIFS(Pipeline!$L$5:$L$64,Pipeline!$C$5:$C$64,"orcl",Pipeline!$Q$5:$Q$64,1,Pipeline!$K$5:$K$64,"&gt;"&amp;obsd_orcl,Pipeline!$K$5:$K$64,"&lt;="&amp;2028),"")))</f>
        <v/>
      </c>
      <c r="I100" s="24" t="str">
        <f aca="false">IF(I98&lt;&gt;"",I98,IF(I99&lt;&gt;"",I99,IF(INT(obsd_orcl)=2028,obs_orcl/1000+SUMIFS(Pipeline!$L$5:$L$64,Pipeline!$C$5:$C$64,"orcl",Pipeline!$Q$5:$Q$64,1,Pipeline!$K$5:$K$64,"&gt;"&amp;obsd_orcl,Pipeline!$K$5:$K$64,"&lt;="&amp;2029),"")))</f>
        <v/>
      </c>
      <c r="J100" s="24" t="str">
        <f aca="false">IF(J98&lt;&gt;"",J98,IF(J99&lt;&gt;"",J99,IF(INT(obsd_orcl)=2029,obs_orcl/1000+SUMIFS(Pipeline!$L$5:$L$64,Pipeline!$C$5:$C$64,"orcl",Pipeline!$Q$5:$Q$64,1,Pipeline!$K$5:$K$64,"&gt;"&amp;obsd_orcl,Pipeline!$K$5:$K$64,"&lt;="&amp;2030),"")))</f>
        <v/>
      </c>
      <c r="K100" s="24" t="str">
        <f aca="false">IF(K98&lt;&gt;"",K98,IF(K99&lt;&gt;"",K99,IF(INT(obsd_orcl)=2030,obs_orcl/1000+SUMIFS(Pipeline!$L$5:$L$64,Pipeline!$C$5:$C$64,"orcl",Pipeline!$Q$5:$Q$64,1,Pipeline!$K$5:$K$64,"&gt;"&amp;obsd_orcl,Pipeline!$K$5:$K$64,"&lt;="&amp;2031),"")))</f>
        <v/>
      </c>
      <c r="L100" s="24" t="str">
        <f aca="false">IF(L98&lt;&gt;"",L98,IF(L99&lt;&gt;"",L99,IF(INT(obsd_orcl)=2031,obs_orcl/1000+SUMIFS(Pipeline!$L$5:$L$64,Pipeline!$C$5:$C$64,"orcl",Pipeline!$Q$5:$Q$64,1,Pipeline!$K$5:$K$64,"&gt;"&amp;obsd_orcl,Pipeline!$K$5:$K$64,"&lt;="&amp;2032),"")))</f>
        <v/>
      </c>
      <c r="M100" s="24" t="str">
        <f aca="false">IF(M98&lt;&gt;"",M98,IF(M99&lt;&gt;"",M99,IF(INT(obsd_orcl)=2032,obs_orcl/1000+SUMIFS(Pipeline!$L$5:$L$64,Pipeline!$C$5:$C$64,"orcl",Pipeline!$Q$5:$Q$64,1,Pipeline!$K$5:$K$64,"&gt;"&amp;obsd_orcl,Pipeline!$K$5:$K$64,"&lt;="&amp;2033),"")))</f>
        <v/>
      </c>
    </row>
    <row r="101" customFormat="false" ht="15" hidden="false" customHeight="false" outlineLevel="0" collapsed="false">
      <c r="A101" s="5" t="s">
        <v>972</v>
      </c>
      <c r="B101" s="0" t="s">
        <v>1062</v>
      </c>
      <c r="C101" s="0" t="s">
        <v>77</v>
      </c>
      <c r="D101" s="0" t="str">
        <f aca="false">IF(D100&lt;&gt;"",D100,"")</f>
        <v/>
      </c>
      <c r="E101" s="24" t="n">
        <f aca="false">IF(E100&lt;&gt;"",E100,D101)</f>
        <v>0.386465</v>
      </c>
      <c r="F101" s="24" t="n">
        <f aca="false">IF(F100&lt;&gt;"",F100,E101)</f>
        <v>1.20287</v>
      </c>
      <c r="G101" s="24" t="n">
        <f aca="false">IF(G100&lt;&gt;"",G100,F101)</f>
        <v>2.749</v>
      </c>
      <c r="H101" s="24" t="n">
        <f aca="false">IF(H100&lt;&gt;"",H100,G101)</f>
        <v>2.749</v>
      </c>
      <c r="I101" s="24" t="n">
        <f aca="false">IF(I100&lt;&gt;"",I100,H101)</f>
        <v>2.749</v>
      </c>
      <c r="J101" s="24" t="n">
        <f aca="false">IF(J100&lt;&gt;"",J100,I101)</f>
        <v>2.749</v>
      </c>
      <c r="K101" s="24" t="n">
        <f aca="false">IF(K100&lt;&gt;"",K100,J101)</f>
        <v>2.749</v>
      </c>
      <c r="L101" s="24" t="n">
        <f aca="false">IF(L100&lt;&gt;"",L100,K101)</f>
        <v>2.749</v>
      </c>
      <c r="M101" s="24" t="n">
        <f aca="false">IF(M100&lt;&gt;"",M100,L101)</f>
        <v>2.749</v>
      </c>
    </row>
    <row r="102" customFormat="false" ht="15" hidden="false" customHeight="false" outlineLevel="0" collapsed="false">
      <c r="A102" s="5" t="s">
        <v>974</v>
      </c>
      <c r="B102" s="0" t="s">
        <v>1063</v>
      </c>
      <c r="C102" s="5" t="s">
        <v>47</v>
      </c>
      <c r="D102" s="0" t="str">
        <f aca="false">IF(D100&lt;&gt;"",2023,"")</f>
        <v/>
      </c>
      <c r="E102" s="0" t="n">
        <f aca="false">IF(E100&lt;&gt;"",2024,D102)</f>
        <v>2024</v>
      </c>
      <c r="F102" s="0" t="n">
        <f aca="false">IF(F100&lt;&gt;"",2025,E102)</f>
        <v>2025</v>
      </c>
      <c r="G102" s="0" t="n">
        <f aca="false">IF(G100&lt;&gt;"",2026,F102)</f>
        <v>2026</v>
      </c>
      <c r="H102" s="0" t="n">
        <f aca="false">IF(H100&lt;&gt;"",2027,G102)</f>
        <v>2026</v>
      </c>
      <c r="I102" s="0" t="n">
        <f aca="false">IF(I100&lt;&gt;"",2028,H102)</f>
        <v>2026</v>
      </c>
      <c r="J102" s="0" t="n">
        <f aca="false">IF(J100&lt;&gt;"",2029,I102)</f>
        <v>2026</v>
      </c>
      <c r="K102" s="0" t="n">
        <f aca="false">IF(K100&lt;&gt;"",2030,J102)</f>
        <v>2026</v>
      </c>
      <c r="L102" s="0" t="n">
        <f aca="false">IF(L100&lt;&gt;"",2031,K102)</f>
        <v>2026</v>
      </c>
      <c r="M102" s="0" t="n">
        <f aca="false">IF(M100&lt;&gt;"",2032,L102)</f>
        <v>2026</v>
      </c>
    </row>
    <row r="103" customFormat="false" ht="15" hidden="false" customHeight="false" outlineLevel="0" collapsed="false">
      <c r="A103" s="5" t="s">
        <v>976</v>
      </c>
      <c r="B103" s="0" t="s">
        <v>1064</v>
      </c>
      <c r="C103" s="0" t="s">
        <v>77</v>
      </c>
      <c r="D103" s="24" t="n">
        <f aca="false">IF(D100&lt;&gt;"",D100,E103)</f>
        <v>0.386465</v>
      </c>
      <c r="E103" s="24" t="n">
        <f aca="false">IF(E100&lt;&gt;"",E100,F103)</f>
        <v>0.386465</v>
      </c>
      <c r="F103" s="24" t="n">
        <f aca="false">IF(F100&lt;&gt;"",F100,G103)</f>
        <v>1.20287</v>
      </c>
      <c r="G103" s="24" t="n">
        <f aca="false">IF(G100&lt;&gt;"",G100,H103)</f>
        <v>2.749</v>
      </c>
      <c r="H103" s="0" t="str">
        <f aca="false">IF(H100&lt;&gt;"",H100,I103)</f>
        <v/>
      </c>
      <c r="I103" s="0" t="str">
        <f aca="false">IF(I100&lt;&gt;"",I100,J103)</f>
        <v/>
      </c>
      <c r="J103" s="0" t="str">
        <f aca="false">IF(J100&lt;&gt;"",J100,K103)</f>
        <v/>
      </c>
      <c r="K103" s="0" t="str">
        <f aca="false">IF(K100&lt;&gt;"",K100,L103)</f>
        <v/>
      </c>
      <c r="L103" s="0" t="str">
        <f aca="false">IF(L100&lt;&gt;"",L100,M103)</f>
        <v/>
      </c>
      <c r="M103" s="0" t="str">
        <f aca="false">IF(M100&lt;&gt;"",M100,"")</f>
        <v/>
      </c>
    </row>
    <row r="104" customFormat="false" ht="15" hidden="false" customHeight="false" outlineLevel="0" collapsed="false">
      <c r="A104" s="5" t="s">
        <v>978</v>
      </c>
      <c r="B104" s="0" t="s">
        <v>1065</v>
      </c>
      <c r="C104" s="5" t="s">
        <v>47</v>
      </c>
      <c r="D104" s="0" t="n">
        <f aca="false">IF(D100&lt;&gt;"",2023,E104)</f>
        <v>2024</v>
      </c>
      <c r="E104" s="0" t="n">
        <f aca="false">IF(E100&lt;&gt;"",2024,F104)</f>
        <v>2024</v>
      </c>
      <c r="F104" s="0" t="n">
        <f aca="false">IF(F100&lt;&gt;"",2025,G104)</f>
        <v>2025</v>
      </c>
      <c r="G104" s="0" t="n">
        <f aca="false">IF(G100&lt;&gt;"",2026,H104)</f>
        <v>2026</v>
      </c>
      <c r="H104" s="0" t="str">
        <f aca="false">IF(H100&lt;&gt;"",2027,I104)</f>
        <v/>
      </c>
      <c r="I104" s="0" t="str">
        <f aca="false">IF(I100&lt;&gt;"",2028,J104)</f>
        <v/>
      </c>
      <c r="J104" s="0" t="str">
        <f aca="false">IF(J100&lt;&gt;"",2029,K104)</f>
        <v/>
      </c>
      <c r="K104" s="0" t="str">
        <f aca="false">IF(K100&lt;&gt;"",2030,L104)</f>
        <v/>
      </c>
      <c r="L104" s="0" t="str">
        <f aca="false">IF(L100&lt;&gt;"",2031,M104)</f>
        <v/>
      </c>
      <c r="M104" s="0" t="str">
        <f aca="false">IF(M100&lt;&gt;"",2032,"")</f>
        <v/>
      </c>
    </row>
    <row r="105" customFormat="false" ht="17.15" hidden="false" customHeight="false" outlineLevel="0" collapsed="false">
      <c r="A105" s="5" t="s">
        <v>980</v>
      </c>
      <c r="B105" s="0" t="s">
        <v>1066</v>
      </c>
      <c r="C105" s="0" t="s">
        <v>77</v>
      </c>
      <c r="D105" s="24" t="n">
        <f aca="false">SUMIFS(Pipeline!$L$5:$L$64,Pipeline!$C$5:$C$64,"orcl",Pipeline!$Q$5:$Q$64,1,Pipeline!$P$5:$P$64,2023)</f>
        <v>0</v>
      </c>
      <c r="E105" s="24" t="n">
        <f aca="false">SUMIFS(Pipeline!$L$5:$L$64,Pipeline!$C$5:$C$64,"orcl",Pipeline!$Q$5:$Q$64,1,Pipeline!$P$5:$P$64,2024)</f>
        <v>0</v>
      </c>
      <c r="F105" s="24" t="n">
        <f aca="false">SUMIFS(Pipeline!$L$5:$L$64,Pipeline!$C$5:$C$64,"orcl",Pipeline!$Q$5:$Q$64,1,Pipeline!$P$5:$P$64,2025)</f>
        <v>0</v>
      </c>
      <c r="G105" s="24" t="n">
        <f aca="false">SUMIFS(Pipeline!$L$5:$L$64,Pipeline!$C$5:$C$64,"orcl",Pipeline!$Q$5:$Q$64,1,Pipeline!$P$5:$P$64,2026)</f>
        <v>0.206</v>
      </c>
      <c r="H105" s="24" t="n">
        <f aca="false">SUMIFS(Pipeline!$L$5:$L$64,Pipeline!$C$5:$C$64,"orcl",Pipeline!$Q$5:$Q$64,1,Pipeline!$P$5:$P$64,2027)</f>
        <v>0.166666666666667</v>
      </c>
      <c r="I105" s="24" t="n">
        <f aca="false">SUMIFS(Pipeline!$L$5:$L$64,Pipeline!$C$5:$C$64,"orcl",Pipeline!$Q$5:$Q$64,1,Pipeline!$P$5:$P$64,2028)</f>
        <v>5.56916666666667</v>
      </c>
      <c r="J105" s="24" t="n">
        <f aca="false">SUMIFS(Pipeline!$L$5:$L$64,Pipeline!$C$5:$C$64,"orcl",Pipeline!$Q$5:$Q$64,1,Pipeline!$P$5:$P$64,2029)</f>
        <v>0</v>
      </c>
      <c r="K105" s="24" t="n">
        <f aca="false">SUMIFS(Pipeline!$L$5:$L$64,Pipeline!$C$5:$C$64,"orcl",Pipeline!$Q$5:$Q$64,1,Pipeline!$P$5:$P$64,2030)</f>
        <v>0</v>
      </c>
      <c r="L105" s="24" t="n">
        <f aca="false">SUMIFS(Pipeline!$L$5:$L$64,Pipeline!$C$5:$C$64,"orcl",Pipeline!$Q$5:$Q$64,1,Pipeline!$P$5:$P$64,2031)</f>
        <v>0</v>
      </c>
      <c r="M105" s="24" t="n">
        <f aca="false">SUMIFS(Pipeline!$L$5:$L$64,Pipeline!$C$5:$C$64,"orcl",Pipeline!$Q$5:$Q$64,1,Pipeline!$P$5:$P$64,2032)</f>
        <v>0</v>
      </c>
    </row>
    <row r="106" customFormat="false" ht="17.15" hidden="false" customHeight="false" outlineLevel="0" collapsed="false">
      <c r="A106" s="5" t="s">
        <v>982</v>
      </c>
      <c r="B106" s="0" t="s">
        <v>1067</v>
      </c>
      <c r="C106" s="0" t="s">
        <v>77</v>
      </c>
      <c r="D106" s="25" t="str">
        <f aca="false">IF(D100&lt;&gt;"",D100,IF(AND(D101&lt;&gt;"",D103&lt;&gt;""),D101+(D103-D101)*(2023-D102)/(D104-D102),""))</f>
        <v/>
      </c>
      <c r="E106" s="25" t="n">
        <f aca="false">IF(E100&lt;&gt;"",E100,IF(AND(E101&lt;&gt;"",E103&lt;&gt;""),E101+(E103-E101)*(2024-E102)/(E104-E102),IF(D106&lt;&gt;"",D106+E105,"")))</f>
        <v>0.386465</v>
      </c>
      <c r="F106" s="25" t="n">
        <f aca="false">IF(F100&lt;&gt;"",F100,IF(AND(F101&lt;&gt;"",F103&lt;&gt;""),F101+(F103-F101)*(2025-F102)/(F104-F102),IF(E106&lt;&gt;"",E106+F105,"")))</f>
        <v>1.20287</v>
      </c>
      <c r="G106" s="25" t="n">
        <f aca="false">IF(G100&lt;&gt;"",G100,IF(AND(G101&lt;&gt;"",G103&lt;&gt;""),G101+(G103-G101)*(2026-G102)/(G104-G102),IF(F106&lt;&gt;"",F106+G105,"")))</f>
        <v>2.749</v>
      </c>
      <c r="H106" s="25" t="n">
        <f aca="false">IF(H100&lt;&gt;"",H100,IF(AND(H101&lt;&gt;"",H103&lt;&gt;""),H101+(H103-H101)*(2027-H102)/(H104-H102),IF(G106&lt;&gt;"",G106+H105,"")))</f>
        <v>2.91566666666667</v>
      </c>
      <c r="I106" s="25" t="n">
        <f aca="false">IF(I100&lt;&gt;"",I100,IF(AND(I101&lt;&gt;"",I103&lt;&gt;""),I101+(I103-I101)*(2028-I102)/(I104-I102),IF(H106&lt;&gt;"",H106+I105,"")))</f>
        <v>8.48483333333333</v>
      </c>
      <c r="J106" s="25" t="n">
        <f aca="false">IF(J100&lt;&gt;"",J100,IF(AND(J101&lt;&gt;"",J103&lt;&gt;""),J101+(J103-J101)*(2029-J102)/(J104-J102),IF(I106&lt;&gt;"",I106+J105,"")))</f>
        <v>8.48483333333333</v>
      </c>
      <c r="K106" s="25" t="n">
        <f aca="false">IF(K100&lt;&gt;"",K100,IF(AND(K101&lt;&gt;"",K103&lt;&gt;""),K101+(K103-K101)*(2030-K102)/(K104-K102),IF(J106&lt;&gt;"",J106+K105,"")))</f>
        <v>8.48483333333333</v>
      </c>
      <c r="L106" s="25" t="n">
        <f aca="false">IF(L100&lt;&gt;"",L100,IF(AND(L101&lt;&gt;"",L103&lt;&gt;""),L101+(L103-L101)*(2031-L102)/(L104-L102),IF(K106&lt;&gt;"",K106+L105,"")))</f>
        <v>8.48483333333333</v>
      </c>
      <c r="M106" s="25" t="n">
        <f aca="false">IF(M100&lt;&gt;"",M100,IF(AND(M101&lt;&gt;"",M103&lt;&gt;""),M101+(M103-M101)*(2032-M102)/(M104-M102),IF(L106&lt;&gt;"",L106+M105,"")))</f>
        <v>8.48483333333333</v>
      </c>
    </row>
    <row r="107" customFormat="false" ht="15" hidden="false" customHeight="false" outlineLevel="0" collapsed="false">
      <c r="A107" s="5" t="s">
        <v>984</v>
      </c>
      <c r="B107" s="0" t="s">
        <v>1068</v>
      </c>
      <c r="C107" s="0" t="s">
        <v>35</v>
      </c>
      <c r="D107" s="0" t="n">
        <f aca="false">IF(D98&lt;&gt;"",1,IF(D99&lt;&gt;"",5,IF(D100&lt;&gt;"",2,IF(AND(D101&lt;&gt;"",D103&lt;&gt;""),3,IF(D106&lt;&gt;"",4,0)))))</f>
        <v>0</v>
      </c>
      <c r="E107" s="0" t="n">
        <f aca="false">IF(E98&lt;&gt;"",1,IF(E99&lt;&gt;"",5,IF(E100&lt;&gt;"",2,IF(AND(E101&lt;&gt;"",E103&lt;&gt;""),3,IF(E106&lt;&gt;"",4,0)))))</f>
        <v>5</v>
      </c>
      <c r="F107" s="0" t="n">
        <f aca="false">IF(F98&lt;&gt;"",1,IF(F99&lt;&gt;"",5,IF(F100&lt;&gt;"",2,IF(AND(F101&lt;&gt;"",F103&lt;&gt;""),3,IF(F106&lt;&gt;"",4,0)))))</f>
        <v>5</v>
      </c>
      <c r="G107" s="0" t="n">
        <f aca="false">IF(G98&lt;&gt;"",1,IF(G99&lt;&gt;"",5,IF(G100&lt;&gt;"",2,IF(AND(G101&lt;&gt;"",G103&lt;&gt;""),3,IF(G106&lt;&gt;"",4,0)))))</f>
        <v>2</v>
      </c>
      <c r="H107" s="0" t="n">
        <f aca="false">IF(H98&lt;&gt;"",1,IF(H99&lt;&gt;"",5,IF(H100&lt;&gt;"",2,IF(AND(H101&lt;&gt;"",H103&lt;&gt;""),3,IF(H106&lt;&gt;"",4,0)))))</f>
        <v>4</v>
      </c>
      <c r="I107" s="0" t="n">
        <f aca="false">IF(I98&lt;&gt;"",1,IF(I99&lt;&gt;"",5,IF(I100&lt;&gt;"",2,IF(AND(I101&lt;&gt;"",I103&lt;&gt;""),3,IF(I106&lt;&gt;"",4,0)))))</f>
        <v>4</v>
      </c>
      <c r="J107" s="0" t="n">
        <f aca="false">IF(J98&lt;&gt;"",1,IF(J99&lt;&gt;"",5,IF(J100&lt;&gt;"",2,IF(AND(J101&lt;&gt;"",J103&lt;&gt;""),3,IF(J106&lt;&gt;"",4,0)))))</f>
        <v>4</v>
      </c>
      <c r="K107" s="0" t="n">
        <f aca="false">IF(K98&lt;&gt;"",1,IF(K99&lt;&gt;"",5,IF(K100&lt;&gt;"",2,IF(AND(K101&lt;&gt;"",K103&lt;&gt;""),3,IF(K106&lt;&gt;"",4,0)))))</f>
        <v>4</v>
      </c>
      <c r="L107" s="0" t="n">
        <f aca="false">IF(L98&lt;&gt;"",1,IF(L99&lt;&gt;"",5,IF(L100&lt;&gt;"",2,IF(AND(L101&lt;&gt;"",L103&lt;&gt;""),3,IF(L106&lt;&gt;"",4,0)))))</f>
        <v>4</v>
      </c>
      <c r="M107" s="0" t="n">
        <f aca="false">IF(M98&lt;&gt;"",1,IF(M99&lt;&gt;"",5,IF(M100&lt;&gt;"",2,IF(AND(M101&lt;&gt;"",M103&lt;&gt;""),3,IF(M106&lt;&gt;"",4,0)))))</f>
        <v>4</v>
      </c>
    </row>
    <row r="108" customFormat="false" ht="17.15" hidden="false" customHeight="false" outlineLevel="0" collapsed="false">
      <c r="A108" s="5" t="s">
        <v>986</v>
      </c>
      <c r="B108" s="0" t="s">
        <v>1069</v>
      </c>
      <c r="C108" s="0" t="s">
        <v>77</v>
      </c>
      <c r="D108" s="24" t="str">
        <f aca="false">IF(D106="","",IF(AND(D107=5,In!$H$105&lt;&gt;""),In!$H$105*Players!$E$18/1000,D106))</f>
        <v/>
      </c>
      <c r="E108" s="24" t="n">
        <f aca="false">IF(E106="","",IF(AND(E107=5,In!$I$105&lt;&gt;""),In!$I$105*Players!$E$18/1000,E106))</f>
        <v>0.344685</v>
      </c>
      <c r="F108" s="24" t="n">
        <f aca="false">IF(F106="","",IF(AND(F107=5,In!$J$105&lt;&gt;""),In!$J$105*Players!$E$18/1000,F106))</f>
        <v>1.07283</v>
      </c>
      <c r="G108" s="24" t="n">
        <f aca="false">IF(G106="","",IF(AND(G107=5,In!$K$105&lt;&gt;""),In!$K$105*Players!$E$18/1000,G106))</f>
        <v>2.749</v>
      </c>
      <c r="H108" s="24" t="n">
        <f aca="false">IF(H106="","",IF(AND(H107=5,In!$L$105&lt;&gt;""),In!$L$105*Players!$E$18/1000,H106))</f>
        <v>2.91566666666667</v>
      </c>
      <c r="I108" s="24" t="n">
        <f aca="false">IF(I106="","",IF(AND(I107=5,In!$M$105&lt;&gt;""),In!$M$105*Players!$E$18/1000,I106))</f>
        <v>8.48483333333333</v>
      </c>
      <c r="J108" s="24" t="n">
        <f aca="false">IF(J106="","",IF(AND(J107=5,In!$N$105&lt;&gt;""),In!$N$105*Players!$E$18/1000,J106))</f>
        <v>8.48483333333333</v>
      </c>
      <c r="K108" s="24" t="n">
        <f aca="false">IF(K106="","",IF(AND(K107=5,In!$O$105&lt;&gt;""),In!$O$105*Players!$E$18/1000,K106))</f>
        <v>8.48483333333333</v>
      </c>
      <c r="L108" s="24" t="n">
        <f aca="false">IF(L106="","",IF(AND(L107=5,In!$P$105&lt;&gt;""),In!$P$105*Players!$E$18/1000,L106))</f>
        <v>8.48483333333333</v>
      </c>
      <c r="M108" s="24" t="n">
        <f aca="false">IF(M106="","",IF(AND(M107=5,In!$Q$105&lt;&gt;""),In!$Q$105*Players!$E$18/1000,M106))</f>
        <v>8.48483333333333</v>
      </c>
    </row>
    <row r="109" customFormat="false" ht="17.15" hidden="false" customHeight="false" outlineLevel="0" collapsed="false">
      <c r="A109" s="5" t="s">
        <v>988</v>
      </c>
      <c r="B109" s="0" t="s">
        <v>1070</v>
      </c>
      <c r="C109" s="0" t="s">
        <v>77</v>
      </c>
      <c r="D109" s="24" t="str">
        <f aca="false">IF(D106="","",IF(AND(D107=5,In!$H$105&lt;&gt;""),In!$H$105*Players!$F$18/1000,D106))</f>
        <v/>
      </c>
      <c r="E109" s="24" t="n">
        <f aca="false">IF(E106="","",IF(AND(E107=5,In!$I$105&lt;&gt;""),In!$I$105*Players!$F$18/1000,E106))</f>
        <v>0.434512</v>
      </c>
      <c r="F109" s="24" t="n">
        <f aca="false">IF(F106="","",IF(AND(F107=5,In!$J$105&lt;&gt;""),In!$J$105*Players!$F$18/1000,F106))</f>
        <v>1.352416</v>
      </c>
      <c r="G109" s="24" t="n">
        <f aca="false">IF(G106="","",IF(AND(G107=5,In!$K$105&lt;&gt;""),In!$K$105*Players!$F$18/1000,G106))</f>
        <v>2.749</v>
      </c>
      <c r="H109" s="24" t="n">
        <f aca="false">IF(H106="","",IF(AND(H107=5,In!$L$105&lt;&gt;""),In!$L$105*Players!$F$18/1000,H106))</f>
        <v>2.91566666666667</v>
      </c>
      <c r="I109" s="24" t="n">
        <f aca="false">IF(I106="","",IF(AND(I107=5,In!$M$105&lt;&gt;""),In!$M$105*Players!$F$18/1000,I106))</f>
        <v>8.48483333333333</v>
      </c>
      <c r="J109" s="24" t="n">
        <f aca="false">IF(J106="","",IF(AND(J107=5,In!$N$105&lt;&gt;""),In!$N$105*Players!$F$18/1000,J106))</f>
        <v>8.48483333333333</v>
      </c>
      <c r="K109" s="24" t="n">
        <f aca="false">IF(K106="","",IF(AND(K107=5,In!$O$105&lt;&gt;""),In!$O$105*Players!$F$18/1000,K106))</f>
        <v>8.48483333333333</v>
      </c>
      <c r="L109" s="24" t="n">
        <f aca="false">IF(L106="","",IF(AND(L107=5,In!$P$105&lt;&gt;""),In!$P$105*Players!$F$18/1000,L106))</f>
        <v>8.48483333333333</v>
      </c>
      <c r="M109" s="24" t="n">
        <f aca="false">IF(M106="","",IF(AND(M107=5,In!$Q$105&lt;&gt;""),In!$Q$105*Players!$F$18/1000,M106))</f>
        <v>8.48483333333333</v>
      </c>
    </row>
    <row r="110" customFormat="false" ht="17.15" hidden="false" customHeight="false" outlineLevel="0" collapsed="false">
      <c r="A110" s="5" t="s">
        <v>990</v>
      </c>
      <c r="B110" s="0" t="s">
        <v>1071</v>
      </c>
      <c r="C110" s="0" t="s">
        <v>77</v>
      </c>
      <c r="D110" s="24" t="str">
        <f aca="false">IF(D106="","",IF(In!$C$112="未說明",D106/D$13,D106))</f>
        <v/>
      </c>
      <c r="E110" s="24" t="n">
        <f aca="false">IF(E106="","",IF(In!$C$112="未說明",E106/E$13,E106))</f>
        <v>0.386465</v>
      </c>
      <c r="F110" s="24" t="n">
        <f aca="false">IF(F106="","",IF(In!$C$112="未說明",F106/F$13,F106))</f>
        <v>1.20287</v>
      </c>
      <c r="G110" s="24" t="n">
        <f aca="false">IF(G106="","",IF(In!$C$112="未說明",G106/G$13,G106))</f>
        <v>2.749</v>
      </c>
      <c r="H110" s="24" t="n">
        <f aca="false">IF(H106="","",IF(In!$C$112="未說明",H106/H$13,H106))</f>
        <v>2.91566666666667</v>
      </c>
      <c r="I110" s="24" t="n">
        <f aca="false">IF(I106="","",IF(In!$C$112="未說明",I106/I$13,I106))</f>
        <v>8.48483333333333</v>
      </c>
      <c r="J110" s="24" t="n">
        <f aca="false">IF(J106="","",IF(In!$C$112="未說明",J106/J$13,J106))</f>
        <v>8.48483333333333</v>
      </c>
      <c r="K110" s="24" t="n">
        <f aca="false">IF(K106="","",IF(In!$C$112="未說明",K106/K$13,K106))</f>
        <v>8.48483333333333</v>
      </c>
      <c r="L110" s="24" t="n">
        <f aca="false">IF(L106="","",IF(In!$C$112="未說明",L106/L$13,L106))</f>
        <v>8.48483333333333</v>
      </c>
      <c r="M110" s="24" t="n">
        <f aca="false">IF(M106="","",IF(In!$C$112="未說明",M106/M$13,M106))</f>
        <v>8.48483333333333</v>
      </c>
    </row>
    <row r="111" customFormat="false" ht="17.15" hidden="false" customHeight="false" outlineLevel="0" collapsed="false">
      <c r="A111" s="5" t="s">
        <v>992</v>
      </c>
      <c r="B111" s="0" t="s">
        <v>1072</v>
      </c>
      <c r="C111" s="0" t="s">
        <v>77</v>
      </c>
      <c r="D111" s="0" t="str">
        <f aca="false">""</f>
        <v/>
      </c>
      <c r="E111" s="24" t="str">
        <f aca="false">IF(AND(D106&lt;&gt;"",E106&lt;&gt;""),(D106+E106)/2,"")</f>
        <v/>
      </c>
      <c r="F111" s="24" t="n">
        <f aca="false">IF(AND(E106&lt;&gt;"",F106&lt;&gt;""),(E106+F106)/2,"")</f>
        <v>0.7946675</v>
      </c>
      <c r="G111" s="24" t="n">
        <f aca="false">IF(AND(F106&lt;&gt;"",G106&lt;&gt;""),(F106+G106)/2,"")</f>
        <v>1.975935</v>
      </c>
      <c r="H111" s="24" t="n">
        <f aca="false">IF(AND(G106&lt;&gt;"",H106&lt;&gt;""),(G106+H106)/2,"")</f>
        <v>2.83233333333333</v>
      </c>
      <c r="I111" s="24" t="n">
        <f aca="false">IF(AND(H106&lt;&gt;"",I106&lt;&gt;""),(H106+I106)/2,"")</f>
        <v>5.70025</v>
      </c>
      <c r="J111" s="24" t="n">
        <f aca="false">IF(AND(I106&lt;&gt;"",J106&lt;&gt;""),(I106+J106)/2,"")</f>
        <v>8.48483333333333</v>
      </c>
      <c r="K111" s="24" t="n">
        <f aca="false">IF(AND(J106&lt;&gt;"",K106&lt;&gt;""),(J106+K106)/2,"")</f>
        <v>8.48483333333333</v>
      </c>
      <c r="L111" s="24" t="n">
        <f aca="false">IF(AND(K106&lt;&gt;"",L106&lt;&gt;""),(K106+L106)/2,"")</f>
        <v>8.48483333333333</v>
      </c>
      <c r="M111" s="24" t="n">
        <f aca="false">IF(AND(L106&lt;&gt;"",M106&lt;&gt;""),(L106+M106)/2,"")</f>
        <v>8.48483333333333</v>
      </c>
    </row>
    <row r="112" customFormat="false" ht="17.15" hidden="false" customHeight="false" outlineLevel="0" collapsed="false">
      <c r="A112" s="5" t="s">
        <v>994</v>
      </c>
      <c r="B112" s="0" t="s">
        <v>1073</v>
      </c>
      <c r="C112" s="0" t="s">
        <v>77</v>
      </c>
      <c r="D112" s="0" t="n">
        <v>0</v>
      </c>
      <c r="E112" s="24" t="n">
        <f aca="false">IF(AND(D106&lt;&gt;"",E106&lt;&gt;""),E106-D106,0)</f>
        <v>0</v>
      </c>
      <c r="F112" s="24" t="n">
        <f aca="false">IF(AND(E106&lt;&gt;"",F106&lt;&gt;""),F106-E106,0)</f>
        <v>0.816405</v>
      </c>
      <c r="G112" s="24" t="n">
        <f aca="false">IF(AND(F106&lt;&gt;"",G106&lt;&gt;""),G106-F106,0)</f>
        <v>1.54613</v>
      </c>
      <c r="H112" s="24" t="n">
        <f aca="false">IF(AND(G106&lt;&gt;"",H106&lt;&gt;""),H106-G106,0)</f>
        <v>0.166666666666667</v>
      </c>
      <c r="I112" s="24" t="n">
        <f aca="false">IF(AND(H106&lt;&gt;"",I106&lt;&gt;""),I106-H106,0)</f>
        <v>5.56916666666667</v>
      </c>
      <c r="J112" s="24" t="n">
        <f aca="false">IF(AND(I106&lt;&gt;"",J106&lt;&gt;""),J106-I106,0)</f>
        <v>0</v>
      </c>
      <c r="K112" s="24" t="n">
        <f aca="false">IF(AND(J106&lt;&gt;"",K106&lt;&gt;""),K106-J106,0)</f>
        <v>0</v>
      </c>
      <c r="L112" s="24" t="n">
        <f aca="false">IF(AND(K106&lt;&gt;"",L106&lt;&gt;""),L106-K106,0)</f>
        <v>0</v>
      </c>
      <c r="M112" s="24" t="n">
        <f aca="false">IF(AND(L106&lt;&gt;"",M106&lt;&gt;""),M106-L106,0)</f>
        <v>0</v>
      </c>
    </row>
    <row r="113" customFormat="false" ht="17.15" hidden="false" customHeight="false" outlineLevel="0" collapsed="false">
      <c r="A113" s="5" t="s">
        <v>996</v>
      </c>
      <c r="B113" s="0" t="s">
        <v>1074</v>
      </c>
      <c r="C113" s="0" t="s">
        <v>77</v>
      </c>
      <c r="D113" s="24" t="n">
        <f aca="false">IF(D106&lt;&gt;"",D106,0)</f>
        <v>0</v>
      </c>
      <c r="E113" s="24" t="n">
        <f aca="false">IF(AND(D106="",E106&lt;&gt;""),E106,0)</f>
        <v>0.386465</v>
      </c>
      <c r="F113" s="24" t="n">
        <f aca="false">IF(AND(E106="",F106&lt;&gt;""),F106,0)</f>
        <v>0</v>
      </c>
      <c r="G113" s="24" t="n">
        <f aca="false">IF(AND(F106="",G106&lt;&gt;""),G106,0)</f>
        <v>0</v>
      </c>
      <c r="H113" s="24" t="n">
        <f aca="false">IF(AND(G106="",H106&lt;&gt;""),H106,0)</f>
        <v>0</v>
      </c>
      <c r="I113" s="24" t="n">
        <f aca="false">IF(AND(H106="",I106&lt;&gt;""),I106,0)</f>
        <v>0</v>
      </c>
      <c r="J113" s="24" t="n">
        <f aca="false">IF(AND(I106="",J106&lt;&gt;""),J106,0)</f>
        <v>0</v>
      </c>
      <c r="K113" s="24" t="n">
        <f aca="false">IF(AND(J106="",K106&lt;&gt;""),K106,0)</f>
        <v>0</v>
      </c>
      <c r="L113" s="24" t="n">
        <f aca="false">IF(AND(K106="",L106&lt;&gt;""),L106,0)</f>
        <v>0</v>
      </c>
      <c r="M113" s="24" t="n">
        <f aca="false">IF(AND(L106="",M106&lt;&gt;""),M106,0)</f>
        <v>0</v>
      </c>
    </row>
    <row r="114" customFormat="false" ht="17.15" hidden="false" customHeight="false" outlineLevel="0" collapsed="false">
      <c r="A114" s="5" t="s">
        <v>998</v>
      </c>
      <c r="B114" s="0" t="s">
        <v>1075</v>
      </c>
      <c r="C114" s="0" t="s">
        <v>52</v>
      </c>
      <c r="D114" s="23" t="n">
        <f aca="false">D$12</f>
        <v>0.238210067173108</v>
      </c>
      <c r="E114" s="23" t="n">
        <f aca="false">E$12</f>
        <v>0.238210067173108</v>
      </c>
      <c r="F114" s="23" t="n">
        <f aca="false">F$12</f>
        <v>0.238210067173108</v>
      </c>
      <c r="G114" s="23" t="n">
        <f aca="false">G$12</f>
        <v>0.238210067173108</v>
      </c>
      <c r="H114" s="23" t="n">
        <f aca="false">H$12</f>
        <v>0.273101862203342</v>
      </c>
      <c r="I114" s="23" t="n">
        <f aca="false">I$12</f>
        <v>0.269621396123668</v>
      </c>
      <c r="J114" s="23" t="n">
        <f aca="false">J$12</f>
        <v>0.272187509408712</v>
      </c>
      <c r="K114" s="23" t="n">
        <f aca="false">K$12</f>
        <v>0.272187509408712</v>
      </c>
      <c r="L114" s="23" t="n">
        <f aca="false">L$12</f>
        <v>0.272187509408712</v>
      </c>
      <c r="M114" s="23" t="n">
        <f aca="false">M$12</f>
        <v>0.272187509408712</v>
      </c>
    </row>
    <row r="116" customFormat="false" ht="17.15" hidden="false" customHeight="false" outlineLevel="0" collapsed="false">
      <c r="A116" s="8" t="s">
        <v>1076</v>
      </c>
      <c r="B116" s="20" t="s">
        <v>620</v>
      </c>
      <c r="N116" s="20" t="s">
        <v>1077</v>
      </c>
    </row>
    <row r="117" customFormat="false" ht="17.15" hidden="false" customHeight="false" outlineLevel="0" collapsed="false">
      <c r="A117" s="5" t="s">
        <v>966</v>
      </c>
      <c r="B117" s="0" t="s">
        <v>1078</v>
      </c>
      <c r="C117" s="0" t="s">
        <v>77</v>
      </c>
      <c r="D117" s="24" t="n">
        <f aca="false">IF(In!$H$113="","",IF(In!$C$113="設施",In!$H$113/1000/D$13,In!$H$113/1000))</f>
        <v>0.07</v>
      </c>
      <c r="E117" s="24" t="n">
        <f aca="false">IF(In!$I$113="","",IF(In!$C$113="設施",In!$I$113/1000/E$13,In!$I$113/1000))</f>
        <v>0.36</v>
      </c>
      <c r="F117" s="24" t="n">
        <f aca="false">IF(In!$J$113="","",IF(In!$C$113="設施",In!$J$113/1000/F$13,In!$J$113/1000))</f>
        <v>0.85</v>
      </c>
      <c r="G117" s="24" t="n">
        <f aca="false">IF(In!$K$113="","",IF(In!$C$113="設施",In!$K$113/1000/G$13,In!$K$113/1000))</f>
        <v>1.85</v>
      </c>
      <c r="H117" s="24" t="str">
        <f aca="false">IF(In!$L$113="","",IF(In!$C$113="設施",In!$L$113/1000/H$13,In!$L$113/1000))</f>
        <v/>
      </c>
      <c r="I117" s="24" t="str">
        <f aca="false">IF(In!$M$113="","",IF(In!$C$113="設施",In!$M$113/1000/I$13,In!$M$113/1000))</f>
        <v/>
      </c>
      <c r="J117" s="24" t="str">
        <f aca="false">IF(In!$N$113="","",IF(In!$C$113="設施",In!$N$113/1000/J$13,In!$N$113/1000))</f>
        <v/>
      </c>
      <c r="K117" s="24" t="n">
        <f aca="false">IF(In!$O$113="","",IF(In!$C$113="設施",In!$O$113/1000/K$13,In!$O$113/1000))</f>
        <v>8</v>
      </c>
      <c r="L117" s="24" t="str">
        <f aca="false">IF(In!$P$113="","",IF(In!$C$113="設施",In!$P$113/1000/L$13,In!$P$113/1000))</f>
        <v/>
      </c>
      <c r="M117" s="24" t="str">
        <f aca="false">IF(In!$Q$113="","",IF(In!$C$113="設施",In!$Q$113/1000/M$13,In!$Q$113/1000))</f>
        <v/>
      </c>
    </row>
    <row r="118" customFormat="false" ht="17.15" hidden="false" customHeight="false" outlineLevel="0" collapsed="false">
      <c r="A118" s="5" t="s">
        <v>968</v>
      </c>
      <c r="B118" s="0" t="s">
        <v>1079</v>
      </c>
      <c r="C118" s="0" t="s">
        <v>77</v>
      </c>
      <c r="D118" s="0" t="str">
        <f aca="false">""</f>
        <v/>
      </c>
      <c r="E118" s="0" t="str">
        <f aca="false">""</f>
        <v/>
      </c>
      <c r="F118" s="0" t="str">
        <f aca="false">""</f>
        <v/>
      </c>
      <c r="G118" s="0" t="str">
        <f aca="false">""</f>
        <v/>
      </c>
      <c r="H118" s="0" t="str">
        <f aca="false">""</f>
        <v/>
      </c>
      <c r="I118" s="0" t="str">
        <f aca="false">""</f>
        <v/>
      </c>
      <c r="J118" s="0" t="str">
        <f aca="false">""</f>
        <v/>
      </c>
      <c r="K118" s="0" t="str">
        <f aca="false">""</f>
        <v/>
      </c>
      <c r="L118" s="0" t="str">
        <f aca="false">""</f>
        <v/>
      </c>
      <c r="M118" s="0" t="str">
        <f aca="false">""</f>
        <v/>
      </c>
    </row>
    <row r="119" customFormat="false" ht="15" hidden="false" customHeight="false" outlineLevel="0" collapsed="false">
      <c r="A119" s="5" t="s">
        <v>970</v>
      </c>
      <c r="B119" s="0" t="s">
        <v>1080</v>
      </c>
      <c r="C119" s="0" t="s">
        <v>77</v>
      </c>
      <c r="D119" s="24" t="n">
        <f aca="false">IF(D117&lt;&gt;"",D117,IF(D118&lt;&gt;"",D118,IF(INT(obsd_crwv)=2023,obs_crwv/1000+SUMIFS(Pipeline!$L$5:$L$64,Pipeline!$C$5:$C$64,"crwv",Pipeline!$Q$5:$Q$64,1,Pipeline!$K$5:$K$64,"&gt;"&amp;obsd_crwv,Pipeline!$K$5:$K$64,"&lt;="&amp;2024),"")))</f>
        <v>0.07</v>
      </c>
      <c r="E119" s="24" t="n">
        <f aca="false">IF(E117&lt;&gt;"",E117,IF(E118&lt;&gt;"",E118,IF(INT(obsd_crwv)=2024,obs_crwv/1000+SUMIFS(Pipeline!$L$5:$L$64,Pipeline!$C$5:$C$64,"crwv",Pipeline!$Q$5:$Q$64,1,Pipeline!$K$5:$K$64,"&gt;"&amp;obsd_crwv,Pipeline!$K$5:$K$64,"&lt;="&amp;2025),"")))</f>
        <v>0.36</v>
      </c>
      <c r="F119" s="24" t="n">
        <f aca="false">IF(F117&lt;&gt;"",F117,IF(F118&lt;&gt;"",F118,IF(INT(obsd_crwv)=2025,obs_crwv/1000+SUMIFS(Pipeline!$L$5:$L$64,Pipeline!$C$5:$C$64,"crwv",Pipeline!$Q$5:$Q$64,1,Pipeline!$K$5:$K$64,"&gt;"&amp;obsd_crwv,Pipeline!$K$5:$K$64,"&lt;="&amp;2026),"")))</f>
        <v>0.85</v>
      </c>
      <c r="G119" s="24" t="n">
        <f aca="false">IF(G117&lt;&gt;"",G117,IF(G118&lt;&gt;"",G118,IF(INT(obsd_crwv)=2026,obs_crwv/1000+SUMIFS(Pipeline!$L$5:$L$64,Pipeline!$C$5:$C$64,"crwv",Pipeline!$Q$5:$Q$64,1,Pipeline!$K$5:$K$64,"&gt;"&amp;obsd_crwv,Pipeline!$K$5:$K$64,"&lt;="&amp;2027),"")))</f>
        <v>1.85</v>
      </c>
      <c r="H119" s="24" t="str">
        <f aca="false">IF(H117&lt;&gt;"",H117,IF(H118&lt;&gt;"",H118,IF(INT(obsd_crwv)=2027,obs_crwv/1000+SUMIFS(Pipeline!$L$5:$L$64,Pipeline!$C$5:$C$64,"crwv",Pipeline!$Q$5:$Q$64,1,Pipeline!$K$5:$K$64,"&gt;"&amp;obsd_crwv,Pipeline!$K$5:$K$64,"&lt;="&amp;2028),"")))</f>
        <v/>
      </c>
      <c r="I119" s="24" t="str">
        <f aca="false">IF(I117&lt;&gt;"",I117,IF(I118&lt;&gt;"",I118,IF(INT(obsd_crwv)=2028,obs_crwv/1000+SUMIFS(Pipeline!$L$5:$L$64,Pipeline!$C$5:$C$64,"crwv",Pipeline!$Q$5:$Q$64,1,Pipeline!$K$5:$K$64,"&gt;"&amp;obsd_crwv,Pipeline!$K$5:$K$64,"&lt;="&amp;2029),"")))</f>
        <v/>
      </c>
      <c r="J119" s="24" t="str">
        <f aca="false">IF(J117&lt;&gt;"",J117,IF(J118&lt;&gt;"",J118,IF(INT(obsd_crwv)=2029,obs_crwv/1000+SUMIFS(Pipeline!$L$5:$L$64,Pipeline!$C$5:$C$64,"crwv",Pipeline!$Q$5:$Q$64,1,Pipeline!$K$5:$K$64,"&gt;"&amp;obsd_crwv,Pipeline!$K$5:$K$64,"&lt;="&amp;2030),"")))</f>
        <v/>
      </c>
      <c r="K119" s="24" t="n">
        <f aca="false">IF(K117&lt;&gt;"",K117,IF(K118&lt;&gt;"",K118,IF(INT(obsd_crwv)=2030,obs_crwv/1000+SUMIFS(Pipeline!$L$5:$L$64,Pipeline!$C$5:$C$64,"crwv",Pipeline!$Q$5:$Q$64,1,Pipeline!$K$5:$K$64,"&gt;"&amp;obsd_crwv,Pipeline!$K$5:$K$64,"&lt;="&amp;2031),"")))</f>
        <v>8</v>
      </c>
      <c r="L119" s="24" t="str">
        <f aca="false">IF(L117&lt;&gt;"",L117,IF(L118&lt;&gt;"",L118,IF(INT(obsd_crwv)=2031,obs_crwv/1000+SUMIFS(Pipeline!$L$5:$L$64,Pipeline!$C$5:$C$64,"crwv",Pipeline!$Q$5:$Q$64,1,Pipeline!$K$5:$K$64,"&gt;"&amp;obsd_crwv,Pipeline!$K$5:$K$64,"&lt;="&amp;2032),"")))</f>
        <v/>
      </c>
      <c r="M119" s="24" t="str">
        <f aca="false">IF(M117&lt;&gt;"",M117,IF(M118&lt;&gt;"",M118,IF(INT(obsd_crwv)=2032,obs_crwv/1000+SUMIFS(Pipeline!$L$5:$L$64,Pipeline!$C$5:$C$64,"crwv",Pipeline!$Q$5:$Q$64,1,Pipeline!$K$5:$K$64,"&gt;"&amp;obsd_crwv,Pipeline!$K$5:$K$64,"&lt;="&amp;2033),"")))</f>
        <v/>
      </c>
    </row>
    <row r="120" customFormat="false" ht="15" hidden="false" customHeight="false" outlineLevel="0" collapsed="false">
      <c r="A120" s="5" t="s">
        <v>972</v>
      </c>
      <c r="B120" s="0" t="s">
        <v>1081</v>
      </c>
      <c r="C120" s="0" t="s">
        <v>77</v>
      </c>
      <c r="D120" s="24" t="n">
        <f aca="false">IF(D119&lt;&gt;"",D119,"")</f>
        <v>0.07</v>
      </c>
      <c r="E120" s="24" t="n">
        <f aca="false">IF(E119&lt;&gt;"",E119,D120)</f>
        <v>0.36</v>
      </c>
      <c r="F120" s="24" t="n">
        <f aca="false">IF(F119&lt;&gt;"",F119,E120)</f>
        <v>0.85</v>
      </c>
      <c r="G120" s="24" t="n">
        <f aca="false">IF(G119&lt;&gt;"",G119,F120)</f>
        <v>1.85</v>
      </c>
      <c r="H120" s="24" t="n">
        <f aca="false">IF(H119&lt;&gt;"",H119,G120)</f>
        <v>1.85</v>
      </c>
      <c r="I120" s="24" t="n">
        <f aca="false">IF(I119&lt;&gt;"",I119,H120)</f>
        <v>1.85</v>
      </c>
      <c r="J120" s="24" t="n">
        <f aca="false">IF(J119&lt;&gt;"",J119,I120)</f>
        <v>1.85</v>
      </c>
      <c r="K120" s="24" t="n">
        <f aca="false">IF(K119&lt;&gt;"",K119,J120)</f>
        <v>8</v>
      </c>
      <c r="L120" s="24" t="n">
        <f aca="false">IF(L119&lt;&gt;"",L119,K120)</f>
        <v>8</v>
      </c>
      <c r="M120" s="24" t="n">
        <f aca="false">IF(M119&lt;&gt;"",M119,L120)</f>
        <v>8</v>
      </c>
    </row>
    <row r="121" customFormat="false" ht="15" hidden="false" customHeight="false" outlineLevel="0" collapsed="false">
      <c r="A121" s="5" t="s">
        <v>974</v>
      </c>
      <c r="B121" s="0" t="s">
        <v>1082</v>
      </c>
      <c r="C121" s="5" t="s">
        <v>47</v>
      </c>
      <c r="D121" s="0" t="n">
        <f aca="false">IF(D119&lt;&gt;"",2023,"")</f>
        <v>2023</v>
      </c>
      <c r="E121" s="0" t="n">
        <f aca="false">IF(E119&lt;&gt;"",2024,D121)</f>
        <v>2024</v>
      </c>
      <c r="F121" s="0" t="n">
        <f aca="false">IF(F119&lt;&gt;"",2025,E121)</f>
        <v>2025</v>
      </c>
      <c r="G121" s="0" t="n">
        <f aca="false">IF(G119&lt;&gt;"",2026,F121)</f>
        <v>2026</v>
      </c>
      <c r="H121" s="0" t="n">
        <f aca="false">IF(H119&lt;&gt;"",2027,G121)</f>
        <v>2026</v>
      </c>
      <c r="I121" s="0" t="n">
        <f aca="false">IF(I119&lt;&gt;"",2028,H121)</f>
        <v>2026</v>
      </c>
      <c r="J121" s="0" t="n">
        <f aca="false">IF(J119&lt;&gt;"",2029,I121)</f>
        <v>2026</v>
      </c>
      <c r="K121" s="0" t="n">
        <f aca="false">IF(K119&lt;&gt;"",2030,J121)</f>
        <v>2030</v>
      </c>
      <c r="L121" s="0" t="n">
        <f aca="false">IF(L119&lt;&gt;"",2031,K121)</f>
        <v>2030</v>
      </c>
      <c r="M121" s="0" t="n">
        <f aca="false">IF(M119&lt;&gt;"",2032,L121)</f>
        <v>2030</v>
      </c>
    </row>
    <row r="122" customFormat="false" ht="15" hidden="false" customHeight="false" outlineLevel="0" collapsed="false">
      <c r="A122" s="5" t="s">
        <v>976</v>
      </c>
      <c r="B122" s="0" t="s">
        <v>1083</v>
      </c>
      <c r="C122" s="0" t="s">
        <v>77</v>
      </c>
      <c r="D122" s="24" t="n">
        <f aca="false">IF(D119&lt;&gt;"",D119,E122)</f>
        <v>0.07</v>
      </c>
      <c r="E122" s="24" t="n">
        <f aca="false">IF(E119&lt;&gt;"",E119,F122)</f>
        <v>0.36</v>
      </c>
      <c r="F122" s="24" t="n">
        <f aca="false">IF(F119&lt;&gt;"",F119,G122)</f>
        <v>0.85</v>
      </c>
      <c r="G122" s="24" t="n">
        <f aca="false">IF(G119&lt;&gt;"",G119,H122)</f>
        <v>1.85</v>
      </c>
      <c r="H122" s="24" t="n">
        <f aca="false">IF(H119&lt;&gt;"",H119,I122)</f>
        <v>8</v>
      </c>
      <c r="I122" s="24" t="n">
        <f aca="false">IF(I119&lt;&gt;"",I119,J122)</f>
        <v>8</v>
      </c>
      <c r="J122" s="24" t="n">
        <f aca="false">IF(J119&lt;&gt;"",J119,K122)</f>
        <v>8</v>
      </c>
      <c r="K122" s="24" t="n">
        <f aca="false">IF(K119&lt;&gt;"",K119,L122)</f>
        <v>8</v>
      </c>
      <c r="L122" s="0" t="str">
        <f aca="false">IF(L119&lt;&gt;"",L119,M122)</f>
        <v/>
      </c>
      <c r="M122" s="0" t="str">
        <f aca="false">IF(M119&lt;&gt;"",M119,"")</f>
        <v/>
      </c>
    </row>
    <row r="123" customFormat="false" ht="15" hidden="false" customHeight="false" outlineLevel="0" collapsed="false">
      <c r="A123" s="5" t="s">
        <v>978</v>
      </c>
      <c r="B123" s="0" t="s">
        <v>1084</v>
      </c>
      <c r="C123" s="5" t="s">
        <v>47</v>
      </c>
      <c r="D123" s="0" t="n">
        <f aca="false">IF(D119&lt;&gt;"",2023,E123)</f>
        <v>2023</v>
      </c>
      <c r="E123" s="0" t="n">
        <f aca="false">IF(E119&lt;&gt;"",2024,F123)</f>
        <v>2024</v>
      </c>
      <c r="F123" s="0" t="n">
        <f aca="false">IF(F119&lt;&gt;"",2025,G123)</f>
        <v>2025</v>
      </c>
      <c r="G123" s="0" t="n">
        <f aca="false">IF(G119&lt;&gt;"",2026,H123)</f>
        <v>2026</v>
      </c>
      <c r="H123" s="0" t="n">
        <f aca="false">IF(H119&lt;&gt;"",2027,I123)</f>
        <v>2030</v>
      </c>
      <c r="I123" s="0" t="n">
        <f aca="false">IF(I119&lt;&gt;"",2028,J123)</f>
        <v>2030</v>
      </c>
      <c r="J123" s="0" t="n">
        <f aca="false">IF(J119&lt;&gt;"",2029,K123)</f>
        <v>2030</v>
      </c>
      <c r="K123" s="0" t="n">
        <f aca="false">IF(K119&lt;&gt;"",2030,L123)</f>
        <v>2030</v>
      </c>
      <c r="L123" s="0" t="str">
        <f aca="false">IF(L119&lt;&gt;"",2031,M123)</f>
        <v/>
      </c>
      <c r="M123" s="0" t="str">
        <f aca="false">IF(M119&lt;&gt;"",2032,"")</f>
        <v/>
      </c>
    </row>
    <row r="124" customFormat="false" ht="17.15" hidden="false" customHeight="false" outlineLevel="0" collapsed="false">
      <c r="A124" s="5" t="s">
        <v>980</v>
      </c>
      <c r="B124" s="0" t="s">
        <v>1085</v>
      </c>
      <c r="C124" s="0" t="s">
        <v>77</v>
      </c>
      <c r="D124" s="24" t="n">
        <f aca="false">SUMIFS(Pipeline!$L$5:$L$64,Pipeline!$C$5:$C$64,"crwv",Pipeline!$Q$5:$Q$64,1,Pipeline!$P$5:$P$64,2023)</f>
        <v>0</v>
      </c>
      <c r="E124" s="24" t="n">
        <f aca="false">SUMIFS(Pipeline!$L$5:$L$64,Pipeline!$C$5:$C$64,"crwv",Pipeline!$Q$5:$Q$64,1,Pipeline!$P$5:$P$64,2024)</f>
        <v>0</v>
      </c>
      <c r="F124" s="24" t="n">
        <f aca="false">SUMIFS(Pipeline!$L$5:$L$64,Pipeline!$C$5:$C$64,"crwv",Pipeline!$Q$5:$Q$64,1,Pipeline!$P$5:$P$64,2025)</f>
        <v>0</v>
      </c>
      <c r="G124" s="24" t="n">
        <f aca="false">SUMIFS(Pipeline!$L$5:$L$64,Pipeline!$C$5:$C$64,"crwv",Pipeline!$Q$5:$Q$64,1,Pipeline!$P$5:$P$64,2026)</f>
        <v>0</v>
      </c>
      <c r="H124" s="24" t="n">
        <f aca="false">SUMIFS(Pipeline!$L$5:$L$64,Pipeline!$C$5:$C$64,"crwv",Pipeline!$Q$5:$Q$64,1,Pipeline!$P$5:$P$64,2027)</f>
        <v>0.26</v>
      </c>
      <c r="I124" s="24" t="n">
        <f aca="false">SUMIFS(Pipeline!$L$5:$L$64,Pipeline!$C$5:$C$64,"crwv",Pipeline!$Q$5:$Q$64,1,Pipeline!$P$5:$P$64,2028)</f>
        <v>0</v>
      </c>
      <c r="J124" s="24" t="n">
        <f aca="false">SUMIFS(Pipeline!$L$5:$L$64,Pipeline!$C$5:$C$64,"crwv",Pipeline!$Q$5:$Q$64,1,Pipeline!$P$5:$P$64,2029)</f>
        <v>0</v>
      </c>
      <c r="K124" s="24" t="n">
        <f aca="false">SUMIFS(Pipeline!$L$5:$L$64,Pipeline!$C$5:$C$64,"crwv",Pipeline!$Q$5:$Q$64,1,Pipeline!$P$5:$P$64,2030)</f>
        <v>0</v>
      </c>
      <c r="L124" s="24" t="n">
        <f aca="false">SUMIFS(Pipeline!$L$5:$L$64,Pipeline!$C$5:$C$64,"crwv",Pipeline!$Q$5:$Q$64,1,Pipeline!$P$5:$P$64,2031)</f>
        <v>0</v>
      </c>
      <c r="M124" s="24" t="n">
        <f aca="false">SUMIFS(Pipeline!$L$5:$L$64,Pipeline!$C$5:$C$64,"crwv",Pipeline!$Q$5:$Q$64,1,Pipeline!$P$5:$P$64,2032)</f>
        <v>0</v>
      </c>
    </row>
    <row r="125" customFormat="false" ht="17.15" hidden="false" customHeight="false" outlineLevel="0" collapsed="false">
      <c r="A125" s="5" t="s">
        <v>982</v>
      </c>
      <c r="B125" s="0" t="s">
        <v>1086</v>
      </c>
      <c r="C125" s="0" t="s">
        <v>77</v>
      </c>
      <c r="D125" s="25" t="n">
        <f aca="false">IF(D119&lt;&gt;"",D119,IF(AND(D120&lt;&gt;"",D122&lt;&gt;""),D120+(D122-D120)*(2023-D121)/(D123-D121),""))</f>
        <v>0.07</v>
      </c>
      <c r="E125" s="25" t="n">
        <f aca="false">IF(E119&lt;&gt;"",E119,IF(AND(E120&lt;&gt;"",E122&lt;&gt;""),E120+(E122-E120)*(2024-E121)/(E123-E121),IF(D125&lt;&gt;"",D125+E124,"")))</f>
        <v>0.36</v>
      </c>
      <c r="F125" s="25" t="n">
        <f aca="false">IF(F119&lt;&gt;"",F119,IF(AND(F120&lt;&gt;"",F122&lt;&gt;""),F120+(F122-F120)*(2025-F121)/(F123-F121),IF(E125&lt;&gt;"",E125+F124,"")))</f>
        <v>0.85</v>
      </c>
      <c r="G125" s="25" t="n">
        <f aca="false">IF(G119&lt;&gt;"",G119,IF(AND(G120&lt;&gt;"",G122&lt;&gt;""),G120+(G122-G120)*(2026-G121)/(G123-G121),IF(F125&lt;&gt;"",F125+G124,"")))</f>
        <v>1.85</v>
      </c>
      <c r="H125" s="25" t="n">
        <f aca="false">IF(H119&lt;&gt;"",H119,IF(AND(H120&lt;&gt;"",H122&lt;&gt;""),H120+(H122-H120)*(2027-H121)/(H123-H121),IF(G125&lt;&gt;"",G125+H124,"")))</f>
        <v>3.3875</v>
      </c>
      <c r="I125" s="25" t="n">
        <f aca="false">IF(I119&lt;&gt;"",I119,IF(AND(I120&lt;&gt;"",I122&lt;&gt;""),I120+(I122-I120)*(2028-I121)/(I123-I121),IF(H125&lt;&gt;"",H125+I124,"")))</f>
        <v>4.925</v>
      </c>
      <c r="J125" s="25" t="n">
        <f aca="false">IF(J119&lt;&gt;"",J119,IF(AND(J120&lt;&gt;"",J122&lt;&gt;""),J120+(J122-J120)*(2029-J121)/(J123-J121),IF(I125&lt;&gt;"",I125+J124,"")))</f>
        <v>6.4625</v>
      </c>
      <c r="K125" s="25" t="n">
        <f aca="false">IF(K119&lt;&gt;"",K119,IF(AND(K120&lt;&gt;"",K122&lt;&gt;""),K120+(K122-K120)*(2030-K121)/(K123-K121),IF(J125&lt;&gt;"",J125+K124,"")))</f>
        <v>8</v>
      </c>
      <c r="L125" s="25" t="n">
        <f aca="false">IF(L119&lt;&gt;"",L119,IF(AND(L120&lt;&gt;"",L122&lt;&gt;""),L120+(L122-L120)*(2031-L121)/(L123-L121),IF(K125&lt;&gt;"",K125+L124,"")))</f>
        <v>8</v>
      </c>
      <c r="M125" s="25" t="n">
        <f aca="false">IF(M119&lt;&gt;"",M119,IF(AND(M120&lt;&gt;"",M122&lt;&gt;""),M120+(M122-M120)*(2032-M121)/(M123-M121),IF(L125&lt;&gt;"",L125+M124,"")))</f>
        <v>8</v>
      </c>
    </row>
    <row r="126" customFormat="false" ht="15" hidden="false" customHeight="false" outlineLevel="0" collapsed="false">
      <c r="A126" s="5" t="s">
        <v>984</v>
      </c>
      <c r="B126" s="0" t="s">
        <v>1087</v>
      </c>
      <c r="C126" s="0" t="s">
        <v>35</v>
      </c>
      <c r="D126" s="0" t="n">
        <f aca="false">IF(D117&lt;&gt;"",1,IF(D118&lt;&gt;"",5,IF(D119&lt;&gt;"",2,IF(AND(D120&lt;&gt;"",D122&lt;&gt;""),3,IF(D125&lt;&gt;"",4,0)))))</f>
        <v>1</v>
      </c>
      <c r="E126" s="0" t="n">
        <f aca="false">IF(E117&lt;&gt;"",1,IF(E118&lt;&gt;"",5,IF(E119&lt;&gt;"",2,IF(AND(E120&lt;&gt;"",E122&lt;&gt;""),3,IF(E125&lt;&gt;"",4,0)))))</f>
        <v>1</v>
      </c>
      <c r="F126" s="0" t="n">
        <f aca="false">IF(F117&lt;&gt;"",1,IF(F118&lt;&gt;"",5,IF(F119&lt;&gt;"",2,IF(AND(F120&lt;&gt;"",F122&lt;&gt;""),3,IF(F125&lt;&gt;"",4,0)))))</f>
        <v>1</v>
      </c>
      <c r="G126" s="0" t="n">
        <f aca="false">IF(G117&lt;&gt;"",1,IF(G118&lt;&gt;"",5,IF(G119&lt;&gt;"",2,IF(AND(G120&lt;&gt;"",G122&lt;&gt;""),3,IF(G125&lt;&gt;"",4,0)))))</f>
        <v>1</v>
      </c>
      <c r="H126" s="0" t="n">
        <f aca="false">IF(H117&lt;&gt;"",1,IF(H118&lt;&gt;"",5,IF(H119&lt;&gt;"",2,IF(AND(H120&lt;&gt;"",H122&lt;&gt;""),3,IF(H125&lt;&gt;"",4,0)))))</f>
        <v>3</v>
      </c>
      <c r="I126" s="0" t="n">
        <f aca="false">IF(I117&lt;&gt;"",1,IF(I118&lt;&gt;"",5,IF(I119&lt;&gt;"",2,IF(AND(I120&lt;&gt;"",I122&lt;&gt;""),3,IF(I125&lt;&gt;"",4,0)))))</f>
        <v>3</v>
      </c>
      <c r="J126" s="0" t="n">
        <f aca="false">IF(J117&lt;&gt;"",1,IF(J118&lt;&gt;"",5,IF(J119&lt;&gt;"",2,IF(AND(J120&lt;&gt;"",J122&lt;&gt;""),3,IF(J125&lt;&gt;"",4,0)))))</f>
        <v>3</v>
      </c>
      <c r="K126" s="0" t="n">
        <f aca="false">IF(K117&lt;&gt;"",1,IF(K118&lt;&gt;"",5,IF(K119&lt;&gt;"",2,IF(AND(K120&lt;&gt;"",K122&lt;&gt;""),3,IF(K125&lt;&gt;"",4,0)))))</f>
        <v>1</v>
      </c>
      <c r="L126" s="0" t="n">
        <f aca="false">IF(L117&lt;&gt;"",1,IF(L118&lt;&gt;"",5,IF(L119&lt;&gt;"",2,IF(AND(L120&lt;&gt;"",L122&lt;&gt;""),3,IF(L125&lt;&gt;"",4,0)))))</f>
        <v>4</v>
      </c>
      <c r="M126" s="0" t="n">
        <f aca="false">IF(M117&lt;&gt;"",1,IF(M118&lt;&gt;"",5,IF(M119&lt;&gt;"",2,IF(AND(M120&lt;&gt;"",M122&lt;&gt;""),3,IF(M125&lt;&gt;"",4,0)))))</f>
        <v>4</v>
      </c>
    </row>
    <row r="127" customFormat="false" ht="17.15" hidden="false" customHeight="false" outlineLevel="0" collapsed="false">
      <c r="A127" s="5" t="s">
        <v>986</v>
      </c>
      <c r="B127" s="0" t="s">
        <v>1088</v>
      </c>
      <c r="C127" s="0" t="s">
        <v>77</v>
      </c>
      <c r="D127" s="24" t="n">
        <f aca="false">IF(D125="","",D125)</f>
        <v>0.07</v>
      </c>
      <c r="E127" s="24" t="n">
        <f aca="false">IF(E125="","",E125)</f>
        <v>0.36</v>
      </c>
      <c r="F127" s="24" t="n">
        <f aca="false">IF(F125="","",F125)</f>
        <v>0.85</v>
      </c>
      <c r="G127" s="24" t="n">
        <f aca="false">IF(G125="","",G125)</f>
        <v>1.85</v>
      </c>
      <c r="H127" s="24" t="n">
        <f aca="false">IF(H125="","",H125)</f>
        <v>3.3875</v>
      </c>
      <c r="I127" s="24" t="n">
        <f aca="false">IF(I125="","",I125)</f>
        <v>4.925</v>
      </c>
      <c r="J127" s="24" t="n">
        <f aca="false">IF(J125="","",J125)</f>
        <v>6.4625</v>
      </c>
      <c r="K127" s="24" t="n">
        <f aca="false">IF(K125="","",K125)</f>
        <v>8</v>
      </c>
      <c r="L127" s="24" t="n">
        <f aca="false">IF(L125="","",L125)</f>
        <v>8</v>
      </c>
      <c r="M127" s="24" t="n">
        <f aca="false">IF(M125="","",M125)</f>
        <v>8</v>
      </c>
    </row>
    <row r="128" customFormat="false" ht="17.15" hidden="false" customHeight="false" outlineLevel="0" collapsed="false">
      <c r="A128" s="5" t="s">
        <v>988</v>
      </c>
      <c r="B128" s="0" t="s">
        <v>1089</v>
      </c>
      <c r="C128" s="0" t="s">
        <v>77</v>
      </c>
      <c r="D128" s="24" t="n">
        <f aca="false">IF(D125="","",D125)</f>
        <v>0.07</v>
      </c>
      <c r="E128" s="24" t="n">
        <f aca="false">IF(E125="","",E125)</f>
        <v>0.36</v>
      </c>
      <c r="F128" s="24" t="n">
        <f aca="false">IF(F125="","",F125)</f>
        <v>0.85</v>
      </c>
      <c r="G128" s="24" t="n">
        <f aca="false">IF(G125="","",G125)</f>
        <v>1.85</v>
      </c>
      <c r="H128" s="24" t="n">
        <f aca="false">IF(H125="","",H125)</f>
        <v>3.3875</v>
      </c>
      <c r="I128" s="24" t="n">
        <f aca="false">IF(I125="","",I125)</f>
        <v>4.925</v>
      </c>
      <c r="J128" s="24" t="n">
        <f aca="false">IF(J125="","",J125)</f>
        <v>6.4625</v>
      </c>
      <c r="K128" s="24" t="n">
        <f aca="false">IF(K125="","",K125)</f>
        <v>8</v>
      </c>
      <c r="L128" s="24" t="n">
        <f aca="false">IF(L125="","",L125)</f>
        <v>8</v>
      </c>
      <c r="M128" s="24" t="n">
        <f aca="false">IF(M125="","",M125)</f>
        <v>8</v>
      </c>
    </row>
    <row r="129" customFormat="false" ht="17.15" hidden="false" customHeight="false" outlineLevel="0" collapsed="false">
      <c r="A129" s="5" t="s">
        <v>990</v>
      </c>
      <c r="B129" s="0" t="s">
        <v>1090</v>
      </c>
      <c r="C129" s="0" t="s">
        <v>77</v>
      </c>
      <c r="D129" s="24" t="n">
        <f aca="false">IF(D125="","",IF(In!$C$113="未說明",D125/D$13,D125))</f>
        <v>0.07</v>
      </c>
      <c r="E129" s="24" t="n">
        <f aca="false">IF(E125="","",IF(In!$C$113="未說明",E125/E$13,E125))</f>
        <v>0.36</v>
      </c>
      <c r="F129" s="24" t="n">
        <f aca="false">IF(F125="","",IF(In!$C$113="未說明",F125/F$13,F125))</f>
        <v>0.85</v>
      </c>
      <c r="G129" s="24" t="n">
        <f aca="false">IF(G125="","",IF(In!$C$113="未說明",G125/G$13,G125))</f>
        <v>1.85</v>
      </c>
      <c r="H129" s="24" t="n">
        <f aca="false">IF(H125="","",IF(In!$C$113="未說明",H125/H$13,H125))</f>
        <v>3.3875</v>
      </c>
      <c r="I129" s="24" t="n">
        <f aca="false">IF(I125="","",IF(In!$C$113="未說明",I125/I$13,I125))</f>
        <v>4.925</v>
      </c>
      <c r="J129" s="24" t="n">
        <f aca="false">IF(J125="","",IF(In!$C$113="未說明",J125/J$13,J125))</f>
        <v>6.4625</v>
      </c>
      <c r="K129" s="24" t="n">
        <f aca="false">IF(K125="","",IF(In!$C$113="未說明",K125/K$13,K125))</f>
        <v>8</v>
      </c>
      <c r="L129" s="24" t="n">
        <f aca="false">IF(L125="","",IF(In!$C$113="未說明",L125/L$13,L125))</f>
        <v>8</v>
      </c>
      <c r="M129" s="24" t="n">
        <f aca="false">IF(M125="","",IF(In!$C$113="未說明",M125/M$13,M125))</f>
        <v>8</v>
      </c>
    </row>
    <row r="130" customFormat="false" ht="17.15" hidden="false" customHeight="false" outlineLevel="0" collapsed="false">
      <c r="A130" s="5" t="s">
        <v>992</v>
      </c>
      <c r="B130" s="0" t="s">
        <v>1091</v>
      </c>
      <c r="C130" s="0" t="s">
        <v>77</v>
      </c>
      <c r="D130" s="0" t="str">
        <f aca="false">""</f>
        <v/>
      </c>
      <c r="E130" s="24" t="n">
        <f aca="false">IF(AND(D125&lt;&gt;"",E125&lt;&gt;""),(D125+E125)/2,"")</f>
        <v>0.215</v>
      </c>
      <c r="F130" s="24" t="n">
        <f aca="false">IF(AND(E125&lt;&gt;"",F125&lt;&gt;""),(E125+F125)/2,"")</f>
        <v>0.605</v>
      </c>
      <c r="G130" s="24" t="n">
        <f aca="false">IF(AND(F125&lt;&gt;"",G125&lt;&gt;""),(F125+G125)/2,"")</f>
        <v>1.35</v>
      </c>
      <c r="H130" s="24" t="n">
        <f aca="false">IF(AND(G125&lt;&gt;"",H125&lt;&gt;""),(G125+H125)/2,"")</f>
        <v>2.61875</v>
      </c>
      <c r="I130" s="24" t="n">
        <f aca="false">IF(AND(H125&lt;&gt;"",I125&lt;&gt;""),(H125+I125)/2,"")</f>
        <v>4.15625</v>
      </c>
      <c r="J130" s="24" t="n">
        <f aca="false">IF(AND(I125&lt;&gt;"",J125&lt;&gt;""),(I125+J125)/2,"")</f>
        <v>5.69375</v>
      </c>
      <c r="K130" s="24" t="n">
        <f aca="false">IF(AND(J125&lt;&gt;"",K125&lt;&gt;""),(J125+K125)/2,"")</f>
        <v>7.23125</v>
      </c>
      <c r="L130" s="24" t="n">
        <f aca="false">IF(AND(K125&lt;&gt;"",L125&lt;&gt;""),(K125+L125)/2,"")</f>
        <v>8</v>
      </c>
      <c r="M130" s="24" t="n">
        <f aca="false">IF(AND(L125&lt;&gt;"",M125&lt;&gt;""),(L125+M125)/2,"")</f>
        <v>8</v>
      </c>
    </row>
    <row r="131" customFormat="false" ht="17.15" hidden="false" customHeight="false" outlineLevel="0" collapsed="false">
      <c r="A131" s="5" t="s">
        <v>994</v>
      </c>
      <c r="B131" s="0" t="s">
        <v>1092</v>
      </c>
      <c r="C131" s="0" t="s">
        <v>77</v>
      </c>
      <c r="D131" s="0" t="n">
        <v>0</v>
      </c>
      <c r="E131" s="24" t="n">
        <f aca="false">IF(AND(D125&lt;&gt;"",E125&lt;&gt;""),E125-D125,0)</f>
        <v>0.29</v>
      </c>
      <c r="F131" s="24" t="n">
        <f aca="false">IF(AND(E125&lt;&gt;"",F125&lt;&gt;""),F125-E125,0)</f>
        <v>0.49</v>
      </c>
      <c r="G131" s="24" t="n">
        <f aca="false">IF(AND(F125&lt;&gt;"",G125&lt;&gt;""),G125-F125,0)</f>
        <v>1</v>
      </c>
      <c r="H131" s="24" t="n">
        <f aca="false">IF(AND(G125&lt;&gt;"",H125&lt;&gt;""),H125-G125,0)</f>
        <v>1.5375</v>
      </c>
      <c r="I131" s="24" t="n">
        <f aca="false">IF(AND(H125&lt;&gt;"",I125&lt;&gt;""),I125-H125,0)</f>
        <v>1.5375</v>
      </c>
      <c r="J131" s="24" t="n">
        <f aca="false">IF(AND(I125&lt;&gt;"",J125&lt;&gt;""),J125-I125,0)</f>
        <v>1.5375</v>
      </c>
      <c r="K131" s="24" t="n">
        <f aca="false">IF(AND(J125&lt;&gt;"",K125&lt;&gt;""),K125-J125,0)</f>
        <v>1.5375</v>
      </c>
      <c r="L131" s="24" t="n">
        <f aca="false">IF(AND(K125&lt;&gt;"",L125&lt;&gt;""),L125-K125,0)</f>
        <v>0</v>
      </c>
      <c r="M131" s="24" t="n">
        <f aca="false">IF(AND(L125&lt;&gt;"",M125&lt;&gt;""),M125-L125,0)</f>
        <v>0</v>
      </c>
    </row>
    <row r="132" customFormat="false" ht="17.15" hidden="false" customHeight="false" outlineLevel="0" collapsed="false">
      <c r="A132" s="5" t="s">
        <v>996</v>
      </c>
      <c r="B132" s="0" t="s">
        <v>1093</v>
      </c>
      <c r="C132" s="0" t="s">
        <v>77</v>
      </c>
      <c r="D132" s="24" t="n">
        <f aca="false">IF(D125&lt;&gt;"",D125,0)</f>
        <v>0.07</v>
      </c>
      <c r="E132" s="24" t="n">
        <f aca="false">IF(AND(D125="",E125&lt;&gt;""),E125,0)</f>
        <v>0</v>
      </c>
      <c r="F132" s="24" t="n">
        <f aca="false">IF(AND(E125="",F125&lt;&gt;""),F125,0)</f>
        <v>0</v>
      </c>
      <c r="G132" s="24" t="n">
        <f aca="false">IF(AND(F125="",G125&lt;&gt;""),G125,0)</f>
        <v>0</v>
      </c>
      <c r="H132" s="24" t="n">
        <f aca="false">IF(AND(G125="",H125&lt;&gt;""),H125,0)</f>
        <v>0</v>
      </c>
      <c r="I132" s="24" t="n">
        <f aca="false">IF(AND(H125="",I125&lt;&gt;""),I125,0)</f>
        <v>0</v>
      </c>
      <c r="J132" s="24" t="n">
        <f aca="false">IF(AND(I125="",J125&lt;&gt;""),J125,0)</f>
        <v>0</v>
      </c>
      <c r="K132" s="24" t="n">
        <f aca="false">IF(AND(J125="",K125&lt;&gt;""),K125,0)</f>
        <v>0</v>
      </c>
      <c r="L132" s="24" t="n">
        <f aca="false">IF(AND(K125="",L125&lt;&gt;""),L125,0)</f>
        <v>0</v>
      </c>
      <c r="M132" s="24" t="n">
        <f aca="false">IF(AND(L125="",M125&lt;&gt;""),M125,0)</f>
        <v>0</v>
      </c>
    </row>
    <row r="133" customFormat="false" ht="17.15" hidden="false" customHeight="false" outlineLevel="0" collapsed="false">
      <c r="A133" s="5" t="s">
        <v>998</v>
      </c>
      <c r="B133" s="0" t="s">
        <v>1094</v>
      </c>
      <c r="C133" s="0" t="s">
        <v>52</v>
      </c>
      <c r="D133" s="23" t="n">
        <f aca="false">nnv_crwv</f>
        <v>0</v>
      </c>
      <c r="E133" s="23" t="n">
        <f aca="false">nnv_crwv</f>
        <v>0</v>
      </c>
      <c r="F133" s="23" t="n">
        <f aca="false">nnv_crwv</f>
        <v>0</v>
      </c>
      <c r="G133" s="23" t="n">
        <f aca="false">nnv_crwv</f>
        <v>0</v>
      </c>
      <c r="H133" s="23" t="n">
        <f aca="false">nnv_crwv</f>
        <v>0</v>
      </c>
      <c r="I133" s="23" t="n">
        <f aca="false">nnv_crwv</f>
        <v>0</v>
      </c>
      <c r="J133" s="23" t="n">
        <f aca="false">nnv_crwv</f>
        <v>0</v>
      </c>
      <c r="K133" s="23" t="n">
        <f aca="false">nnv_crwv</f>
        <v>0</v>
      </c>
      <c r="L133" s="23" t="n">
        <f aca="false">nnv_crwv</f>
        <v>0</v>
      </c>
      <c r="M133" s="23" t="n">
        <f aca="false">nnv_crwv</f>
        <v>0</v>
      </c>
    </row>
    <row r="135" customFormat="false" ht="17.15" hidden="false" customHeight="false" outlineLevel="0" collapsed="false">
      <c r="A135" s="8" t="s">
        <v>1095</v>
      </c>
      <c r="B135" s="20" t="s">
        <v>651</v>
      </c>
      <c r="N135" s="20" t="s">
        <v>1096</v>
      </c>
    </row>
    <row r="136" customFormat="false" ht="17.15" hidden="false" customHeight="false" outlineLevel="0" collapsed="false">
      <c r="A136" s="5" t="s">
        <v>966</v>
      </c>
      <c r="B136" s="0" t="s">
        <v>1097</v>
      </c>
      <c r="C136" s="0" t="s">
        <v>77</v>
      </c>
      <c r="D136" s="24" t="str">
        <f aca="false">IF(In!$H$114="","",IF(In!$C$114="設施",In!$H$114/1000/D$13,In!$H$114/1000))</f>
        <v/>
      </c>
      <c r="E136" s="24" t="str">
        <f aca="false">IF(In!$I$114="","",IF(In!$C$114="設施",In!$I$114/1000/E$13,In!$I$114/1000))</f>
        <v/>
      </c>
      <c r="F136" s="24" t="n">
        <f aca="false">IF(In!$J$114="","",IF(In!$C$114="設施",In!$J$114/1000/F$13,In!$J$114/1000))</f>
        <v>0.17</v>
      </c>
      <c r="G136" s="24" t="n">
        <f aca="false">IF(In!$K$114="","",IF(In!$C$114="設施",In!$K$114/1000/G$13,In!$K$114/1000))</f>
        <v>0.9</v>
      </c>
      <c r="H136" s="24" t="str">
        <f aca="false">IF(In!$L$114="","",IF(In!$C$114="設施",In!$L$114/1000/H$13,In!$L$114/1000))</f>
        <v/>
      </c>
      <c r="I136" s="24" t="str">
        <f aca="false">IF(In!$M$114="","",IF(In!$C$114="設施",In!$M$114/1000/I$13,In!$M$114/1000))</f>
        <v/>
      </c>
      <c r="J136" s="24" t="str">
        <f aca="false">IF(In!$N$114="","",IF(In!$C$114="設施",In!$N$114/1000/J$13,In!$N$114/1000))</f>
        <v/>
      </c>
      <c r="K136" s="24" t="str">
        <f aca="false">IF(In!$O$114="","",IF(In!$C$114="設施",In!$O$114/1000/K$13,In!$O$114/1000))</f>
        <v/>
      </c>
      <c r="L136" s="24" t="str">
        <f aca="false">IF(In!$P$114="","",IF(In!$C$114="設施",In!$P$114/1000/L$13,In!$P$114/1000))</f>
        <v/>
      </c>
      <c r="M136" s="24" t="str">
        <f aca="false">IF(In!$Q$114="","",IF(In!$C$114="設施",In!$Q$114/1000/M$13,In!$Q$114/1000))</f>
        <v/>
      </c>
    </row>
    <row r="137" customFormat="false" ht="17.15" hidden="false" customHeight="false" outlineLevel="0" collapsed="false">
      <c r="A137" s="5" t="s">
        <v>968</v>
      </c>
      <c r="B137" s="0" t="s">
        <v>1098</v>
      </c>
      <c r="C137" s="0" t="s">
        <v>77</v>
      </c>
      <c r="D137" s="0" t="str">
        <f aca="false">""</f>
        <v/>
      </c>
      <c r="E137" s="0" t="str">
        <f aca="false">""</f>
        <v/>
      </c>
      <c r="F137" s="0" t="str">
        <f aca="false">""</f>
        <v/>
      </c>
      <c r="G137" s="0" t="str">
        <f aca="false">""</f>
        <v/>
      </c>
      <c r="H137" s="0" t="str">
        <f aca="false">""</f>
        <v/>
      </c>
      <c r="I137" s="0" t="str">
        <f aca="false">""</f>
        <v/>
      </c>
      <c r="J137" s="0" t="str">
        <f aca="false">""</f>
        <v/>
      </c>
      <c r="K137" s="0" t="str">
        <f aca="false">""</f>
        <v/>
      </c>
      <c r="L137" s="0" t="str">
        <f aca="false">""</f>
        <v/>
      </c>
      <c r="M137" s="0" t="str">
        <f aca="false">""</f>
        <v/>
      </c>
    </row>
    <row r="138" customFormat="false" ht="15" hidden="false" customHeight="false" outlineLevel="0" collapsed="false">
      <c r="A138" s="5" t="s">
        <v>970</v>
      </c>
      <c r="B138" s="0" t="s">
        <v>1099</v>
      </c>
      <c r="C138" s="0" t="s">
        <v>77</v>
      </c>
      <c r="D138" s="0" t="str">
        <f aca="false">IF(D136&lt;&gt;"",D136,IF(D137&lt;&gt;"",D137,""))</f>
        <v/>
      </c>
      <c r="E138" s="0" t="str">
        <f aca="false">IF(E136&lt;&gt;"",E136,IF(E137&lt;&gt;"",E137,""))</f>
        <v/>
      </c>
      <c r="F138" s="24" t="n">
        <f aca="false">IF(F136&lt;&gt;"",F136,IF(F137&lt;&gt;"",F137,""))</f>
        <v>0.17</v>
      </c>
      <c r="G138" s="24" t="n">
        <f aca="false">IF(G136&lt;&gt;"",G136,IF(G137&lt;&gt;"",G137,""))</f>
        <v>0.9</v>
      </c>
      <c r="H138" s="0" t="str">
        <f aca="false">IF(H136&lt;&gt;"",H136,IF(H137&lt;&gt;"",H137,""))</f>
        <v/>
      </c>
      <c r="I138" s="0" t="str">
        <f aca="false">IF(I136&lt;&gt;"",I136,IF(I137&lt;&gt;"",I137,""))</f>
        <v/>
      </c>
      <c r="J138" s="0" t="str">
        <f aca="false">IF(J136&lt;&gt;"",J136,IF(J137&lt;&gt;"",J137,""))</f>
        <v/>
      </c>
      <c r="K138" s="0" t="str">
        <f aca="false">IF(K136&lt;&gt;"",K136,IF(K137&lt;&gt;"",K137,""))</f>
        <v/>
      </c>
      <c r="L138" s="0" t="str">
        <f aca="false">IF(L136&lt;&gt;"",L136,IF(L137&lt;&gt;"",L137,""))</f>
        <v/>
      </c>
      <c r="M138" s="0" t="str">
        <f aca="false">IF(M136&lt;&gt;"",M136,IF(M137&lt;&gt;"",M137,""))</f>
        <v/>
      </c>
    </row>
    <row r="139" customFormat="false" ht="15" hidden="false" customHeight="false" outlineLevel="0" collapsed="false">
      <c r="A139" s="5" t="s">
        <v>972</v>
      </c>
      <c r="B139" s="0" t="s">
        <v>1100</v>
      </c>
      <c r="C139" s="0" t="s">
        <v>77</v>
      </c>
      <c r="D139" s="0" t="str">
        <f aca="false">IF(D138&lt;&gt;"",D138,"")</f>
        <v/>
      </c>
      <c r="E139" s="0" t="str">
        <f aca="false">IF(E138&lt;&gt;"",E138,D139)</f>
        <v/>
      </c>
      <c r="F139" s="24" t="n">
        <f aca="false">IF(F138&lt;&gt;"",F138,E139)</f>
        <v>0.17</v>
      </c>
      <c r="G139" s="24" t="n">
        <f aca="false">IF(G138&lt;&gt;"",G138,F139)</f>
        <v>0.9</v>
      </c>
      <c r="H139" s="24" t="n">
        <f aca="false">IF(H138&lt;&gt;"",H138,G139)</f>
        <v>0.9</v>
      </c>
      <c r="I139" s="24" t="n">
        <f aca="false">IF(I138&lt;&gt;"",I138,H139)</f>
        <v>0.9</v>
      </c>
      <c r="J139" s="24" t="n">
        <f aca="false">IF(J138&lt;&gt;"",J138,I139)</f>
        <v>0.9</v>
      </c>
      <c r="K139" s="24" t="n">
        <f aca="false">IF(K138&lt;&gt;"",K138,J139)</f>
        <v>0.9</v>
      </c>
      <c r="L139" s="24" t="n">
        <f aca="false">IF(L138&lt;&gt;"",L138,K139)</f>
        <v>0.9</v>
      </c>
      <c r="M139" s="24" t="n">
        <f aca="false">IF(M138&lt;&gt;"",M138,L139)</f>
        <v>0.9</v>
      </c>
    </row>
    <row r="140" customFormat="false" ht="15" hidden="false" customHeight="false" outlineLevel="0" collapsed="false">
      <c r="A140" s="5" t="s">
        <v>974</v>
      </c>
      <c r="B140" s="0" t="s">
        <v>1101</v>
      </c>
      <c r="C140" s="5" t="s">
        <v>47</v>
      </c>
      <c r="D140" s="0" t="str">
        <f aca="false">IF(D138&lt;&gt;"",2023,"")</f>
        <v/>
      </c>
      <c r="E140" s="0" t="str">
        <f aca="false">IF(E138&lt;&gt;"",2024,D140)</f>
        <v/>
      </c>
      <c r="F140" s="0" t="n">
        <f aca="false">IF(F138&lt;&gt;"",2025,E140)</f>
        <v>2025</v>
      </c>
      <c r="G140" s="0" t="n">
        <f aca="false">IF(G138&lt;&gt;"",2026,F140)</f>
        <v>2026</v>
      </c>
      <c r="H140" s="0" t="n">
        <f aca="false">IF(H138&lt;&gt;"",2027,G140)</f>
        <v>2026</v>
      </c>
      <c r="I140" s="0" t="n">
        <f aca="false">IF(I138&lt;&gt;"",2028,H140)</f>
        <v>2026</v>
      </c>
      <c r="J140" s="0" t="n">
        <f aca="false">IF(J138&lt;&gt;"",2029,I140)</f>
        <v>2026</v>
      </c>
      <c r="K140" s="0" t="n">
        <f aca="false">IF(K138&lt;&gt;"",2030,J140)</f>
        <v>2026</v>
      </c>
      <c r="L140" s="0" t="n">
        <f aca="false">IF(L138&lt;&gt;"",2031,K140)</f>
        <v>2026</v>
      </c>
      <c r="M140" s="0" t="n">
        <f aca="false">IF(M138&lt;&gt;"",2032,L140)</f>
        <v>2026</v>
      </c>
    </row>
    <row r="141" customFormat="false" ht="15" hidden="false" customHeight="false" outlineLevel="0" collapsed="false">
      <c r="A141" s="5" t="s">
        <v>976</v>
      </c>
      <c r="B141" s="0" t="s">
        <v>1102</v>
      </c>
      <c r="C141" s="0" t="s">
        <v>77</v>
      </c>
      <c r="D141" s="24" t="n">
        <f aca="false">IF(D138&lt;&gt;"",D138,E141)</f>
        <v>0.17</v>
      </c>
      <c r="E141" s="24" t="n">
        <f aca="false">IF(E138&lt;&gt;"",E138,F141)</f>
        <v>0.17</v>
      </c>
      <c r="F141" s="24" t="n">
        <f aca="false">IF(F138&lt;&gt;"",F138,G141)</f>
        <v>0.17</v>
      </c>
      <c r="G141" s="24" t="n">
        <f aca="false">IF(G138&lt;&gt;"",G138,H141)</f>
        <v>0.9</v>
      </c>
      <c r="H141" s="0" t="str">
        <f aca="false">IF(H138&lt;&gt;"",H138,I141)</f>
        <v/>
      </c>
      <c r="I141" s="0" t="str">
        <f aca="false">IF(I138&lt;&gt;"",I138,J141)</f>
        <v/>
      </c>
      <c r="J141" s="0" t="str">
        <f aca="false">IF(J138&lt;&gt;"",J138,K141)</f>
        <v/>
      </c>
      <c r="K141" s="0" t="str">
        <f aca="false">IF(K138&lt;&gt;"",K138,L141)</f>
        <v/>
      </c>
      <c r="L141" s="0" t="str">
        <f aca="false">IF(L138&lt;&gt;"",L138,M141)</f>
        <v/>
      </c>
      <c r="M141" s="0" t="str">
        <f aca="false">IF(M138&lt;&gt;"",M138,"")</f>
        <v/>
      </c>
    </row>
    <row r="142" customFormat="false" ht="15" hidden="false" customHeight="false" outlineLevel="0" collapsed="false">
      <c r="A142" s="5" t="s">
        <v>978</v>
      </c>
      <c r="B142" s="0" t="s">
        <v>1103</v>
      </c>
      <c r="C142" s="5" t="s">
        <v>47</v>
      </c>
      <c r="D142" s="0" t="n">
        <f aca="false">IF(D138&lt;&gt;"",2023,E142)</f>
        <v>2025</v>
      </c>
      <c r="E142" s="0" t="n">
        <f aca="false">IF(E138&lt;&gt;"",2024,F142)</f>
        <v>2025</v>
      </c>
      <c r="F142" s="0" t="n">
        <f aca="false">IF(F138&lt;&gt;"",2025,G142)</f>
        <v>2025</v>
      </c>
      <c r="G142" s="0" t="n">
        <f aca="false">IF(G138&lt;&gt;"",2026,H142)</f>
        <v>2026</v>
      </c>
      <c r="H142" s="0" t="str">
        <f aca="false">IF(H138&lt;&gt;"",2027,I142)</f>
        <v/>
      </c>
      <c r="I142" s="0" t="str">
        <f aca="false">IF(I138&lt;&gt;"",2028,J142)</f>
        <v/>
      </c>
      <c r="J142" s="0" t="str">
        <f aca="false">IF(J138&lt;&gt;"",2029,K142)</f>
        <v/>
      </c>
      <c r="K142" s="0" t="str">
        <f aca="false">IF(K138&lt;&gt;"",2030,L142)</f>
        <v/>
      </c>
      <c r="L142" s="0" t="str">
        <f aca="false">IF(L138&lt;&gt;"",2031,M142)</f>
        <v/>
      </c>
      <c r="M142" s="0" t="str">
        <f aca="false">IF(M138&lt;&gt;"",2032,"")</f>
        <v/>
      </c>
    </row>
    <row r="143" customFormat="false" ht="17.15" hidden="false" customHeight="false" outlineLevel="0" collapsed="false">
      <c r="A143" s="5" t="s">
        <v>980</v>
      </c>
      <c r="B143" s="0" t="s">
        <v>1104</v>
      </c>
      <c r="C143" s="0" t="s">
        <v>77</v>
      </c>
      <c r="D143" s="24" t="n">
        <f aca="false">SUMIFS(Pipeline!$L$5:$L$64,Pipeline!$C$5:$C$64,"nbis",Pipeline!$Q$5:$Q$64,1,Pipeline!$P$5:$P$64,2023)</f>
        <v>0</v>
      </c>
      <c r="E143" s="24" t="n">
        <f aca="false">SUMIFS(Pipeline!$L$5:$L$64,Pipeline!$C$5:$C$64,"nbis",Pipeline!$Q$5:$Q$64,1,Pipeline!$P$5:$P$64,2024)</f>
        <v>0</v>
      </c>
      <c r="F143" s="24" t="n">
        <f aca="false">SUMIFS(Pipeline!$L$5:$L$64,Pipeline!$C$5:$C$64,"nbis",Pipeline!$Q$5:$Q$64,1,Pipeline!$P$5:$P$64,2025)</f>
        <v>0</v>
      </c>
      <c r="G143" s="24" t="n">
        <f aca="false">SUMIFS(Pipeline!$L$5:$L$64,Pipeline!$C$5:$C$64,"nbis",Pipeline!$Q$5:$Q$64,1,Pipeline!$P$5:$P$64,2026)</f>
        <v>0</v>
      </c>
      <c r="H143" s="24" t="n">
        <f aca="false">SUMIFS(Pipeline!$L$5:$L$64,Pipeline!$C$5:$C$64,"nbis",Pipeline!$Q$5:$Q$64,1,Pipeline!$P$5:$P$64,2027)</f>
        <v>0</v>
      </c>
      <c r="I143" s="24" t="n">
        <f aca="false">SUMIFS(Pipeline!$L$5:$L$64,Pipeline!$C$5:$C$64,"nbis",Pipeline!$Q$5:$Q$64,1,Pipeline!$P$5:$P$64,2028)</f>
        <v>0</v>
      </c>
      <c r="J143" s="24" t="n">
        <f aca="false">SUMIFS(Pipeline!$L$5:$L$64,Pipeline!$C$5:$C$64,"nbis",Pipeline!$Q$5:$Q$64,1,Pipeline!$P$5:$P$64,2029)</f>
        <v>0</v>
      </c>
      <c r="K143" s="24" t="n">
        <f aca="false">SUMIFS(Pipeline!$L$5:$L$64,Pipeline!$C$5:$C$64,"nbis",Pipeline!$Q$5:$Q$64,1,Pipeline!$P$5:$P$64,2030)</f>
        <v>0</v>
      </c>
      <c r="L143" s="24" t="n">
        <f aca="false">SUMIFS(Pipeline!$L$5:$L$64,Pipeline!$C$5:$C$64,"nbis",Pipeline!$Q$5:$Q$64,1,Pipeline!$P$5:$P$64,2031)</f>
        <v>0</v>
      </c>
      <c r="M143" s="24" t="n">
        <f aca="false">SUMIFS(Pipeline!$L$5:$L$64,Pipeline!$C$5:$C$64,"nbis",Pipeline!$Q$5:$Q$64,1,Pipeline!$P$5:$P$64,2032)</f>
        <v>0</v>
      </c>
    </row>
    <row r="144" customFormat="false" ht="17.15" hidden="false" customHeight="false" outlineLevel="0" collapsed="false">
      <c r="A144" s="5" t="s">
        <v>982</v>
      </c>
      <c r="B144" s="0" t="s">
        <v>1105</v>
      </c>
      <c r="C144" s="0" t="s">
        <v>77</v>
      </c>
      <c r="D144" s="25" t="str">
        <f aca="false">IF(D138&lt;&gt;"",D138,IF(AND(D139&lt;&gt;"",D141&lt;&gt;""),D139+(D141-D139)*(2023-D140)/(D142-D140),""))</f>
        <v/>
      </c>
      <c r="E144" s="25" t="str">
        <f aca="false">IF(E138&lt;&gt;"",E138,IF(AND(E139&lt;&gt;"",E141&lt;&gt;""),E139+(E141-E139)*(2024-E140)/(E142-E140),IF(D144&lt;&gt;"",D144+E143,"")))</f>
        <v/>
      </c>
      <c r="F144" s="25" t="n">
        <f aca="false">IF(F138&lt;&gt;"",F138,IF(AND(F139&lt;&gt;"",F141&lt;&gt;""),F139+(F141-F139)*(2025-F140)/(F142-F140),IF(E144&lt;&gt;"",E144+F143,"")))</f>
        <v>0.17</v>
      </c>
      <c r="G144" s="25" t="n">
        <f aca="false">IF(G138&lt;&gt;"",G138,IF(AND(G139&lt;&gt;"",G141&lt;&gt;""),G139+(G141-G139)*(2026-G140)/(G142-G140),IF(F144&lt;&gt;"",F144+G143,"")))</f>
        <v>0.9</v>
      </c>
      <c r="H144" s="25" t="n">
        <f aca="false">IF(H138&lt;&gt;"",H138,IF(AND(H139&lt;&gt;"",H141&lt;&gt;""),H139+(H141-H139)*(2027-H140)/(H142-H140),IF(G144&lt;&gt;"",G144+H143,"")))</f>
        <v>0.9</v>
      </c>
      <c r="I144" s="25" t="n">
        <f aca="false">IF(I138&lt;&gt;"",I138,IF(AND(I139&lt;&gt;"",I141&lt;&gt;""),I139+(I141-I139)*(2028-I140)/(I142-I140),IF(H144&lt;&gt;"",H144+I143,"")))</f>
        <v>0.9</v>
      </c>
      <c r="J144" s="25" t="n">
        <f aca="false">IF(J138&lt;&gt;"",J138,IF(AND(J139&lt;&gt;"",J141&lt;&gt;""),J139+(J141-J139)*(2029-J140)/(J142-J140),IF(I144&lt;&gt;"",I144+J143,"")))</f>
        <v>0.9</v>
      </c>
      <c r="K144" s="25" t="n">
        <f aca="false">IF(K138&lt;&gt;"",K138,IF(AND(K139&lt;&gt;"",K141&lt;&gt;""),K139+(K141-K139)*(2030-K140)/(K142-K140),IF(J144&lt;&gt;"",J144+K143,"")))</f>
        <v>0.9</v>
      </c>
      <c r="L144" s="25" t="n">
        <f aca="false">IF(L138&lt;&gt;"",L138,IF(AND(L139&lt;&gt;"",L141&lt;&gt;""),L139+(L141-L139)*(2031-L140)/(L142-L140),IF(K144&lt;&gt;"",K144+L143,"")))</f>
        <v>0.9</v>
      </c>
      <c r="M144" s="25" t="n">
        <f aca="false">IF(M138&lt;&gt;"",M138,IF(AND(M139&lt;&gt;"",M141&lt;&gt;""),M139+(M141-M139)*(2032-M140)/(M142-M140),IF(L144&lt;&gt;"",L144+M143,"")))</f>
        <v>0.9</v>
      </c>
    </row>
    <row r="145" customFormat="false" ht="15" hidden="false" customHeight="false" outlineLevel="0" collapsed="false">
      <c r="A145" s="5" t="s">
        <v>984</v>
      </c>
      <c r="B145" s="0" t="s">
        <v>1106</v>
      </c>
      <c r="C145" s="0" t="s">
        <v>35</v>
      </c>
      <c r="D145" s="0" t="n">
        <f aca="false">IF(D136&lt;&gt;"",1,IF(D137&lt;&gt;"",5,IF(D138&lt;&gt;"",2,IF(AND(D139&lt;&gt;"",D141&lt;&gt;""),3,IF(D144&lt;&gt;"",4,0)))))</f>
        <v>0</v>
      </c>
      <c r="E145" s="0" t="n">
        <f aca="false">IF(E136&lt;&gt;"",1,IF(E137&lt;&gt;"",5,IF(E138&lt;&gt;"",2,IF(AND(E139&lt;&gt;"",E141&lt;&gt;""),3,IF(E144&lt;&gt;"",4,0)))))</f>
        <v>0</v>
      </c>
      <c r="F145" s="0" t="n">
        <f aca="false">IF(F136&lt;&gt;"",1,IF(F137&lt;&gt;"",5,IF(F138&lt;&gt;"",2,IF(AND(F139&lt;&gt;"",F141&lt;&gt;""),3,IF(F144&lt;&gt;"",4,0)))))</f>
        <v>1</v>
      </c>
      <c r="G145" s="0" t="n">
        <f aca="false">IF(G136&lt;&gt;"",1,IF(G137&lt;&gt;"",5,IF(G138&lt;&gt;"",2,IF(AND(G139&lt;&gt;"",G141&lt;&gt;""),3,IF(G144&lt;&gt;"",4,0)))))</f>
        <v>1</v>
      </c>
      <c r="H145" s="0" t="n">
        <f aca="false">IF(H136&lt;&gt;"",1,IF(H137&lt;&gt;"",5,IF(H138&lt;&gt;"",2,IF(AND(H139&lt;&gt;"",H141&lt;&gt;""),3,IF(H144&lt;&gt;"",4,0)))))</f>
        <v>4</v>
      </c>
      <c r="I145" s="0" t="n">
        <f aca="false">IF(I136&lt;&gt;"",1,IF(I137&lt;&gt;"",5,IF(I138&lt;&gt;"",2,IF(AND(I139&lt;&gt;"",I141&lt;&gt;""),3,IF(I144&lt;&gt;"",4,0)))))</f>
        <v>4</v>
      </c>
      <c r="J145" s="0" t="n">
        <f aca="false">IF(J136&lt;&gt;"",1,IF(J137&lt;&gt;"",5,IF(J138&lt;&gt;"",2,IF(AND(J139&lt;&gt;"",J141&lt;&gt;""),3,IF(J144&lt;&gt;"",4,0)))))</f>
        <v>4</v>
      </c>
      <c r="K145" s="0" t="n">
        <f aca="false">IF(K136&lt;&gt;"",1,IF(K137&lt;&gt;"",5,IF(K138&lt;&gt;"",2,IF(AND(K139&lt;&gt;"",K141&lt;&gt;""),3,IF(K144&lt;&gt;"",4,0)))))</f>
        <v>4</v>
      </c>
      <c r="L145" s="0" t="n">
        <f aca="false">IF(L136&lt;&gt;"",1,IF(L137&lt;&gt;"",5,IF(L138&lt;&gt;"",2,IF(AND(L139&lt;&gt;"",L141&lt;&gt;""),3,IF(L144&lt;&gt;"",4,0)))))</f>
        <v>4</v>
      </c>
      <c r="M145" s="0" t="n">
        <f aca="false">IF(M136&lt;&gt;"",1,IF(M137&lt;&gt;"",5,IF(M138&lt;&gt;"",2,IF(AND(M139&lt;&gt;"",M141&lt;&gt;""),3,IF(M144&lt;&gt;"",4,0)))))</f>
        <v>4</v>
      </c>
    </row>
    <row r="146" customFormat="false" ht="17.15" hidden="false" customHeight="false" outlineLevel="0" collapsed="false">
      <c r="A146" s="5" t="s">
        <v>986</v>
      </c>
      <c r="B146" s="0" t="s">
        <v>1107</v>
      </c>
      <c r="C146" s="0" t="s">
        <v>77</v>
      </c>
      <c r="D146" s="24" t="str">
        <f aca="false">IF(D144="","",D144)</f>
        <v/>
      </c>
      <c r="E146" s="24" t="str">
        <f aca="false">IF(E144="","",E144)</f>
        <v/>
      </c>
      <c r="F146" s="24" t="n">
        <f aca="false">IF(F144="","",F144)</f>
        <v>0.17</v>
      </c>
      <c r="G146" s="24" t="n">
        <f aca="false">IF(G144="","",G144)</f>
        <v>0.9</v>
      </c>
      <c r="H146" s="24" t="n">
        <f aca="false">IF(H144="","",H144)</f>
        <v>0.9</v>
      </c>
      <c r="I146" s="24" t="n">
        <f aca="false">IF(I144="","",I144)</f>
        <v>0.9</v>
      </c>
      <c r="J146" s="24" t="n">
        <f aca="false">IF(J144="","",J144)</f>
        <v>0.9</v>
      </c>
      <c r="K146" s="24" t="n">
        <f aca="false">IF(K144="","",K144)</f>
        <v>0.9</v>
      </c>
      <c r="L146" s="24" t="n">
        <f aca="false">IF(L144="","",L144)</f>
        <v>0.9</v>
      </c>
      <c r="M146" s="24" t="n">
        <f aca="false">IF(M144="","",M144)</f>
        <v>0.9</v>
      </c>
    </row>
    <row r="147" customFormat="false" ht="17.15" hidden="false" customHeight="false" outlineLevel="0" collapsed="false">
      <c r="A147" s="5" t="s">
        <v>988</v>
      </c>
      <c r="B147" s="0" t="s">
        <v>1108</v>
      </c>
      <c r="C147" s="0" t="s">
        <v>77</v>
      </c>
      <c r="D147" s="24" t="str">
        <f aca="false">IF(D144="","",D144)</f>
        <v/>
      </c>
      <c r="E147" s="24" t="str">
        <f aca="false">IF(E144="","",E144)</f>
        <v/>
      </c>
      <c r="F147" s="24" t="n">
        <f aca="false">IF(F144="","",F144)</f>
        <v>0.17</v>
      </c>
      <c r="G147" s="24" t="n">
        <f aca="false">IF(G144="","",G144)</f>
        <v>0.9</v>
      </c>
      <c r="H147" s="24" t="n">
        <f aca="false">IF(H144="","",H144)</f>
        <v>0.9</v>
      </c>
      <c r="I147" s="24" t="n">
        <f aca="false">IF(I144="","",I144)</f>
        <v>0.9</v>
      </c>
      <c r="J147" s="24" t="n">
        <f aca="false">IF(J144="","",J144)</f>
        <v>0.9</v>
      </c>
      <c r="K147" s="24" t="n">
        <f aca="false">IF(K144="","",K144)</f>
        <v>0.9</v>
      </c>
      <c r="L147" s="24" t="n">
        <f aca="false">IF(L144="","",L144)</f>
        <v>0.9</v>
      </c>
      <c r="M147" s="24" t="n">
        <f aca="false">IF(M144="","",M144)</f>
        <v>0.9</v>
      </c>
    </row>
    <row r="148" customFormat="false" ht="17.15" hidden="false" customHeight="false" outlineLevel="0" collapsed="false">
      <c r="A148" s="5" t="s">
        <v>990</v>
      </c>
      <c r="B148" s="0" t="s">
        <v>1109</v>
      </c>
      <c r="C148" s="0" t="s">
        <v>77</v>
      </c>
      <c r="D148" s="24" t="str">
        <f aca="false">IF(D144="","",IF(In!$C$114="未說明",D144/D$13,D144))</f>
        <v/>
      </c>
      <c r="E148" s="24" t="str">
        <f aca="false">IF(E144="","",IF(In!$C$114="未說明",E144/E$13,E144))</f>
        <v/>
      </c>
      <c r="F148" s="24" t="n">
        <f aca="false">IF(F144="","",IF(In!$C$114="未說明",F144/F$13,F144))</f>
        <v>0.141666666666667</v>
      </c>
      <c r="G148" s="24" t="n">
        <f aca="false">IF(G144="","",IF(In!$C$114="未說明",G144/G$13,G144))</f>
        <v>0.75</v>
      </c>
      <c r="H148" s="24" t="n">
        <f aca="false">IF(H144="","",IF(In!$C$114="未說明",H144/H$13,H144))</f>
        <v>0.75</v>
      </c>
      <c r="I148" s="24" t="n">
        <f aca="false">IF(I144="","",IF(In!$C$114="未說明",I144/I$13,I144))</f>
        <v>0.75</v>
      </c>
      <c r="J148" s="24" t="n">
        <f aca="false">IF(J144="","",IF(In!$C$114="未說明",J144/J$13,J144))</f>
        <v>0.75</v>
      </c>
      <c r="K148" s="24" t="n">
        <f aca="false">IF(K144="","",IF(In!$C$114="未說明",K144/K$13,K144))</f>
        <v>0.75</v>
      </c>
      <c r="L148" s="24" t="n">
        <f aca="false">IF(L144="","",IF(In!$C$114="未說明",L144/L$13,L144))</f>
        <v>0.75</v>
      </c>
      <c r="M148" s="24" t="n">
        <f aca="false">IF(M144="","",IF(In!$C$114="未說明",M144/M$13,M144))</f>
        <v>0.75</v>
      </c>
    </row>
    <row r="149" customFormat="false" ht="17.15" hidden="false" customHeight="false" outlineLevel="0" collapsed="false">
      <c r="A149" s="5" t="s">
        <v>992</v>
      </c>
      <c r="B149" s="0" t="s">
        <v>1110</v>
      </c>
      <c r="C149" s="0" t="s">
        <v>77</v>
      </c>
      <c r="D149" s="0" t="str">
        <f aca="false">""</f>
        <v/>
      </c>
      <c r="E149" s="24" t="str">
        <f aca="false">IF(AND(D144&lt;&gt;"",E144&lt;&gt;""),(D144+E144)/2,"")</f>
        <v/>
      </c>
      <c r="F149" s="24" t="str">
        <f aca="false">IF(AND(E144&lt;&gt;"",F144&lt;&gt;""),(E144+F144)/2,"")</f>
        <v/>
      </c>
      <c r="G149" s="24" t="n">
        <f aca="false">IF(AND(F144&lt;&gt;"",G144&lt;&gt;""),(F144+G144)/2,"")</f>
        <v>0.535</v>
      </c>
      <c r="H149" s="24" t="n">
        <f aca="false">IF(AND(G144&lt;&gt;"",H144&lt;&gt;""),(G144+H144)/2,"")</f>
        <v>0.9</v>
      </c>
      <c r="I149" s="24" t="n">
        <f aca="false">IF(AND(H144&lt;&gt;"",I144&lt;&gt;""),(H144+I144)/2,"")</f>
        <v>0.9</v>
      </c>
      <c r="J149" s="24" t="n">
        <f aca="false">IF(AND(I144&lt;&gt;"",J144&lt;&gt;""),(I144+J144)/2,"")</f>
        <v>0.9</v>
      </c>
      <c r="K149" s="24" t="n">
        <f aca="false">IF(AND(J144&lt;&gt;"",K144&lt;&gt;""),(J144+K144)/2,"")</f>
        <v>0.9</v>
      </c>
      <c r="L149" s="24" t="n">
        <f aca="false">IF(AND(K144&lt;&gt;"",L144&lt;&gt;""),(K144+L144)/2,"")</f>
        <v>0.9</v>
      </c>
      <c r="M149" s="24" t="n">
        <f aca="false">IF(AND(L144&lt;&gt;"",M144&lt;&gt;""),(L144+M144)/2,"")</f>
        <v>0.9</v>
      </c>
    </row>
    <row r="150" customFormat="false" ht="17.15" hidden="false" customHeight="false" outlineLevel="0" collapsed="false">
      <c r="A150" s="5" t="s">
        <v>994</v>
      </c>
      <c r="B150" s="0" t="s">
        <v>1111</v>
      </c>
      <c r="C150" s="0" t="s">
        <v>77</v>
      </c>
      <c r="D150" s="0" t="n">
        <v>0</v>
      </c>
      <c r="E150" s="24" t="n">
        <f aca="false">IF(AND(D144&lt;&gt;"",E144&lt;&gt;""),E144-D144,0)</f>
        <v>0</v>
      </c>
      <c r="F150" s="24" t="n">
        <f aca="false">IF(AND(E144&lt;&gt;"",F144&lt;&gt;""),F144-E144,0)</f>
        <v>0</v>
      </c>
      <c r="G150" s="24" t="n">
        <f aca="false">IF(AND(F144&lt;&gt;"",G144&lt;&gt;""),G144-F144,0)</f>
        <v>0.73</v>
      </c>
      <c r="H150" s="24" t="n">
        <f aca="false">IF(AND(G144&lt;&gt;"",H144&lt;&gt;""),H144-G144,0)</f>
        <v>0</v>
      </c>
      <c r="I150" s="24" t="n">
        <f aca="false">IF(AND(H144&lt;&gt;"",I144&lt;&gt;""),I144-H144,0)</f>
        <v>0</v>
      </c>
      <c r="J150" s="24" t="n">
        <f aca="false">IF(AND(I144&lt;&gt;"",J144&lt;&gt;""),J144-I144,0)</f>
        <v>0</v>
      </c>
      <c r="K150" s="24" t="n">
        <f aca="false">IF(AND(J144&lt;&gt;"",K144&lt;&gt;""),K144-J144,0)</f>
        <v>0</v>
      </c>
      <c r="L150" s="24" t="n">
        <f aca="false">IF(AND(K144&lt;&gt;"",L144&lt;&gt;""),L144-K144,0)</f>
        <v>0</v>
      </c>
      <c r="M150" s="24" t="n">
        <f aca="false">IF(AND(L144&lt;&gt;"",M144&lt;&gt;""),M144-L144,0)</f>
        <v>0</v>
      </c>
    </row>
    <row r="151" customFormat="false" ht="17.15" hidden="false" customHeight="false" outlineLevel="0" collapsed="false">
      <c r="A151" s="5" t="s">
        <v>996</v>
      </c>
      <c r="B151" s="0" t="s">
        <v>1112</v>
      </c>
      <c r="C151" s="0" t="s">
        <v>77</v>
      </c>
      <c r="D151" s="24" t="n">
        <f aca="false">IF(D144&lt;&gt;"",D144,0)</f>
        <v>0</v>
      </c>
      <c r="E151" s="24" t="n">
        <f aca="false">IF(AND(D144="",E144&lt;&gt;""),E144,0)</f>
        <v>0</v>
      </c>
      <c r="F151" s="24" t="n">
        <f aca="false">IF(AND(E144="",F144&lt;&gt;""),F144,0)</f>
        <v>0.17</v>
      </c>
      <c r="G151" s="24" t="n">
        <f aca="false">IF(AND(F144="",G144&lt;&gt;""),G144,0)</f>
        <v>0</v>
      </c>
      <c r="H151" s="24" t="n">
        <f aca="false">IF(AND(G144="",H144&lt;&gt;""),H144,0)</f>
        <v>0</v>
      </c>
      <c r="I151" s="24" t="n">
        <f aca="false">IF(AND(H144="",I144&lt;&gt;""),I144,0)</f>
        <v>0</v>
      </c>
      <c r="J151" s="24" t="n">
        <f aca="false">IF(AND(I144="",J144&lt;&gt;""),J144,0)</f>
        <v>0</v>
      </c>
      <c r="K151" s="24" t="n">
        <f aca="false">IF(AND(J144="",K144&lt;&gt;""),K144,0)</f>
        <v>0</v>
      </c>
      <c r="L151" s="24" t="n">
        <f aca="false">IF(AND(K144="",L144&lt;&gt;""),L144,0)</f>
        <v>0</v>
      </c>
      <c r="M151" s="24" t="n">
        <f aca="false">IF(AND(L144="",M144&lt;&gt;""),M144,0)</f>
        <v>0</v>
      </c>
    </row>
    <row r="152" customFormat="false" ht="17.15" hidden="false" customHeight="false" outlineLevel="0" collapsed="false">
      <c r="A152" s="5" t="s">
        <v>998</v>
      </c>
      <c r="B152" s="0" t="s">
        <v>1113</v>
      </c>
      <c r="C152" s="0" t="s">
        <v>52</v>
      </c>
      <c r="D152" s="23" t="n">
        <f aca="false">nnv_nbis</f>
        <v>0</v>
      </c>
      <c r="E152" s="23" t="n">
        <f aca="false">nnv_nbis</f>
        <v>0</v>
      </c>
      <c r="F152" s="23" t="n">
        <f aca="false">nnv_nbis</f>
        <v>0</v>
      </c>
      <c r="G152" s="23" t="n">
        <f aca="false">nnv_nbis</f>
        <v>0</v>
      </c>
      <c r="H152" s="23" t="n">
        <f aca="false">nnv_nbis</f>
        <v>0</v>
      </c>
      <c r="I152" s="23" t="n">
        <f aca="false">nnv_nbis</f>
        <v>0</v>
      </c>
      <c r="J152" s="23" t="n">
        <f aca="false">nnv_nbis</f>
        <v>0</v>
      </c>
      <c r="K152" s="23" t="n">
        <f aca="false">nnv_nbis</f>
        <v>0</v>
      </c>
      <c r="L152" s="23" t="n">
        <f aca="false">nnv_nbis</f>
        <v>0</v>
      </c>
      <c r="M152" s="23" t="n">
        <f aca="false">nnv_nbis</f>
        <v>0</v>
      </c>
    </row>
    <row r="154" customFormat="false" ht="17.15" hidden="false" customHeight="false" outlineLevel="0" collapsed="false">
      <c r="A154" s="8" t="s">
        <v>1114</v>
      </c>
      <c r="B154" s="20" t="s">
        <v>1115</v>
      </c>
      <c r="N154" s="20" t="s">
        <v>1116</v>
      </c>
    </row>
    <row r="155" customFormat="false" ht="17.15" hidden="false" customHeight="false" outlineLevel="0" collapsed="false">
      <c r="A155" s="5" t="s">
        <v>966</v>
      </c>
      <c r="B155" s="0" t="s">
        <v>1117</v>
      </c>
      <c r="C155" s="0" t="s">
        <v>77</v>
      </c>
      <c r="D155" s="24" t="str">
        <f aca="false">IF(In!$H$115="","",IF(In!$C$115="設施",In!$H$115/1000/D$13,In!$H$115/1000))</f>
        <v/>
      </c>
      <c r="E155" s="24" t="str">
        <f aca="false">IF(In!$I$115="","",IF(In!$C$115="設施",In!$I$115/1000/E$13,In!$I$115/1000))</f>
        <v/>
      </c>
      <c r="F155" s="24" t="n">
        <f aca="false">IF(In!$J$115="","",IF(In!$C$115="設施",In!$J$115/1000/F$13,In!$J$115/1000))</f>
        <v>0.0055</v>
      </c>
      <c r="G155" s="24" t="n">
        <f aca="false">IF(In!$K$115="","",IF(In!$C$115="設施",In!$K$115/1000/G$13,In!$K$115/1000))</f>
        <v>0.014574</v>
      </c>
      <c r="H155" s="24" t="n">
        <f aca="false">IF(In!$L$115="","",IF(In!$C$115="設施",In!$L$115/1000/H$13,In!$L$115/1000))</f>
        <v>0.016548</v>
      </c>
      <c r="I155" s="24" t="str">
        <f aca="false">IF(In!$M$115="","",IF(In!$C$115="設施",In!$M$115/1000/I$13,In!$M$115/1000))</f>
        <v/>
      </c>
      <c r="J155" s="24" t="str">
        <f aca="false">IF(In!$N$115="","",IF(In!$C$115="設施",In!$N$115/1000/J$13,In!$N$115/1000))</f>
        <v/>
      </c>
      <c r="K155" s="24" t="str">
        <f aca="false">IF(In!$O$115="","",IF(In!$C$115="設施",In!$O$115/1000/K$13,In!$O$115/1000))</f>
        <v/>
      </c>
      <c r="L155" s="24" t="str">
        <f aca="false">IF(In!$P$115="","",IF(In!$C$115="設施",In!$P$115/1000/L$13,In!$P$115/1000))</f>
        <v/>
      </c>
      <c r="M155" s="24" t="str">
        <f aca="false">IF(In!$Q$115="","",IF(In!$C$115="設施",In!$Q$115/1000/M$13,In!$Q$115/1000))</f>
        <v/>
      </c>
    </row>
    <row r="156" customFormat="false" ht="17.15" hidden="false" customHeight="false" outlineLevel="0" collapsed="false">
      <c r="A156" s="5" t="s">
        <v>968</v>
      </c>
      <c r="B156" s="0" t="s">
        <v>1118</v>
      </c>
      <c r="C156" s="0" t="s">
        <v>77</v>
      </c>
      <c r="D156" s="0" t="str">
        <f aca="false">""</f>
        <v/>
      </c>
      <c r="E156" s="0" t="str">
        <f aca="false">""</f>
        <v/>
      </c>
      <c r="F156" s="0" t="str">
        <f aca="false">""</f>
        <v/>
      </c>
      <c r="G156" s="0" t="str">
        <f aca="false">""</f>
        <v/>
      </c>
      <c r="H156" s="0" t="str">
        <f aca="false">""</f>
        <v/>
      </c>
      <c r="I156" s="0" t="str">
        <f aca="false">""</f>
        <v/>
      </c>
      <c r="J156" s="0" t="str">
        <f aca="false">""</f>
        <v/>
      </c>
      <c r="K156" s="0" t="str">
        <f aca="false">""</f>
        <v/>
      </c>
      <c r="L156" s="0" t="str">
        <f aca="false">""</f>
        <v/>
      </c>
      <c r="M156" s="0" t="str">
        <f aca="false">""</f>
        <v/>
      </c>
    </row>
    <row r="157" customFormat="false" ht="15" hidden="false" customHeight="false" outlineLevel="0" collapsed="false">
      <c r="A157" s="5" t="s">
        <v>970</v>
      </c>
      <c r="B157" s="0" t="s">
        <v>1119</v>
      </c>
      <c r="C157" s="0" t="s">
        <v>77</v>
      </c>
      <c r="D157" s="0" t="str">
        <f aca="false">IF(D155&lt;&gt;"",D155,IF(D156&lt;&gt;"",D156,""))</f>
        <v/>
      </c>
      <c r="E157" s="0" t="str">
        <f aca="false">IF(E155&lt;&gt;"",E155,IF(E156&lt;&gt;"",E156,""))</f>
        <v/>
      </c>
      <c r="F157" s="24" t="n">
        <f aca="false">IF(F155&lt;&gt;"",F155,IF(F156&lt;&gt;"",F156,""))</f>
        <v>0.0055</v>
      </c>
      <c r="G157" s="24" t="n">
        <f aca="false">IF(G155&lt;&gt;"",G155,IF(G156&lt;&gt;"",G156,""))</f>
        <v>0.014574</v>
      </c>
      <c r="H157" s="24" t="n">
        <f aca="false">IF(H155&lt;&gt;"",H155,IF(H156&lt;&gt;"",H156,""))</f>
        <v>0.016548</v>
      </c>
      <c r="I157" s="0" t="str">
        <f aca="false">IF(I155&lt;&gt;"",I155,IF(I156&lt;&gt;"",I156,""))</f>
        <v/>
      </c>
      <c r="J157" s="0" t="str">
        <f aca="false">IF(J155&lt;&gt;"",J155,IF(J156&lt;&gt;"",J156,""))</f>
        <v/>
      </c>
      <c r="K157" s="0" t="str">
        <f aca="false">IF(K155&lt;&gt;"",K155,IF(K156&lt;&gt;"",K156,""))</f>
        <v/>
      </c>
      <c r="L157" s="0" t="str">
        <f aca="false">IF(L155&lt;&gt;"",L155,IF(L156&lt;&gt;"",L156,""))</f>
        <v/>
      </c>
      <c r="M157" s="0" t="str">
        <f aca="false">IF(M155&lt;&gt;"",M155,IF(M156&lt;&gt;"",M156,""))</f>
        <v/>
      </c>
    </row>
    <row r="158" customFormat="false" ht="15" hidden="false" customHeight="false" outlineLevel="0" collapsed="false">
      <c r="A158" s="5" t="s">
        <v>972</v>
      </c>
      <c r="B158" s="0" t="s">
        <v>1120</v>
      </c>
      <c r="C158" s="0" t="s">
        <v>77</v>
      </c>
      <c r="D158" s="0" t="str">
        <f aca="false">IF(D157&lt;&gt;"",D157,"")</f>
        <v/>
      </c>
      <c r="E158" s="0" t="str">
        <f aca="false">IF(E157&lt;&gt;"",E157,D158)</f>
        <v/>
      </c>
      <c r="F158" s="24" t="n">
        <f aca="false">IF(F157&lt;&gt;"",F157,E158)</f>
        <v>0.0055</v>
      </c>
      <c r="G158" s="24" t="n">
        <f aca="false">IF(G157&lt;&gt;"",G157,F158)</f>
        <v>0.014574</v>
      </c>
      <c r="H158" s="24" t="n">
        <f aca="false">IF(H157&lt;&gt;"",H157,G158)</f>
        <v>0.016548</v>
      </c>
      <c r="I158" s="24" t="n">
        <f aca="false">IF(I157&lt;&gt;"",I157,H158)</f>
        <v>0.016548</v>
      </c>
      <c r="J158" s="24" t="n">
        <f aca="false">IF(J157&lt;&gt;"",J157,I158)</f>
        <v>0.016548</v>
      </c>
      <c r="K158" s="24" t="n">
        <f aca="false">IF(K157&lt;&gt;"",K157,J158)</f>
        <v>0.016548</v>
      </c>
      <c r="L158" s="24" t="n">
        <f aca="false">IF(L157&lt;&gt;"",L157,K158)</f>
        <v>0.016548</v>
      </c>
      <c r="M158" s="24" t="n">
        <f aca="false">IF(M157&lt;&gt;"",M157,L158)</f>
        <v>0.016548</v>
      </c>
    </row>
    <row r="159" customFormat="false" ht="15" hidden="false" customHeight="false" outlineLevel="0" collapsed="false">
      <c r="A159" s="5" t="s">
        <v>974</v>
      </c>
      <c r="B159" s="0" t="s">
        <v>1121</v>
      </c>
      <c r="C159" s="5" t="s">
        <v>47</v>
      </c>
      <c r="D159" s="0" t="str">
        <f aca="false">IF(D157&lt;&gt;"",2023,"")</f>
        <v/>
      </c>
      <c r="E159" s="0" t="str">
        <f aca="false">IF(E157&lt;&gt;"",2024,D159)</f>
        <v/>
      </c>
      <c r="F159" s="0" t="n">
        <f aca="false">IF(F157&lt;&gt;"",2025,E159)</f>
        <v>2025</v>
      </c>
      <c r="G159" s="0" t="n">
        <f aca="false">IF(G157&lt;&gt;"",2026,F159)</f>
        <v>2026</v>
      </c>
      <c r="H159" s="0" t="n">
        <f aca="false">IF(H157&lt;&gt;"",2027,G159)</f>
        <v>2027</v>
      </c>
      <c r="I159" s="0" t="n">
        <f aca="false">IF(I157&lt;&gt;"",2028,H159)</f>
        <v>2027</v>
      </c>
      <c r="J159" s="0" t="n">
        <f aca="false">IF(J157&lt;&gt;"",2029,I159)</f>
        <v>2027</v>
      </c>
      <c r="K159" s="0" t="n">
        <f aca="false">IF(K157&lt;&gt;"",2030,J159)</f>
        <v>2027</v>
      </c>
      <c r="L159" s="0" t="n">
        <f aca="false">IF(L157&lt;&gt;"",2031,K159)</f>
        <v>2027</v>
      </c>
      <c r="M159" s="0" t="n">
        <f aca="false">IF(M157&lt;&gt;"",2032,L159)</f>
        <v>2027</v>
      </c>
    </row>
    <row r="160" customFormat="false" ht="15" hidden="false" customHeight="false" outlineLevel="0" collapsed="false">
      <c r="A160" s="5" t="s">
        <v>976</v>
      </c>
      <c r="B160" s="0" t="s">
        <v>1122</v>
      </c>
      <c r="C160" s="0" t="s">
        <v>77</v>
      </c>
      <c r="D160" s="24" t="n">
        <f aca="false">IF(D157&lt;&gt;"",D157,E160)</f>
        <v>0.0055</v>
      </c>
      <c r="E160" s="24" t="n">
        <f aca="false">IF(E157&lt;&gt;"",E157,F160)</f>
        <v>0.0055</v>
      </c>
      <c r="F160" s="24" t="n">
        <f aca="false">IF(F157&lt;&gt;"",F157,G160)</f>
        <v>0.0055</v>
      </c>
      <c r="G160" s="24" t="n">
        <f aca="false">IF(G157&lt;&gt;"",G157,H160)</f>
        <v>0.014574</v>
      </c>
      <c r="H160" s="24" t="n">
        <f aca="false">IF(H157&lt;&gt;"",H157,I160)</f>
        <v>0.016548</v>
      </c>
      <c r="I160" s="0" t="str">
        <f aca="false">IF(I157&lt;&gt;"",I157,J160)</f>
        <v/>
      </c>
      <c r="J160" s="0" t="str">
        <f aca="false">IF(J157&lt;&gt;"",J157,K160)</f>
        <v/>
      </c>
      <c r="K160" s="0" t="str">
        <f aca="false">IF(K157&lt;&gt;"",K157,L160)</f>
        <v/>
      </c>
      <c r="L160" s="0" t="str">
        <f aca="false">IF(L157&lt;&gt;"",L157,M160)</f>
        <v/>
      </c>
      <c r="M160" s="0" t="str">
        <f aca="false">IF(M157&lt;&gt;"",M157,"")</f>
        <v/>
      </c>
    </row>
    <row r="161" customFormat="false" ht="15" hidden="false" customHeight="false" outlineLevel="0" collapsed="false">
      <c r="A161" s="5" t="s">
        <v>978</v>
      </c>
      <c r="B161" s="0" t="s">
        <v>1123</v>
      </c>
      <c r="C161" s="5" t="s">
        <v>47</v>
      </c>
      <c r="D161" s="0" t="n">
        <f aca="false">IF(D157&lt;&gt;"",2023,E161)</f>
        <v>2025</v>
      </c>
      <c r="E161" s="0" t="n">
        <f aca="false">IF(E157&lt;&gt;"",2024,F161)</f>
        <v>2025</v>
      </c>
      <c r="F161" s="0" t="n">
        <f aca="false">IF(F157&lt;&gt;"",2025,G161)</f>
        <v>2025</v>
      </c>
      <c r="G161" s="0" t="n">
        <f aca="false">IF(G157&lt;&gt;"",2026,H161)</f>
        <v>2026</v>
      </c>
      <c r="H161" s="0" t="n">
        <f aca="false">IF(H157&lt;&gt;"",2027,I161)</f>
        <v>2027</v>
      </c>
      <c r="I161" s="0" t="str">
        <f aca="false">IF(I157&lt;&gt;"",2028,J161)</f>
        <v/>
      </c>
      <c r="J161" s="0" t="str">
        <f aca="false">IF(J157&lt;&gt;"",2029,K161)</f>
        <v/>
      </c>
      <c r="K161" s="0" t="str">
        <f aca="false">IF(K157&lt;&gt;"",2030,L161)</f>
        <v/>
      </c>
      <c r="L161" s="0" t="str">
        <f aca="false">IF(L157&lt;&gt;"",2031,M161)</f>
        <v/>
      </c>
      <c r="M161" s="0" t="str">
        <f aca="false">IF(M157&lt;&gt;"",2032,"")</f>
        <v/>
      </c>
    </row>
    <row r="162" customFormat="false" ht="17.15" hidden="false" customHeight="false" outlineLevel="0" collapsed="false">
      <c r="A162" s="5" t="s">
        <v>980</v>
      </c>
      <c r="B162" s="0" t="s">
        <v>1124</v>
      </c>
      <c r="C162" s="0" t="s">
        <v>77</v>
      </c>
      <c r="D162" s="24" t="n">
        <f aca="false">SUMIFS(Pipeline!$L$5:$L$64,Pipeline!$C$5:$C$64,"wyfi",Pipeline!$Q$5:$Q$64,1,Pipeline!$P$5:$P$64,2023)</f>
        <v>0</v>
      </c>
      <c r="E162" s="24" t="n">
        <f aca="false">SUMIFS(Pipeline!$L$5:$L$64,Pipeline!$C$5:$C$64,"wyfi",Pipeline!$Q$5:$Q$64,1,Pipeline!$P$5:$P$64,2024)</f>
        <v>0</v>
      </c>
      <c r="F162" s="24" t="n">
        <f aca="false">SUMIFS(Pipeline!$L$5:$L$64,Pipeline!$C$5:$C$64,"wyfi",Pipeline!$Q$5:$Q$64,1,Pipeline!$P$5:$P$64,2025)</f>
        <v>0</v>
      </c>
      <c r="G162" s="24" t="n">
        <f aca="false">SUMIFS(Pipeline!$L$5:$L$64,Pipeline!$C$5:$C$64,"wyfi",Pipeline!$Q$5:$Q$64,1,Pipeline!$P$5:$P$64,2026)</f>
        <v>0</v>
      </c>
      <c r="H162" s="24" t="n">
        <f aca="false">SUMIFS(Pipeline!$L$5:$L$64,Pipeline!$C$5:$C$64,"wyfi",Pipeline!$Q$5:$Q$64,1,Pipeline!$P$5:$P$64,2027)</f>
        <v>0</v>
      </c>
      <c r="I162" s="24" t="n">
        <f aca="false">SUMIFS(Pipeline!$L$5:$L$64,Pipeline!$C$5:$C$64,"wyfi",Pipeline!$Q$5:$Q$64,1,Pipeline!$P$5:$P$64,2028)</f>
        <v>0</v>
      </c>
      <c r="J162" s="24" t="n">
        <f aca="false">SUMIFS(Pipeline!$L$5:$L$64,Pipeline!$C$5:$C$64,"wyfi",Pipeline!$Q$5:$Q$64,1,Pipeline!$P$5:$P$64,2029)</f>
        <v>0</v>
      </c>
      <c r="K162" s="24" t="n">
        <f aca="false">SUMIFS(Pipeline!$L$5:$L$64,Pipeline!$C$5:$C$64,"wyfi",Pipeline!$Q$5:$Q$64,1,Pipeline!$P$5:$P$64,2030)</f>
        <v>0</v>
      </c>
      <c r="L162" s="24" t="n">
        <f aca="false">SUMIFS(Pipeline!$L$5:$L$64,Pipeline!$C$5:$C$64,"wyfi",Pipeline!$Q$5:$Q$64,1,Pipeline!$P$5:$P$64,2031)</f>
        <v>0</v>
      </c>
      <c r="M162" s="24" t="n">
        <f aca="false">SUMIFS(Pipeline!$L$5:$L$64,Pipeline!$C$5:$C$64,"wyfi",Pipeline!$Q$5:$Q$64,1,Pipeline!$P$5:$P$64,2032)</f>
        <v>0</v>
      </c>
    </row>
    <row r="163" customFormat="false" ht="17.15" hidden="false" customHeight="false" outlineLevel="0" collapsed="false">
      <c r="A163" s="5" t="s">
        <v>982</v>
      </c>
      <c r="B163" s="0" t="s">
        <v>1125</v>
      </c>
      <c r="C163" s="0" t="s">
        <v>77</v>
      </c>
      <c r="D163" s="25" t="str">
        <f aca="false">IF(D157&lt;&gt;"",D157,IF(AND(D158&lt;&gt;"",D160&lt;&gt;""),D158+(D160-D158)*(2023-D159)/(D161-D159),""))</f>
        <v/>
      </c>
      <c r="E163" s="25" t="str">
        <f aca="false">IF(E157&lt;&gt;"",E157,IF(AND(E158&lt;&gt;"",E160&lt;&gt;""),E158+(E160-E158)*(2024-E159)/(E161-E159),IF(D163&lt;&gt;"",D163+E162,"")))</f>
        <v/>
      </c>
      <c r="F163" s="25" t="n">
        <f aca="false">IF(F157&lt;&gt;"",F157,IF(AND(F158&lt;&gt;"",F160&lt;&gt;""),F158+(F160-F158)*(2025-F159)/(F161-F159),IF(E163&lt;&gt;"",E163+F162,"")))</f>
        <v>0.0055</v>
      </c>
      <c r="G163" s="25" t="n">
        <f aca="false">IF(G157&lt;&gt;"",G157,IF(AND(G158&lt;&gt;"",G160&lt;&gt;""),G158+(G160-G158)*(2026-G159)/(G161-G159),IF(F163&lt;&gt;"",F163+G162,"")))</f>
        <v>0.014574</v>
      </c>
      <c r="H163" s="25" t="n">
        <f aca="false">IF(H157&lt;&gt;"",H157,IF(AND(H158&lt;&gt;"",H160&lt;&gt;""),H158+(H160-H158)*(2027-H159)/(H161-H159),IF(G163&lt;&gt;"",G163+H162,"")))</f>
        <v>0.016548</v>
      </c>
      <c r="I163" s="25" t="n">
        <f aca="false">IF(I157&lt;&gt;"",I157,IF(AND(I158&lt;&gt;"",I160&lt;&gt;""),I158+(I160-I158)*(2028-I159)/(I161-I159),IF(H163&lt;&gt;"",H163+I162,"")))</f>
        <v>0.016548</v>
      </c>
      <c r="J163" s="25" t="n">
        <f aca="false">IF(J157&lt;&gt;"",J157,IF(AND(J158&lt;&gt;"",J160&lt;&gt;""),J158+(J160-J158)*(2029-J159)/(J161-J159),IF(I163&lt;&gt;"",I163+J162,"")))</f>
        <v>0.016548</v>
      </c>
      <c r="K163" s="25" t="n">
        <f aca="false">IF(K157&lt;&gt;"",K157,IF(AND(K158&lt;&gt;"",K160&lt;&gt;""),K158+(K160-K158)*(2030-K159)/(K161-K159),IF(J163&lt;&gt;"",J163+K162,"")))</f>
        <v>0.016548</v>
      </c>
      <c r="L163" s="25" t="n">
        <f aca="false">IF(L157&lt;&gt;"",L157,IF(AND(L158&lt;&gt;"",L160&lt;&gt;""),L158+(L160-L158)*(2031-L159)/(L161-L159),IF(K163&lt;&gt;"",K163+L162,"")))</f>
        <v>0.016548</v>
      </c>
      <c r="M163" s="25" t="n">
        <f aca="false">IF(M157&lt;&gt;"",M157,IF(AND(M158&lt;&gt;"",M160&lt;&gt;""),M158+(M160-M158)*(2032-M159)/(M161-M159),IF(L163&lt;&gt;"",L163+M162,"")))</f>
        <v>0.016548</v>
      </c>
    </row>
    <row r="164" customFormat="false" ht="15" hidden="false" customHeight="false" outlineLevel="0" collapsed="false">
      <c r="A164" s="5" t="s">
        <v>984</v>
      </c>
      <c r="B164" s="0" t="s">
        <v>1126</v>
      </c>
      <c r="C164" s="0" t="s">
        <v>35</v>
      </c>
      <c r="D164" s="0" t="n">
        <f aca="false">IF(D155&lt;&gt;"",1,IF(D156&lt;&gt;"",5,IF(D157&lt;&gt;"",2,IF(AND(D158&lt;&gt;"",D160&lt;&gt;""),3,IF(D163&lt;&gt;"",4,0)))))</f>
        <v>0</v>
      </c>
      <c r="E164" s="0" t="n">
        <f aca="false">IF(E155&lt;&gt;"",1,IF(E156&lt;&gt;"",5,IF(E157&lt;&gt;"",2,IF(AND(E158&lt;&gt;"",E160&lt;&gt;""),3,IF(E163&lt;&gt;"",4,0)))))</f>
        <v>0</v>
      </c>
      <c r="F164" s="0" t="n">
        <f aca="false">IF(F155&lt;&gt;"",1,IF(F156&lt;&gt;"",5,IF(F157&lt;&gt;"",2,IF(AND(F158&lt;&gt;"",F160&lt;&gt;""),3,IF(F163&lt;&gt;"",4,0)))))</f>
        <v>1</v>
      </c>
      <c r="G164" s="0" t="n">
        <f aca="false">IF(G155&lt;&gt;"",1,IF(G156&lt;&gt;"",5,IF(G157&lt;&gt;"",2,IF(AND(G158&lt;&gt;"",G160&lt;&gt;""),3,IF(G163&lt;&gt;"",4,0)))))</f>
        <v>1</v>
      </c>
      <c r="H164" s="0" t="n">
        <f aca="false">IF(H155&lt;&gt;"",1,IF(H156&lt;&gt;"",5,IF(H157&lt;&gt;"",2,IF(AND(H158&lt;&gt;"",H160&lt;&gt;""),3,IF(H163&lt;&gt;"",4,0)))))</f>
        <v>1</v>
      </c>
      <c r="I164" s="0" t="n">
        <f aca="false">IF(I155&lt;&gt;"",1,IF(I156&lt;&gt;"",5,IF(I157&lt;&gt;"",2,IF(AND(I158&lt;&gt;"",I160&lt;&gt;""),3,IF(I163&lt;&gt;"",4,0)))))</f>
        <v>4</v>
      </c>
      <c r="J164" s="0" t="n">
        <f aca="false">IF(J155&lt;&gt;"",1,IF(J156&lt;&gt;"",5,IF(J157&lt;&gt;"",2,IF(AND(J158&lt;&gt;"",J160&lt;&gt;""),3,IF(J163&lt;&gt;"",4,0)))))</f>
        <v>4</v>
      </c>
      <c r="K164" s="0" t="n">
        <f aca="false">IF(K155&lt;&gt;"",1,IF(K156&lt;&gt;"",5,IF(K157&lt;&gt;"",2,IF(AND(K158&lt;&gt;"",K160&lt;&gt;""),3,IF(K163&lt;&gt;"",4,0)))))</f>
        <v>4</v>
      </c>
      <c r="L164" s="0" t="n">
        <f aca="false">IF(L155&lt;&gt;"",1,IF(L156&lt;&gt;"",5,IF(L157&lt;&gt;"",2,IF(AND(L158&lt;&gt;"",L160&lt;&gt;""),3,IF(L163&lt;&gt;"",4,0)))))</f>
        <v>4</v>
      </c>
      <c r="M164" s="0" t="n">
        <f aca="false">IF(M155&lt;&gt;"",1,IF(M156&lt;&gt;"",5,IF(M157&lt;&gt;"",2,IF(AND(M158&lt;&gt;"",M160&lt;&gt;""),3,IF(M163&lt;&gt;"",4,0)))))</f>
        <v>4</v>
      </c>
    </row>
    <row r="165" customFormat="false" ht="17.15" hidden="false" customHeight="false" outlineLevel="0" collapsed="false">
      <c r="A165" s="5" t="s">
        <v>986</v>
      </c>
      <c r="B165" s="0" t="s">
        <v>1127</v>
      </c>
      <c r="C165" s="0" t="s">
        <v>77</v>
      </c>
      <c r="D165" s="24" t="str">
        <f aca="false">IF(D163="","",D163)</f>
        <v/>
      </c>
      <c r="E165" s="24" t="str">
        <f aca="false">IF(E163="","",E163)</f>
        <v/>
      </c>
      <c r="F165" s="24" t="n">
        <f aca="false">IF(F163="","",F163)</f>
        <v>0.0055</v>
      </c>
      <c r="G165" s="24" t="n">
        <f aca="false">IF(G163="","",G163)</f>
        <v>0.014574</v>
      </c>
      <c r="H165" s="24" t="n">
        <f aca="false">IF(H163="","",H163)</f>
        <v>0.016548</v>
      </c>
      <c r="I165" s="24" t="n">
        <f aca="false">IF(I163="","",I163)</f>
        <v>0.016548</v>
      </c>
      <c r="J165" s="24" t="n">
        <f aca="false">IF(J163="","",J163)</f>
        <v>0.016548</v>
      </c>
      <c r="K165" s="24" t="n">
        <f aca="false">IF(K163="","",K163)</f>
        <v>0.016548</v>
      </c>
      <c r="L165" s="24" t="n">
        <f aca="false">IF(L163="","",L163)</f>
        <v>0.016548</v>
      </c>
      <c r="M165" s="24" t="n">
        <f aca="false">IF(M163="","",M163)</f>
        <v>0.016548</v>
      </c>
    </row>
    <row r="166" customFormat="false" ht="17.15" hidden="false" customHeight="false" outlineLevel="0" collapsed="false">
      <c r="A166" s="5" t="s">
        <v>988</v>
      </c>
      <c r="B166" s="0" t="s">
        <v>1128</v>
      </c>
      <c r="C166" s="0" t="s">
        <v>77</v>
      </c>
      <c r="D166" s="24" t="str">
        <f aca="false">IF(D163="","",D163)</f>
        <v/>
      </c>
      <c r="E166" s="24" t="str">
        <f aca="false">IF(E163="","",E163)</f>
        <v/>
      </c>
      <c r="F166" s="24" t="n">
        <f aca="false">IF(F163="","",F163)</f>
        <v>0.0055</v>
      </c>
      <c r="G166" s="24" t="n">
        <f aca="false">IF(G163="","",G163)</f>
        <v>0.014574</v>
      </c>
      <c r="H166" s="24" t="n">
        <f aca="false">IF(H163="","",H163)</f>
        <v>0.016548</v>
      </c>
      <c r="I166" s="24" t="n">
        <f aca="false">IF(I163="","",I163)</f>
        <v>0.016548</v>
      </c>
      <c r="J166" s="24" t="n">
        <f aca="false">IF(J163="","",J163)</f>
        <v>0.016548</v>
      </c>
      <c r="K166" s="24" t="n">
        <f aca="false">IF(K163="","",K163)</f>
        <v>0.016548</v>
      </c>
      <c r="L166" s="24" t="n">
        <f aca="false">IF(L163="","",L163)</f>
        <v>0.016548</v>
      </c>
      <c r="M166" s="24" t="n">
        <f aca="false">IF(M163="","",M163)</f>
        <v>0.016548</v>
      </c>
    </row>
    <row r="167" customFormat="false" ht="17.15" hidden="false" customHeight="false" outlineLevel="0" collapsed="false">
      <c r="A167" s="5" t="s">
        <v>990</v>
      </c>
      <c r="B167" s="0" t="s">
        <v>1129</v>
      </c>
      <c r="C167" s="0" t="s">
        <v>77</v>
      </c>
      <c r="D167" s="24" t="str">
        <f aca="false">IF(D163="","",IF(In!$C$115="未說明",D163/D$13,D163))</f>
        <v/>
      </c>
      <c r="E167" s="24" t="str">
        <f aca="false">IF(E163="","",IF(In!$C$115="未說明",E163/E$13,E163))</f>
        <v/>
      </c>
      <c r="F167" s="24" t="n">
        <f aca="false">IF(F163="","",IF(In!$C$115="未說明",F163/F$13,F163))</f>
        <v>0.0055</v>
      </c>
      <c r="G167" s="24" t="n">
        <f aca="false">IF(G163="","",IF(In!$C$115="未說明",G163/G$13,G163))</f>
        <v>0.014574</v>
      </c>
      <c r="H167" s="24" t="n">
        <f aca="false">IF(H163="","",IF(In!$C$115="未說明",H163/H$13,H163))</f>
        <v>0.016548</v>
      </c>
      <c r="I167" s="24" t="n">
        <f aca="false">IF(I163="","",IF(In!$C$115="未說明",I163/I$13,I163))</f>
        <v>0.016548</v>
      </c>
      <c r="J167" s="24" t="n">
        <f aca="false">IF(J163="","",IF(In!$C$115="未說明",J163/J$13,J163))</f>
        <v>0.016548</v>
      </c>
      <c r="K167" s="24" t="n">
        <f aca="false">IF(K163="","",IF(In!$C$115="未說明",K163/K$13,K163))</f>
        <v>0.016548</v>
      </c>
      <c r="L167" s="24" t="n">
        <f aca="false">IF(L163="","",IF(In!$C$115="未說明",L163/L$13,L163))</f>
        <v>0.016548</v>
      </c>
      <c r="M167" s="24" t="n">
        <f aca="false">IF(M163="","",IF(In!$C$115="未說明",M163/M$13,M163))</f>
        <v>0.016548</v>
      </c>
    </row>
    <row r="168" customFormat="false" ht="17.15" hidden="false" customHeight="false" outlineLevel="0" collapsed="false">
      <c r="A168" s="5" t="s">
        <v>992</v>
      </c>
      <c r="B168" s="0" t="s">
        <v>1130</v>
      </c>
      <c r="C168" s="0" t="s">
        <v>77</v>
      </c>
      <c r="D168" s="0" t="str">
        <f aca="false">""</f>
        <v/>
      </c>
      <c r="E168" s="24" t="str">
        <f aca="false">IF(AND(D163&lt;&gt;"",E163&lt;&gt;""),(D163+E163)/2,"")</f>
        <v/>
      </c>
      <c r="F168" s="24" t="str">
        <f aca="false">IF(AND(E163&lt;&gt;"",F163&lt;&gt;""),(E163+F163)/2,"")</f>
        <v/>
      </c>
      <c r="G168" s="24" t="n">
        <f aca="false">IF(AND(F163&lt;&gt;"",G163&lt;&gt;""),(F163+G163)/2,"")</f>
        <v>0.010037</v>
      </c>
      <c r="H168" s="24" t="n">
        <f aca="false">IF(AND(G163&lt;&gt;"",H163&lt;&gt;""),(G163+H163)/2,"")</f>
        <v>0.015561</v>
      </c>
      <c r="I168" s="24" t="n">
        <f aca="false">IF(AND(H163&lt;&gt;"",I163&lt;&gt;""),(H163+I163)/2,"")</f>
        <v>0.016548</v>
      </c>
      <c r="J168" s="24" t="n">
        <f aca="false">IF(AND(I163&lt;&gt;"",J163&lt;&gt;""),(I163+J163)/2,"")</f>
        <v>0.016548</v>
      </c>
      <c r="K168" s="24" t="n">
        <f aca="false">IF(AND(J163&lt;&gt;"",K163&lt;&gt;""),(J163+K163)/2,"")</f>
        <v>0.016548</v>
      </c>
      <c r="L168" s="24" t="n">
        <f aca="false">IF(AND(K163&lt;&gt;"",L163&lt;&gt;""),(K163+L163)/2,"")</f>
        <v>0.016548</v>
      </c>
      <c r="M168" s="24" t="n">
        <f aca="false">IF(AND(L163&lt;&gt;"",M163&lt;&gt;""),(L163+M163)/2,"")</f>
        <v>0.016548</v>
      </c>
    </row>
    <row r="169" customFormat="false" ht="17.15" hidden="false" customHeight="false" outlineLevel="0" collapsed="false">
      <c r="A169" s="5" t="s">
        <v>994</v>
      </c>
      <c r="B169" s="0" t="s">
        <v>1131</v>
      </c>
      <c r="C169" s="0" t="s">
        <v>77</v>
      </c>
      <c r="D169" s="0" t="n">
        <v>0</v>
      </c>
      <c r="E169" s="24" t="n">
        <f aca="false">IF(AND(D163&lt;&gt;"",E163&lt;&gt;""),E163-D163,0)</f>
        <v>0</v>
      </c>
      <c r="F169" s="24" t="n">
        <f aca="false">IF(AND(E163&lt;&gt;"",F163&lt;&gt;""),F163-E163,0)</f>
        <v>0</v>
      </c>
      <c r="G169" s="24" t="n">
        <f aca="false">IF(AND(F163&lt;&gt;"",G163&lt;&gt;""),G163-F163,0)</f>
        <v>0.009074</v>
      </c>
      <c r="H169" s="24" t="n">
        <f aca="false">IF(AND(G163&lt;&gt;"",H163&lt;&gt;""),H163-G163,0)</f>
        <v>0.001974</v>
      </c>
      <c r="I169" s="24" t="n">
        <f aca="false">IF(AND(H163&lt;&gt;"",I163&lt;&gt;""),I163-H163,0)</f>
        <v>0</v>
      </c>
      <c r="J169" s="24" t="n">
        <f aca="false">IF(AND(I163&lt;&gt;"",J163&lt;&gt;""),J163-I163,0)</f>
        <v>0</v>
      </c>
      <c r="K169" s="24" t="n">
        <f aca="false">IF(AND(J163&lt;&gt;"",K163&lt;&gt;""),K163-J163,0)</f>
        <v>0</v>
      </c>
      <c r="L169" s="24" t="n">
        <f aca="false">IF(AND(K163&lt;&gt;"",L163&lt;&gt;""),L163-K163,0)</f>
        <v>0</v>
      </c>
      <c r="M169" s="24" t="n">
        <f aca="false">IF(AND(L163&lt;&gt;"",M163&lt;&gt;""),M163-L163,0)</f>
        <v>0</v>
      </c>
    </row>
    <row r="170" customFormat="false" ht="17.15" hidden="false" customHeight="false" outlineLevel="0" collapsed="false">
      <c r="A170" s="5" t="s">
        <v>996</v>
      </c>
      <c r="B170" s="0" t="s">
        <v>1132</v>
      </c>
      <c r="C170" s="0" t="s">
        <v>77</v>
      </c>
      <c r="D170" s="24" t="n">
        <f aca="false">IF(D163&lt;&gt;"",D163,0)</f>
        <v>0</v>
      </c>
      <c r="E170" s="24" t="n">
        <f aca="false">IF(AND(D163="",E163&lt;&gt;""),E163,0)</f>
        <v>0</v>
      </c>
      <c r="F170" s="24" t="n">
        <f aca="false">IF(AND(E163="",F163&lt;&gt;""),F163,0)</f>
        <v>0.0055</v>
      </c>
      <c r="G170" s="24" t="n">
        <f aca="false">IF(AND(F163="",G163&lt;&gt;""),G163,0)</f>
        <v>0</v>
      </c>
      <c r="H170" s="24" t="n">
        <f aca="false">IF(AND(G163="",H163&lt;&gt;""),H163,0)</f>
        <v>0</v>
      </c>
      <c r="I170" s="24" t="n">
        <f aca="false">IF(AND(H163="",I163&lt;&gt;""),I163,0)</f>
        <v>0</v>
      </c>
      <c r="J170" s="24" t="n">
        <f aca="false">IF(AND(I163="",J163&lt;&gt;""),J163,0)</f>
        <v>0</v>
      </c>
      <c r="K170" s="24" t="n">
        <f aca="false">IF(AND(J163="",K163&lt;&gt;""),K163,0)</f>
        <v>0</v>
      </c>
      <c r="L170" s="24" t="n">
        <f aca="false">IF(AND(K163="",L163&lt;&gt;""),L163,0)</f>
        <v>0</v>
      </c>
      <c r="M170" s="24" t="n">
        <f aca="false">IF(AND(L163="",M163&lt;&gt;""),M163,0)</f>
        <v>0</v>
      </c>
    </row>
    <row r="171" customFormat="false" ht="17.15" hidden="false" customHeight="false" outlineLevel="0" collapsed="false">
      <c r="A171" s="5" t="s">
        <v>998</v>
      </c>
      <c r="B171" s="0" t="s">
        <v>1133</v>
      </c>
      <c r="C171" s="0" t="s">
        <v>52</v>
      </c>
      <c r="D171" s="23" t="n">
        <f aca="false">nnv_wyfi</f>
        <v>0</v>
      </c>
      <c r="E171" s="23" t="n">
        <f aca="false">nnv_wyfi</f>
        <v>0</v>
      </c>
      <c r="F171" s="23" t="n">
        <f aca="false">nnv_wyfi</f>
        <v>0</v>
      </c>
      <c r="G171" s="23" t="n">
        <f aca="false">nnv_wyfi</f>
        <v>0</v>
      </c>
      <c r="H171" s="23" t="n">
        <f aca="false">nnv_wyfi</f>
        <v>0</v>
      </c>
      <c r="I171" s="23" t="n">
        <f aca="false">nnv_wyfi</f>
        <v>0</v>
      </c>
      <c r="J171" s="23" t="n">
        <f aca="false">nnv_wyfi</f>
        <v>0</v>
      </c>
      <c r="K171" s="23" t="n">
        <f aca="false">nnv_wyfi</f>
        <v>0</v>
      </c>
      <c r="L171" s="23" t="n">
        <f aca="false">nnv_wyfi</f>
        <v>0</v>
      </c>
      <c r="M171" s="23" t="n">
        <f aca="false">nnv_wyfi</f>
        <v>0</v>
      </c>
    </row>
    <row r="173" customFormat="false" ht="17.15" hidden="false" customHeight="false" outlineLevel="0" collapsed="false">
      <c r="A173" s="8" t="s">
        <v>1134</v>
      </c>
      <c r="B173" s="20" t="s">
        <v>535</v>
      </c>
      <c r="N173" s="20" t="s">
        <v>1135</v>
      </c>
    </row>
    <row r="174" customFormat="false" ht="17.15" hidden="false" customHeight="false" outlineLevel="0" collapsed="false">
      <c r="A174" s="5" t="s">
        <v>966</v>
      </c>
      <c r="B174" s="0" t="s">
        <v>1136</v>
      </c>
      <c r="C174" s="0" t="s">
        <v>77</v>
      </c>
      <c r="D174" s="24" t="str">
        <f aca="false">IF(In!$H$116="","",IF(In!$C$116="設施",In!$H$116/1000/D$13,In!$H$116/1000))</f>
        <v/>
      </c>
      <c r="E174" s="24" t="str">
        <f aca="false">IF(In!$I$116="","",IF(In!$C$116="設施",In!$I$116/1000/E$13,In!$I$116/1000))</f>
        <v/>
      </c>
      <c r="F174" s="24" t="str">
        <f aca="false">IF(In!$J$116="","",IF(In!$C$116="設施",In!$J$116/1000/F$13,In!$J$116/1000))</f>
        <v/>
      </c>
      <c r="G174" s="24" t="n">
        <f aca="false">IF(In!$K$116="","",IF(In!$C$116="設施",In!$K$116/1000/G$13,In!$K$116/1000))</f>
        <v>2</v>
      </c>
      <c r="H174" s="24" t="str">
        <f aca="false">IF(In!$L$116="","",IF(In!$C$116="設施",In!$L$116/1000/H$13,In!$L$116/1000))</f>
        <v/>
      </c>
      <c r="I174" s="24" t="str">
        <f aca="false">IF(In!$M$116="","",IF(In!$C$116="設施",In!$M$116/1000/I$13,In!$M$116/1000))</f>
        <v/>
      </c>
      <c r="J174" s="24" t="str">
        <f aca="false">IF(In!$N$116="","",IF(In!$C$116="設施",In!$N$116/1000/J$13,In!$N$116/1000))</f>
        <v/>
      </c>
      <c r="K174" s="24" t="str">
        <f aca="false">IF(In!$O$116="","",IF(In!$C$116="設施",In!$O$116/1000/K$13,In!$O$116/1000))</f>
        <v/>
      </c>
      <c r="L174" s="24" t="str">
        <f aca="false">IF(In!$P$116="","",IF(In!$C$116="設施",In!$P$116/1000/L$13,In!$P$116/1000))</f>
        <v/>
      </c>
      <c r="M174" s="24" t="str">
        <f aca="false">IF(In!$Q$116="","",IF(In!$C$116="設施",In!$Q$116/1000/M$13,In!$Q$116/1000))</f>
        <v/>
      </c>
    </row>
    <row r="175" customFormat="false" ht="17.15" hidden="false" customHeight="false" outlineLevel="0" collapsed="false">
      <c r="A175" s="5" t="s">
        <v>968</v>
      </c>
      <c r="B175" s="0" t="s">
        <v>1137</v>
      </c>
      <c r="C175" s="0" t="s">
        <v>77</v>
      </c>
      <c r="D175" s="24" t="str">
        <f aca="false">IF(In!$H$106="","",In!$H$106*Players!$D$19/1000)</f>
        <v/>
      </c>
      <c r="E175" s="24" t="str">
        <f aca="false">IF(In!$I$106="","",In!$I$106*Players!$D$19/1000)</f>
        <v/>
      </c>
      <c r="F175" s="24" t="n">
        <f aca="false">IF(In!$J$106="","",In!$J$106*Players!$D$19/1000)</f>
        <v>0.5698</v>
      </c>
      <c r="G175" s="24" t="str">
        <f aca="false">IF(In!$K$106="","",In!$K$106*Players!$D$19/1000)</f>
        <v/>
      </c>
      <c r="H175" s="24" t="str">
        <f aca="false">IF(In!$L$106="","",In!$L$106*Players!$D$19/1000)</f>
        <v/>
      </c>
      <c r="I175" s="24" t="str">
        <f aca="false">IF(In!$M$106="","",In!$M$106*Players!$D$19/1000)</f>
        <v/>
      </c>
      <c r="J175" s="24" t="str">
        <f aca="false">IF(In!$N$106="","",In!$N$106*Players!$D$19/1000)</f>
        <v/>
      </c>
      <c r="K175" s="24" t="str">
        <f aca="false">IF(In!$O$106="","",In!$O$106*Players!$D$19/1000)</f>
        <v/>
      </c>
      <c r="L175" s="24" t="str">
        <f aca="false">IF(In!$P$106="","",In!$P$106*Players!$D$19/1000)</f>
        <v/>
      </c>
      <c r="M175" s="24" t="str">
        <f aca="false">IF(In!$Q$106="","",In!$Q$106*Players!$D$19/1000)</f>
        <v/>
      </c>
    </row>
    <row r="176" customFormat="false" ht="15" hidden="false" customHeight="false" outlineLevel="0" collapsed="false">
      <c r="A176" s="5" t="s">
        <v>970</v>
      </c>
      <c r="B176" s="0" t="s">
        <v>1138</v>
      </c>
      <c r="C176" s="0" t="s">
        <v>77</v>
      </c>
      <c r="D176" s="24" t="str">
        <f aca="false">IF(D174&lt;&gt;"",D174,IF(D175&lt;&gt;"",D175,IF(INT(obsd_xai)=2023,obs_xai/1000+SUMIFS(Pipeline!$L$5:$L$64,Pipeline!$C$5:$C$64,"xai",Pipeline!$Q$5:$Q$64,1,Pipeline!$K$5:$K$64,"&gt;"&amp;obsd_xai,Pipeline!$K$5:$K$64,"&lt;="&amp;2024),"")))</f>
        <v/>
      </c>
      <c r="E176" s="24" t="str">
        <f aca="false">IF(E174&lt;&gt;"",E174,IF(E175&lt;&gt;"",E175,IF(INT(obsd_xai)=2024,obs_xai/1000+SUMIFS(Pipeline!$L$5:$L$64,Pipeline!$C$5:$C$64,"xai",Pipeline!$Q$5:$Q$64,1,Pipeline!$K$5:$K$64,"&gt;"&amp;obsd_xai,Pipeline!$K$5:$K$64,"&lt;="&amp;2025),"")))</f>
        <v/>
      </c>
      <c r="F176" s="24" t="n">
        <f aca="false">IF(F174&lt;&gt;"",F174,IF(F175&lt;&gt;"",F175,IF(INT(obsd_xai)=2025,obs_xai/1000+SUMIFS(Pipeline!$L$5:$L$64,Pipeline!$C$5:$C$64,"xai",Pipeline!$Q$5:$Q$64,1,Pipeline!$K$5:$K$64,"&gt;"&amp;obsd_xai,Pipeline!$K$5:$K$64,"&lt;="&amp;2026),"")))</f>
        <v>0.5698</v>
      </c>
      <c r="G176" s="24" t="n">
        <f aca="false">IF(G174&lt;&gt;"",G174,IF(G175&lt;&gt;"",G175,IF(INT(obsd_xai)=2026,obs_xai/1000+SUMIFS(Pipeline!$L$5:$L$64,Pipeline!$C$5:$C$64,"xai",Pipeline!$Q$5:$Q$64,1,Pipeline!$K$5:$K$64,"&gt;"&amp;obsd_xai,Pipeline!$K$5:$K$64,"&lt;="&amp;2027),"")))</f>
        <v>2</v>
      </c>
      <c r="H176" s="24" t="str">
        <f aca="false">IF(H174&lt;&gt;"",H174,IF(H175&lt;&gt;"",H175,IF(INT(obsd_xai)=2027,obs_xai/1000+SUMIFS(Pipeline!$L$5:$L$64,Pipeline!$C$5:$C$64,"xai",Pipeline!$Q$5:$Q$64,1,Pipeline!$K$5:$K$64,"&gt;"&amp;obsd_xai,Pipeline!$K$5:$K$64,"&lt;="&amp;2028),"")))</f>
        <v/>
      </c>
      <c r="I176" s="24" t="str">
        <f aca="false">IF(I174&lt;&gt;"",I174,IF(I175&lt;&gt;"",I175,IF(INT(obsd_xai)=2028,obs_xai/1000+SUMIFS(Pipeline!$L$5:$L$64,Pipeline!$C$5:$C$64,"xai",Pipeline!$Q$5:$Q$64,1,Pipeline!$K$5:$K$64,"&gt;"&amp;obsd_xai,Pipeline!$K$5:$K$64,"&lt;="&amp;2029),"")))</f>
        <v/>
      </c>
      <c r="J176" s="24" t="str">
        <f aca="false">IF(J174&lt;&gt;"",J174,IF(J175&lt;&gt;"",J175,IF(INT(obsd_xai)=2029,obs_xai/1000+SUMIFS(Pipeline!$L$5:$L$64,Pipeline!$C$5:$C$64,"xai",Pipeline!$Q$5:$Q$64,1,Pipeline!$K$5:$K$64,"&gt;"&amp;obsd_xai,Pipeline!$K$5:$K$64,"&lt;="&amp;2030),"")))</f>
        <v/>
      </c>
      <c r="K176" s="24" t="str">
        <f aca="false">IF(K174&lt;&gt;"",K174,IF(K175&lt;&gt;"",K175,IF(INT(obsd_xai)=2030,obs_xai/1000+SUMIFS(Pipeline!$L$5:$L$64,Pipeline!$C$5:$C$64,"xai",Pipeline!$Q$5:$Q$64,1,Pipeline!$K$5:$K$64,"&gt;"&amp;obsd_xai,Pipeline!$K$5:$K$64,"&lt;="&amp;2031),"")))</f>
        <v/>
      </c>
      <c r="L176" s="24" t="str">
        <f aca="false">IF(L174&lt;&gt;"",L174,IF(L175&lt;&gt;"",L175,IF(INT(obsd_xai)=2031,obs_xai/1000+SUMIFS(Pipeline!$L$5:$L$64,Pipeline!$C$5:$C$64,"xai",Pipeline!$Q$5:$Q$64,1,Pipeline!$K$5:$K$64,"&gt;"&amp;obsd_xai,Pipeline!$K$5:$K$64,"&lt;="&amp;2032),"")))</f>
        <v/>
      </c>
      <c r="M176" s="24" t="str">
        <f aca="false">IF(M174&lt;&gt;"",M174,IF(M175&lt;&gt;"",M175,IF(INT(obsd_xai)=2032,obs_xai/1000+SUMIFS(Pipeline!$L$5:$L$64,Pipeline!$C$5:$C$64,"xai",Pipeline!$Q$5:$Q$64,1,Pipeline!$K$5:$K$64,"&gt;"&amp;obsd_xai,Pipeline!$K$5:$K$64,"&lt;="&amp;2033),"")))</f>
        <v/>
      </c>
    </row>
    <row r="177" customFormat="false" ht="15" hidden="false" customHeight="false" outlineLevel="0" collapsed="false">
      <c r="A177" s="5" t="s">
        <v>972</v>
      </c>
      <c r="B177" s="0" t="s">
        <v>1139</v>
      </c>
      <c r="C177" s="0" t="s">
        <v>77</v>
      </c>
      <c r="D177" s="0" t="str">
        <f aca="false">IF(D176&lt;&gt;"",D176,"")</f>
        <v/>
      </c>
      <c r="E177" s="0" t="str">
        <f aca="false">IF(E176&lt;&gt;"",E176,D177)</f>
        <v/>
      </c>
      <c r="F177" s="24" t="n">
        <f aca="false">IF(F176&lt;&gt;"",F176,E177)</f>
        <v>0.5698</v>
      </c>
      <c r="G177" s="24" t="n">
        <f aca="false">IF(G176&lt;&gt;"",G176,F177)</f>
        <v>2</v>
      </c>
      <c r="H177" s="24" t="n">
        <f aca="false">IF(H176&lt;&gt;"",H176,G177)</f>
        <v>2</v>
      </c>
      <c r="I177" s="24" t="n">
        <f aca="false">IF(I176&lt;&gt;"",I176,H177)</f>
        <v>2</v>
      </c>
      <c r="J177" s="24" t="n">
        <f aca="false">IF(J176&lt;&gt;"",J176,I177)</f>
        <v>2</v>
      </c>
      <c r="K177" s="24" t="n">
        <f aca="false">IF(K176&lt;&gt;"",K176,J177)</f>
        <v>2</v>
      </c>
      <c r="L177" s="24" t="n">
        <f aca="false">IF(L176&lt;&gt;"",L176,K177)</f>
        <v>2</v>
      </c>
      <c r="M177" s="24" t="n">
        <f aca="false">IF(M176&lt;&gt;"",M176,L177)</f>
        <v>2</v>
      </c>
    </row>
    <row r="178" customFormat="false" ht="15" hidden="false" customHeight="false" outlineLevel="0" collapsed="false">
      <c r="A178" s="5" t="s">
        <v>974</v>
      </c>
      <c r="B178" s="0" t="s">
        <v>1140</v>
      </c>
      <c r="C178" s="5" t="s">
        <v>47</v>
      </c>
      <c r="D178" s="0" t="str">
        <f aca="false">IF(D176&lt;&gt;"",2023,"")</f>
        <v/>
      </c>
      <c r="E178" s="0" t="str">
        <f aca="false">IF(E176&lt;&gt;"",2024,D178)</f>
        <v/>
      </c>
      <c r="F178" s="0" t="n">
        <f aca="false">IF(F176&lt;&gt;"",2025,E178)</f>
        <v>2025</v>
      </c>
      <c r="G178" s="0" t="n">
        <f aca="false">IF(G176&lt;&gt;"",2026,F178)</f>
        <v>2026</v>
      </c>
      <c r="H178" s="0" t="n">
        <f aca="false">IF(H176&lt;&gt;"",2027,G178)</f>
        <v>2026</v>
      </c>
      <c r="I178" s="0" t="n">
        <f aca="false">IF(I176&lt;&gt;"",2028,H178)</f>
        <v>2026</v>
      </c>
      <c r="J178" s="0" t="n">
        <f aca="false">IF(J176&lt;&gt;"",2029,I178)</f>
        <v>2026</v>
      </c>
      <c r="K178" s="0" t="n">
        <f aca="false">IF(K176&lt;&gt;"",2030,J178)</f>
        <v>2026</v>
      </c>
      <c r="L178" s="0" t="n">
        <f aca="false">IF(L176&lt;&gt;"",2031,K178)</f>
        <v>2026</v>
      </c>
      <c r="M178" s="0" t="n">
        <f aca="false">IF(M176&lt;&gt;"",2032,L178)</f>
        <v>2026</v>
      </c>
    </row>
    <row r="179" customFormat="false" ht="15" hidden="false" customHeight="false" outlineLevel="0" collapsed="false">
      <c r="A179" s="5" t="s">
        <v>976</v>
      </c>
      <c r="B179" s="0" t="s">
        <v>1141</v>
      </c>
      <c r="C179" s="0" t="s">
        <v>77</v>
      </c>
      <c r="D179" s="24" t="n">
        <f aca="false">IF(D176&lt;&gt;"",D176,E179)</f>
        <v>0.5698</v>
      </c>
      <c r="E179" s="24" t="n">
        <f aca="false">IF(E176&lt;&gt;"",E176,F179)</f>
        <v>0.5698</v>
      </c>
      <c r="F179" s="24" t="n">
        <f aca="false">IF(F176&lt;&gt;"",F176,G179)</f>
        <v>0.5698</v>
      </c>
      <c r="G179" s="24" t="n">
        <f aca="false">IF(G176&lt;&gt;"",G176,H179)</f>
        <v>2</v>
      </c>
      <c r="H179" s="0" t="str">
        <f aca="false">IF(H176&lt;&gt;"",H176,I179)</f>
        <v/>
      </c>
      <c r="I179" s="0" t="str">
        <f aca="false">IF(I176&lt;&gt;"",I176,J179)</f>
        <v/>
      </c>
      <c r="J179" s="0" t="str">
        <f aca="false">IF(J176&lt;&gt;"",J176,K179)</f>
        <v/>
      </c>
      <c r="K179" s="0" t="str">
        <f aca="false">IF(K176&lt;&gt;"",K176,L179)</f>
        <v/>
      </c>
      <c r="L179" s="0" t="str">
        <f aca="false">IF(L176&lt;&gt;"",L176,M179)</f>
        <v/>
      </c>
      <c r="M179" s="0" t="str">
        <f aca="false">IF(M176&lt;&gt;"",M176,"")</f>
        <v/>
      </c>
    </row>
    <row r="180" customFormat="false" ht="15" hidden="false" customHeight="false" outlineLevel="0" collapsed="false">
      <c r="A180" s="5" t="s">
        <v>978</v>
      </c>
      <c r="B180" s="0" t="s">
        <v>1142</v>
      </c>
      <c r="C180" s="5" t="s">
        <v>47</v>
      </c>
      <c r="D180" s="0" t="n">
        <f aca="false">IF(D176&lt;&gt;"",2023,E180)</f>
        <v>2025</v>
      </c>
      <c r="E180" s="0" t="n">
        <f aca="false">IF(E176&lt;&gt;"",2024,F180)</f>
        <v>2025</v>
      </c>
      <c r="F180" s="0" t="n">
        <f aca="false">IF(F176&lt;&gt;"",2025,G180)</f>
        <v>2025</v>
      </c>
      <c r="G180" s="0" t="n">
        <f aca="false">IF(G176&lt;&gt;"",2026,H180)</f>
        <v>2026</v>
      </c>
      <c r="H180" s="0" t="str">
        <f aca="false">IF(H176&lt;&gt;"",2027,I180)</f>
        <v/>
      </c>
      <c r="I180" s="0" t="str">
        <f aca="false">IF(I176&lt;&gt;"",2028,J180)</f>
        <v/>
      </c>
      <c r="J180" s="0" t="str">
        <f aca="false">IF(J176&lt;&gt;"",2029,K180)</f>
        <v/>
      </c>
      <c r="K180" s="0" t="str">
        <f aca="false">IF(K176&lt;&gt;"",2030,L180)</f>
        <v/>
      </c>
      <c r="L180" s="0" t="str">
        <f aca="false">IF(L176&lt;&gt;"",2031,M180)</f>
        <v/>
      </c>
      <c r="M180" s="0" t="str">
        <f aca="false">IF(M176&lt;&gt;"",2032,"")</f>
        <v/>
      </c>
    </row>
    <row r="181" customFormat="false" ht="17.15" hidden="false" customHeight="false" outlineLevel="0" collapsed="false">
      <c r="A181" s="5" t="s">
        <v>980</v>
      </c>
      <c r="B181" s="0" t="s">
        <v>1143</v>
      </c>
      <c r="C181" s="0" t="s">
        <v>77</v>
      </c>
      <c r="D181" s="24" t="n">
        <f aca="false">SUMIFS(Pipeline!$L$5:$L$64,Pipeline!$C$5:$C$64,"xai",Pipeline!$Q$5:$Q$64,1,Pipeline!$P$5:$P$64,2023)</f>
        <v>0</v>
      </c>
      <c r="E181" s="24" t="n">
        <f aca="false">SUMIFS(Pipeline!$L$5:$L$64,Pipeline!$C$5:$C$64,"xai",Pipeline!$Q$5:$Q$64,1,Pipeline!$P$5:$P$64,2024)</f>
        <v>0</v>
      </c>
      <c r="F181" s="24" t="n">
        <f aca="false">SUMIFS(Pipeline!$L$5:$L$64,Pipeline!$C$5:$C$64,"xai",Pipeline!$Q$5:$Q$64,1,Pipeline!$P$5:$P$64,2025)</f>
        <v>0</v>
      </c>
      <c r="G181" s="24" t="n">
        <f aca="false">SUMIFS(Pipeline!$L$5:$L$64,Pipeline!$C$5:$C$64,"xai",Pipeline!$Q$5:$Q$64,1,Pipeline!$P$5:$P$64,2026)</f>
        <v>0</v>
      </c>
      <c r="H181" s="24" t="n">
        <f aca="false">SUMIFS(Pipeline!$L$5:$L$64,Pipeline!$C$5:$C$64,"xai",Pipeline!$Q$5:$Q$64,1,Pipeline!$P$5:$P$64,2027)</f>
        <v>0.585</v>
      </c>
      <c r="I181" s="24" t="n">
        <f aca="false">SUMIFS(Pipeline!$L$5:$L$64,Pipeline!$C$5:$C$64,"xai",Pipeline!$Q$5:$Q$64,1,Pipeline!$P$5:$P$64,2028)</f>
        <v>0</v>
      </c>
      <c r="J181" s="24" t="n">
        <f aca="false">SUMIFS(Pipeline!$L$5:$L$64,Pipeline!$C$5:$C$64,"xai",Pipeline!$Q$5:$Q$64,1,Pipeline!$P$5:$P$64,2029)</f>
        <v>0</v>
      </c>
      <c r="K181" s="24" t="n">
        <f aca="false">SUMIFS(Pipeline!$L$5:$L$64,Pipeline!$C$5:$C$64,"xai",Pipeline!$Q$5:$Q$64,1,Pipeline!$P$5:$P$64,2030)</f>
        <v>0</v>
      </c>
      <c r="L181" s="24" t="n">
        <f aca="false">SUMIFS(Pipeline!$L$5:$L$64,Pipeline!$C$5:$C$64,"xai",Pipeline!$Q$5:$Q$64,1,Pipeline!$P$5:$P$64,2031)</f>
        <v>0</v>
      </c>
      <c r="M181" s="24" t="n">
        <f aca="false">SUMIFS(Pipeline!$L$5:$L$64,Pipeline!$C$5:$C$64,"xai",Pipeline!$Q$5:$Q$64,1,Pipeline!$P$5:$P$64,2032)</f>
        <v>0</v>
      </c>
    </row>
    <row r="182" customFormat="false" ht="17.15" hidden="false" customHeight="false" outlineLevel="0" collapsed="false">
      <c r="A182" s="5" t="s">
        <v>982</v>
      </c>
      <c r="B182" s="0" t="s">
        <v>1144</v>
      </c>
      <c r="C182" s="0" t="s">
        <v>77</v>
      </c>
      <c r="D182" s="25" t="str">
        <f aca="false">IF(D176&lt;&gt;"",D176,IF(AND(D177&lt;&gt;"",D179&lt;&gt;""),D177+(D179-D177)*(2023-D178)/(D180-D178),""))</f>
        <v/>
      </c>
      <c r="E182" s="25" t="str">
        <f aca="false">IF(E176&lt;&gt;"",E176,IF(AND(E177&lt;&gt;"",E179&lt;&gt;""),E177+(E179-E177)*(2024-E178)/(E180-E178),IF(D182&lt;&gt;"",D182+E181,"")))</f>
        <v/>
      </c>
      <c r="F182" s="25" t="n">
        <f aca="false">IF(F176&lt;&gt;"",F176,IF(AND(F177&lt;&gt;"",F179&lt;&gt;""),F177+(F179-F177)*(2025-F178)/(F180-F178),IF(E182&lt;&gt;"",E182+F181,"")))</f>
        <v>0.5698</v>
      </c>
      <c r="G182" s="25" t="n">
        <f aca="false">IF(G176&lt;&gt;"",G176,IF(AND(G177&lt;&gt;"",G179&lt;&gt;""),G177+(G179-G177)*(2026-G178)/(G180-G178),IF(F182&lt;&gt;"",F182+G181,"")))</f>
        <v>2</v>
      </c>
      <c r="H182" s="25" t="n">
        <f aca="false">IF(H176&lt;&gt;"",H176,IF(AND(H177&lt;&gt;"",H179&lt;&gt;""),H177+(H179-H177)*(2027-H178)/(H180-H178),IF(G182&lt;&gt;"",G182+H181,"")))</f>
        <v>2.585</v>
      </c>
      <c r="I182" s="25" t="n">
        <f aca="false">IF(I176&lt;&gt;"",I176,IF(AND(I177&lt;&gt;"",I179&lt;&gt;""),I177+(I179-I177)*(2028-I178)/(I180-I178),IF(H182&lt;&gt;"",H182+I181,"")))</f>
        <v>2.585</v>
      </c>
      <c r="J182" s="25" t="n">
        <f aca="false">IF(J176&lt;&gt;"",J176,IF(AND(J177&lt;&gt;"",J179&lt;&gt;""),J177+(J179-J177)*(2029-J178)/(J180-J178),IF(I182&lt;&gt;"",I182+J181,"")))</f>
        <v>2.585</v>
      </c>
      <c r="K182" s="25" t="n">
        <f aca="false">IF(K176&lt;&gt;"",K176,IF(AND(K177&lt;&gt;"",K179&lt;&gt;""),K177+(K179-K177)*(2030-K178)/(K180-K178),IF(J182&lt;&gt;"",J182+K181,"")))</f>
        <v>2.585</v>
      </c>
      <c r="L182" s="25" t="n">
        <f aca="false">IF(L176&lt;&gt;"",L176,IF(AND(L177&lt;&gt;"",L179&lt;&gt;""),L177+(L179-L177)*(2031-L178)/(L180-L178),IF(K182&lt;&gt;"",K182+L181,"")))</f>
        <v>2.585</v>
      </c>
      <c r="M182" s="25" t="n">
        <f aca="false">IF(M176&lt;&gt;"",M176,IF(AND(M177&lt;&gt;"",M179&lt;&gt;""),M177+(M179-M177)*(2032-M178)/(M180-M178),IF(L182&lt;&gt;"",L182+M181,"")))</f>
        <v>2.585</v>
      </c>
    </row>
    <row r="183" customFormat="false" ht="15" hidden="false" customHeight="false" outlineLevel="0" collapsed="false">
      <c r="A183" s="5" t="s">
        <v>984</v>
      </c>
      <c r="B183" s="0" t="s">
        <v>1145</v>
      </c>
      <c r="C183" s="0" t="s">
        <v>35</v>
      </c>
      <c r="D183" s="0" t="n">
        <f aca="false">IF(D174&lt;&gt;"",1,IF(D175&lt;&gt;"",5,IF(D176&lt;&gt;"",2,IF(AND(D177&lt;&gt;"",D179&lt;&gt;""),3,IF(D182&lt;&gt;"",4,0)))))</f>
        <v>0</v>
      </c>
      <c r="E183" s="0" t="n">
        <f aca="false">IF(E174&lt;&gt;"",1,IF(E175&lt;&gt;"",5,IF(E176&lt;&gt;"",2,IF(AND(E177&lt;&gt;"",E179&lt;&gt;""),3,IF(E182&lt;&gt;"",4,0)))))</f>
        <v>0</v>
      </c>
      <c r="F183" s="0" t="n">
        <f aca="false">IF(F174&lt;&gt;"",1,IF(F175&lt;&gt;"",5,IF(F176&lt;&gt;"",2,IF(AND(F177&lt;&gt;"",F179&lt;&gt;""),3,IF(F182&lt;&gt;"",4,0)))))</f>
        <v>5</v>
      </c>
      <c r="G183" s="0" t="n">
        <f aca="false">IF(G174&lt;&gt;"",1,IF(G175&lt;&gt;"",5,IF(G176&lt;&gt;"",2,IF(AND(G177&lt;&gt;"",G179&lt;&gt;""),3,IF(G182&lt;&gt;"",4,0)))))</f>
        <v>1</v>
      </c>
      <c r="H183" s="0" t="n">
        <f aca="false">IF(H174&lt;&gt;"",1,IF(H175&lt;&gt;"",5,IF(H176&lt;&gt;"",2,IF(AND(H177&lt;&gt;"",H179&lt;&gt;""),3,IF(H182&lt;&gt;"",4,0)))))</f>
        <v>4</v>
      </c>
      <c r="I183" s="0" t="n">
        <f aca="false">IF(I174&lt;&gt;"",1,IF(I175&lt;&gt;"",5,IF(I176&lt;&gt;"",2,IF(AND(I177&lt;&gt;"",I179&lt;&gt;""),3,IF(I182&lt;&gt;"",4,0)))))</f>
        <v>4</v>
      </c>
      <c r="J183" s="0" t="n">
        <f aca="false">IF(J174&lt;&gt;"",1,IF(J175&lt;&gt;"",5,IF(J176&lt;&gt;"",2,IF(AND(J177&lt;&gt;"",J179&lt;&gt;""),3,IF(J182&lt;&gt;"",4,0)))))</f>
        <v>4</v>
      </c>
      <c r="K183" s="0" t="n">
        <f aca="false">IF(K174&lt;&gt;"",1,IF(K175&lt;&gt;"",5,IF(K176&lt;&gt;"",2,IF(AND(K177&lt;&gt;"",K179&lt;&gt;""),3,IF(K182&lt;&gt;"",4,0)))))</f>
        <v>4</v>
      </c>
      <c r="L183" s="0" t="n">
        <f aca="false">IF(L174&lt;&gt;"",1,IF(L175&lt;&gt;"",5,IF(L176&lt;&gt;"",2,IF(AND(L177&lt;&gt;"",L179&lt;&gt;""),3,IF(L182&lt;&gt;"",4,0)))))</f>
        <v>4</v>
      </c>
      <c r="M183" s="0" t="n">
        <f aca="false">IF(M174&lt;&gt;"",1,IF(M175&lt;&gt;"",5,IF(M176&lt;&gt;"",2,IF(AND(M177&lt;&gt;"",M179&lt;&gt;""),3,IF(M182&lt;&gt;"",4,0)))))</f>
        <v>4</v>
      </c>
    </row>
    <row r="184" customFormat="false" ht="17.15" hidden="false" customHeight="false" outlineLevel="0" collapsed="false">
      <c r="A184" s="5" t="s">
        <v>986</v>
      </c>
      <c r="B184" s="0" t="s">
        <v>1146</v>
      </c>
      <c r="C184" s="0" t="s">
        <v>77</v>
      </c>
      <c r="D184" s="24" t="str">
        <f aca="false">IF(D182="","",IF(AND(D183=5,In!$H$106&lt;&gt;""),In!$H$106*Players!$E$19/1000,D182))</f>
        <v/>
      </c>
      <c r="E184" s="24" t="str">
        <f aca="false">IF(E182="","",IF(AND(E183=5,In!$I$106&lt;&gt;""),In!$I$106*Players!$E$19/1000,E182))</f>
        <v/>
      </c>
      <c r="F184" s="24" t="n">
        <f aca="false">IF(F182="","",IF(AND(F183=5,In!$J$106&lt;&gt;""),In!$J$106*Players!$E$19/1000,F182))</f>
        <v>0.5082</v>
      </c>
      <c r="G184" s="24" t="n">
        <f aca="false">IF(G182="","",IF(AND(G183=5,In!$K$106&lt;&gt;""),In!$K$106*Players!$E$19/1000,G182))</f>
        <v>2</v>
      </c>
      <c r="H184" s="24" t="n">
        <f aca="false">IF(H182="","",IF(AND(H183=5,In!$L$106&lt;&gt;""),In!$L$106*Players!$E$19/1000,H182))</f>
        <v>2.585</v>
      </c>
      <c r="I184" s="24" t="n">
        <f aca="false">IF(I182="","",IF(AND(I183=5,In!$M$106&lt;&gt;""),In!$M$106*Players!$E$19/1000,I182))</f>
        <v>2.585</v>
      </c>
      <c r="J184" s="24" t="n">
        <f aca="false">IF(J182="","",IF(AND(J183=5,In!$N$106&lt;&gt;""),In!$N$106*Players!$E$19/1000,J182))</f>
        <v>2.585</v>
      </c>
      <c r="K184" s="24" t="n">
        <f aca="false">IF(K182="","",IF(AND(K183=5,In!$O$106&lt;&gt;""),In!$O$106*Players!$E$19/1000,K182))</f>
        <v>2.585</v>
      </c>
      <c r="L184" s="24" t="n">
        <f aca="false">IF(L182="","",IF(AND(L183=5,In!$P$106&lt;&gt;""),In!$P$106*Players!$E$19/1000,L182))</f>
        <v>2.585</v>
      </c>
      <c r="M184" s="24" t="n">
        <f aca="false">IF(M182="","",IF(AND(M183=5,In!$Q$106&lt;&gt;""),In!$Q$106*Players!$E$19/1000,M182))</f>
        <v>2.585</v>
      </c>
    </row>
    <row r="185" customFormat="false" ht="17.15" hidden="false" customHeight="false" outlineLevel="0" collapsed="false">
      <c r="A185" s="5" t="s">
        <v>988</v>
      </c>
      <c r="B185" s="0" t="s">
        <v>1147</v>
      </c>
      <c r="C185" s="0" t="s">
        <v>77</v>
      </c>
      <c r="D185" s="24" t="str">
        <f aca="false">IF(D182="","",IF(AND(D183=5,In!$H$106&lt;&gt;""),In!$H$106*Players!$F$19/1000,D182))</f>
        <v/>
      </c>
      <c r="E185" s="24" t="str">
        <f aca="false">IF(E182="","",IF(AND(E183=5,In!$I$106&lt;&gt;""),In!$I$106*Players!$F$19/1000,E182))</f>
        <v/>
      </c>
      <c r="F185" s="24" t="n">
        <f aca="false">IF(F182="","",IF(AND(F183=5,In!$J$106&lt;&gt;""),In!$J$106*Players!$F$19/1000,F182))</f>
        <v>0.64064</v>
      </c>
      <c r="G185" s="24" t="n">
        <f aca="false">IF(G182="","",IF(AND(G183=5,In!$K$106&lt;&gt;""),In!$K$106*Players!$F$19/1000,G182))</f>
        <v>2</v>
      </c>
      <c r="H185" s="24" t="n">
        <f aca="false">IF(H182="","",IF(AND(H183=5,In!$L$106&lt;&gt;""),In!$L$106*Players!$F$19/1000,H182))</f>
        <v>2.585</v>
      </c>
      <c r="I185" s="24" t="n">
        <f aca="false">IF(I182="","",IF(AND(I183=5,In!$M$106&lt;&gt;""),In!$M$106*Players!$F$19/1000,I182))</f>
        <v>2.585</v>
      </c>
      <c r="J185" s="24" t="n">
        <f aca="false">IF(J182="","",IF(AND(J183=5,In!$N$106&lt;&gt;""),In!$N$106*Players!$F$19/1000,J182))</f>
        <v>2.585</v>
      </c>
      <c r="K185" s="24" t="n">
        <f aca="false">IF(K182="","",IF(AND(K183=5,In!$O$106&lt;&gt;""),In!$O$106*Players!$F$19/1000,K182))</f>
        <v>2.585</v>
      </c>
      <c r="L185" s="24" t="n">
        <f aca="false">IF(L182="","",IF(AND(L183=5,In!$P$106&lt;&gt;""),In!$P$106*Players!$F$19/1000,L182))</f>
        <v>2.585</v>
      </c>
      <c r="M185" s="24" t="n">
        <f aca="false">IF(M182="","",IF(AND(M183=5,In!$Q$106&lt;&gt;""),In!$Q$106*Players!$F$19/1000,M182))</f>
        <v>2.585</v>
      </c>
    </row>
    <row r="186" customFormat="false" ht="17.15" hidden="false" customHeight="false" outlineLevel="0" collapsed="false">
      <c r="A186" s="5" t="s">
        <v>990</v>
      </c>
      <c r="B186" s="0" t="s">
        <v>1148</v>
      </c>
      <c r="C186" s="0" t="s">
        <v>77</v>
      </c>
      <c r="D186" s="24" t="str">
        <f aca="false">IF(D182="","",IF(In!$C$116="未說明",D182/D$13,D182))</f>
        <v/>
      </c>
      <c r="E186" s="24" t="str">
        <f aca="false">IF(E182="","",IF(In!$C$116="未說明",E182/E$13,E182))</f>
        <v/>
      </c>
      <c r="F186" s="24" t="n">
        <f aca="false">IF(F182="","",IF(In!$C$116="未說明",F182/F$13,F182))</f>
        <v>0.474833333333333</v>
      </c>
      <c r="G186" s="24" t="n">
        <f aca="false">IF(G182="","",IF(In!$C$116="未說明",G182/G$13,G182))</f>
        <v>1.66666666666667</v>
      </c>
      <c r="H186" s="24" t="n">
        <f aca="false">IF(H182="","",IF(In!$C$116="未說明",H182/H$13,H182))</f>
        <v>2.15416666666667</v>
      </c>
      <c r="I186" s="24" t="n">
        <f aca="false">IF(I182="","",IF(In!$C$116="未說明",I182/I$13,I182))</f>
        <v>2.15416666666667</v>
      </c>
      <c r="J186" s="24" t="n">
        <f aca="false">IF(J182="","",IF(In!$C$116="未說明",J182/J$13,J182))</f>
        <v>2.15416666666667</v>
      </c>
      <c r="K186" s="24" t="n">
        <f aca="false">IF(K182="","",IF(In!$C$116="未說明",K182/K$13,K182))</f>
        <v>2.15416666666667</v>
      </c>
      <c r="L186" s="24" t="n">
        <f aca="false">IF(L182="","",IF(In!$C$116="未說明",L182/L$13,L182))</f>
        <v>2.15416666666667</v>
      </c>
      <c r="M186" s="24" t="n">
        <f aca="false">IF(M182="","",IF(In!$C$116="未說明",M182/M$13,M182))</f>
        <v>2.15416666666667</v>
      </c>
    </row>
    <row r="187" customFormat="false" ht="17.15" hidden="false" customHeight="false" outlineLevel="0" collapsed="false">
      <c r="A187" s="5" t="s">
        <v>992</v>
      </c>
      <c r="B187" s="0" t="s">
        <v>1149</v>
      </c>
      <c r="C187" s="0" t="s">
        <v>77</v>
      </c>
      <c r="D187" s="0" t="str">
        <f aca="false">""</f>
        <v/>
      </c>
      <c r="E187" s="24" t="str">
        <f aca="false">IF(AND(D182&lt;&gt;"",E182&lt;&gt;""),(D182+E182)/2,"")</f>
        <v/>
      </c>
      <c r="F187" s="24" t="str">
        <f aca="false">IF(AND(E182&lt;&gt;"",F182&lt;&gt;""),(E182+F182)/2,"")</f>
        <v/>
      </c>
      <c r="G187" s="24" t="n">
        <f aca="false">IF(AND(F182&lt;&gt;"",G182&lt;&gt;""),(F182+G182)/2,"")</f>
        <v>1.2849</v>
      </c>
      <c r="H187" s="24" t="n">
        <f aca="false">IF(AND(G182&lt;&gt;"",H182&lt;&gt;""),(G182+H182)/2,"")</f>
        <v>2.2925</v>
      </c>
      <c r="I187" s="24" t="n">
        <f aca="false">IF(AND(H182&lt;&gt;"",I182&lt;&gt;""),(H182+I182)/2,"")</f>
        <v>2.585</v>
      </c>
      <c r="J187" s="24" t="n">
        <f aca="false">IF(AND(I182&lt;&gt;"",J182&lt;&gt;""),(I182+J182)/2,"")</f>
        <v>2.585</v>
      </c>
      <c r="K187" s="24" t="n">
        <f aca="false">IF(AND(J182&lt;&gt;"",K182&lt;&gt;""),(J182+K182)/2,"")</f>
        <v>2.585</v>
      </c>
      <c r="L187" s="24" t="n">
        <f aca="false">IF(AND(K182&lt;&gt;"",L182&lt;&gt;""),(K182+L182)/2,"")</f>
        <v>2.585</v>
      </c>
      <c r="M187" s="24" t="n">
        <f aca="false">IF(AND(L182&lt;&gt;"",M182&lt;&gt;""),(L182+M182)/2,"")</f>
        <v>2.585</v>
      </c>
    </row>
    <row r="188" customFormat="false" ht="17.15" hidden="false" customHeight="false" outlineLevel="0" collapsed="false">
      <c r="A188" s="5" t="s">
        <v>994</v>
      </c>
      <c r="B188" s="0" t="s">
        <v>1150</v>
      </c>
      <c r="C188" s="0" t="s">
        <v>77</v>
      </c>
      <c r="D188" s="0" t="n">
        <v>0</v>
      </c>
      <c r="E188" s="24" t="n">
        <f aca="false">IF(AND(D182&lt;&gt;"",E182&lt;&gt;""),E182-D182,0)</f>
        <v>0</v>
      </c>
      <c r="F188" s="24" t="n">
        <f aca="false">IF(AND(E182&lt;&gt;"",F182&lt;&gt;""),F182-E182,0)</f>
        <v>0</v>
      </c>
      <c r="G188" s="24" t="n">
        <f aca="false">IF(AND(F182&lt;&gt;"",G182&lt;&gt;""),G182-F182,0)</f>
        <v>1.4302</v>
      </c>
      <c r="H188" s="24" t="n">
        <f aca="false">IF(AND(G182&lt;&gt;"",H182&lt;&gt;""),H182-G182,0)</f>
        <v>0.585</v>
      </c>
      <c r="I188" s="24" t="n">
        <f aca="false">IF(AND(H182&lt;&gt;"",I182&lt;&gt;""),I182-H182,0)</f>
        <v>0</v>
      </c>
      <c r="J188" s="24" t="n">
        <f aca="false">IF(AND(I182&lt;&gt;"",J182&lt;&gt;""),J182-I182,0)</f>
        <v>0</v>
      </c>
      <c r="K188" s="24" t="n">
        <f aca="false">IF(AND(J182&lt;&gt;"",K182&lt;&gt;""),K182-J182,0)</f>
        <v>0</v>
      </c>
      <c r="L188" s="24" t="n">
        <f aca="false">IF(AND(K182&lt;&gt;"",L182&lt;&gt;""),L182-K182,0)</f>
        <v>0</v>
      </c>
      <c r="M188" s="24" t="n">
        <f aca="false">IF(AND(L182&lt;&gt;"",M182&lt;&gt;""),M182-L182,0)</f>
        <v>0</v>
      </c>
    </row>
    <row r="189" customFormat="false" ht="17.15" hidden="false" customHeight="false" outlineLevel="0" collapsed="false">
      <c r="A189" s="5" t="s">
        <v>996</v>
      </c>
      <c r="B189" s="0" t="s">
        <v>1151</v>
      </c>
      <c r="C189" s="0" t="s">
        <v>77</v>
      </c>
      <c r="D189" s="24" t="n">
        <f aca="false">IF(D182&lt;&gt;"",D182,0)</f>
        <v>0</v>
      </c>
      <c r="E189" s="24" t="n">
        <f aca="false">IF(AND(D182="",E182&lt;&gt;""),E182,0)</f>
        <v>0</v>
      </c>
      <c r="F189" s="24" t="n">
        <f aca="false">IF(AND(E182="",F182&lt;&gt;""),F182,0)</f>
        <v>0.5698</v>
      </c>
      <c r="G189" s="24" t="n">
        <f aca="false">IF(AND(F182="",G182&lt;&gt;""),G182,0)</f>
        <v>0</v>
      </c>
      <c r="H189" s="24" t="n">
        <f aca="false">IF(AND(G182="",H182&lt;&gt;""),H182,0)</f>
        <v>0</v>
      </c>
      <c r="I189" s="24" t="n">
        <f aca="false">IF(AND(H182="",I182&lt;&gt;""),I182,0)</f>
        <v>0</v>
      </c>
      <c r="J189" s="24" t="n">
        <f aca="false">IF(AND(I182="",J182&lt;&gt;""),J182,0)</f>
        <v>0</v>
      </c>
      <c r="K189" s="24" t="n">
        <f aca="false">IF(AND(J182="",K182&lt;&gt;""),K182,0)</f>
        <v>0</v>
      </c>
      <c r="L189" s="24" t="n">
        <f aca="false">IF(AND(K182="",L182&lt;&gt;""),L182,0)</f>
        <v>0</v>
      </c>
      <c r="M189" s="24" t="n">
        <f aca="false">IF(AND(L182="",M182&lt;&gt;""),M182,0)</f>
        <v>0</v>
      </c>
    </row>
    <row r="190" customFormat="false" ht="17.15" hidden="false" customHeight="false" outlineLevel="0" collapsed="false">
      <c r="A190" s="5" t="s">
        <v>998</v>
      </c>
      <c r="B190" s="0" t="s">
        <v>1152</v>
      </c>
      <c r="C190" s="0" t="s">
        <v>52</v>
      </c>
      <c r="D190" s="23" t="n">
        <f aca="false">nnv_xai</f>
        <v>0</v>
      </c>
      <c r="E190" s="23" t="n">
        <f aca="false">nnv_xai</f>
        <v>0</v>
      </c>
      <c r="F190" s="23" t="n">
        <f aca="false">nnv_xai</f>
        <v>0</v>
      </c>
      <c r="G190" s="23" t="n">
        <f aca="false">nnv_xai</f>
        <v>0</v>
      </c>
      <c r="H190" s="23" t="n">
        <f aca="false">nnv_xai</f>
        <v>0</v>
      </c>
      <c r="I190" s="23" t="n">
        <f aca="false">nnv_xai</f>
        <v>0</v>
      </c>
      <c r="J190" s="23" t="n">
        <f aca="false">nnv_xai</f>
        <v>0</v>
      </c>
      <c r="K190" s="23" t="n">
        <f aca="false">nnv_xai</f>
        <v>0</v>
      </c>
      <c r="L190" s="23" t="n">
        <f aca="false">nnv_xai</f>
        <v>0</v>
      </c>
      <c r="M190" s="23" t="n">
        <f aca="false">nnv_xai</f>
        <v>0</v>
      </c>
    </row>
    <row r="192" customFormat="false" ht="17.15" hidden="false" customHeight="false" outlineLevel="0" collapsed="false">
      <c r="A192" s="8" t="s">
        <v>1153</v>
      </c>
      <c r="B192" s="20" t="s">
        <v>531</v>
      </c>
      <c r="N192" s="20" t="s">
        <v>1154</v>
      </c>
    </row>
    <row r="193" customFormat="false" ht="17.15" hidden="false" customHeight="false" outlineLevel="0" collapsed="false">
      <c r="A193" s="5" t="s">
        <v>966</v>
      </c>
      <c r="B193" s="0" t="s">
        <v>1155</v>
      </c>
      <c r="C193" s="0" t="s">
        <v>77</v>
      </c>
      <c r="D193" s="24" t="str">
        <f aca="false">IF(In!$H$117="","",IF(In!$C$117="設施",In!$H$117/1000/D$13,In!$H$117/1000))</f>
        <v/>
      </c>
      <c r="E193" s="24" t="str">
        <f aca="false">IF(In!$I$117="","",IF(In!$C$117="設施",In!$I$117/1000/E$13,In!$I$117/1000))</f>
        <v/>
      </c>
      <c r="F193" s="24" t="n">
        <f aca="false">IF(In!$J$117="","",IF(In!$C$117="設施",In!$J$117/1000/F$13,In!$J$117/1000))</f>
        <v>0</v>
      </c>
      <c r="G193" s="24" t="str">
        <f aca="false">IF(In!$K$117="","",IF(In!$C$117="設施",In!$K$117/1000/G$13,In!$K$117/1000))</f>
        <v/>
      </c>
      <c r="H193" s="24" t="str">
        <f aca="false">IF(In!$L$117="","",IF(In!$C$117="設施",In!$L$117/1000/H$13,In!$L$117/1000))</f>
        <v/>
      </c>
      <c r="I193" s="24" t="str">
        <f aca="false">IF(In!$M$117="","",IF(In!$C$117="設施",In!$M$117/1000/I$13,In!$M$117/1000))</f>
        <v/>
      </c>
      <c r="J193" s="24" t="str">
        <f aca="false">IF(In!$N$117="","",IF(In!$C$117="設施",In!$N$117/1000/J$13,In!$N$117/1000))</f>
        <v/>
      </c>
      <c r="K193" s="24" t="str">
        <f aca="false">IF(In!$O$117="","",IF(In!$C$117="設施",In!$O$117/1000/K$13,In!$O$117/1000))</f>
        <v/>
      </c>
      <c r="L193" s="24" t="str">
        <f aca="false">IF(In!$P$117="","",IF(In!$C$117="設施",In!$P$117/1000/L$13,In!$P$117/1000))</f>
        <v/>
      </c>
      <c r="M193" s="24" t="str">
        <f aca="false">IF(In!$Q$117="","",IF(In!$C$117="設施",In!$Q$117/1000/M$13,In!$Q$117/1000))</f>
        <v/>
      </c>
    </row>
    <row r="194" customFormat="false" ht="17.15" hidden="false" customHeight="false" outlineLevel="0" collapsed="false">
      <c r="A194" s="5" t="s">
        <v>968</v>
      </c>
      <c r="B194" s="0" t="s">
        <v>1156</v>
      </c>
      <c r="C194" s="0" t="s">
        <v>77</v>
      </c>
      <c r="D194" s="0" t="str">
        <f aca="false">""</f>
        <v/>
      </c>
      <c r="E194" s="0" t="str">
        <f aca="false">""</f>
        <v/>
      </c>
      <c r="F194" s="0" t="str">
        <f aca="false">""</f>
        <v/>
      </c>
      <c r="G194" s="0" t="str">
        <f aca="false">""</f>
        <v/>
      </c>
      <c r="H194" s="0" t="str">
        <f aca="false">""</f>
        <v/>
      </c>
      <c r="I194" s="0" t="str">
        <f aca="false">""</f>
        <v/>
      </c>
      <c r="J194" s="0" t="str">
        <f aca="false">""</f>
        <v/>
      </c>
      <c r="K194" s="0" t="str">
        <f aca="false">""</f>
        <v/>
      </c>
      <c r="L194" s="0" t="str">
        <f aca="false">""</f>
        <v/>
      </c>
      <c r="M194" s="0" t="str">
        <f aca="false">""</f>
        <v/>
      </c>
    </row>
    <row r="195" customFormat="false" ht="15" hidden="false" customHeight="false" outlineLevel="0" collapsed="false">
      <c r="A195" s="5" t="s">
        <v>970</v>
      </c>
      <c r="B195" s="0" t="s">
        <v>1157</v>
      </c>
      <c r="C195" s="0" t="s">
        <v>77</v>
      </c>
      <c r="D195" s="0" t="str">
        <f aca="false">IF(D193&lt;&gt;"",D193,IF(D194&lt;&gt;"",D194,""))</f>
        <v/>
      </c>
      <c r="E195" s="0" t="str">
        <f aca="false">IF(E193&lt;&gt;"",E193,IF(E194&lt;&gt;"",E194,""))</f>
        <v/>
      </c>
      <c r="F195" s="24" t="n">
        <f aca="false">IF(F193&lt;&gt;"",F193,IF(F194&lt;&gt;"",F194,""))</f>
        <v>0</v>
      </c>
      <c r="G195" s="0" t="str">
        <f aca="false">IF(G193&lt;&gt;"",G193,IF(G194&lt;&gt;"",G194,""))</f>
        <v/>
      </c>
      <c r="H195" s="0" t="str">
        <f aca="false">IF(H193&lt;&gt;"",H193,IF(H194&lt;&gt;"",H194,""))</f>
        <v/>
      </c>
      <c r="I195" s="0" t="str">
        <f aca="false">IF(I193&lt;&gt;"",I193,IF(I194&lt;&gt;"",I194,""))</f>
        <v/>
      </c>
      <c r="J195" s="0" t="str">
        <f aca="false">IF(J193&lt;&gt;"",J193,IF(J194&lt;&gt;"",J194,""))</f>
        <v/>
      </c>
      <c r="K195" s="0" t="str">
        <f aca="false">IF(K193&lt;&gt;"",K193,IF(K194&lt;&gt;"",K194,""))</f>
        <v/>
      </c>
      <c r="L195" s="0" t="str">
        <f aca="false">IF(L193&lt;&gt;"",L193,IF(L194&lt;&gt;"",L194,""))</f>
        <v/>
      </c>
      <c r="M195" s="0" t="str">
        <f aca="false">IF(M193&lt;&gt;"",M193,IF(M194&lt;&gt;"",M194,""))</f>
        <v/>
      </c>
    </row>
    <row r="196" customFormat="false" ht="15" hidden="false" customHeight="false" outlineLevel="0" collapsed="false">
      <c r="A196" s="5" t="s">
        <v>972</v>
      </c>
      <c r="B196" s="0" t="s">
        <v>1158</v>
      </c>
      <c r="C196" s="0" t="s">
        <v>77</v>
      </c>
      <c r="D196" s="0" t="str">
        <f aca="false">IF(D195&lt;&gt;"",D195,"")</f>
        <v/>
      </c>
      <c r="E196" s="0" t="str">
        <f aca="false">IF(E195&lt;&gt;"",E195,D196)</f>
        <v/>
      </c>
      <c r="F196" s="24" t="n">
        <f aca="false">IF(F195&lt;&gt;"",F195,E196)</f>
        <v>0</v>
      </c>
      <c r="G196" s="24" t="n">
        <f aca="false">IF(G195&lt;&gt;"",G195,F196)</f>
        <v>0</v>
      </c>
      <c r="H196" s="24" t="n">
        <f aca="false">IF(H195&lt;&gt;"",H195,G196)</f>
        <v>0</v>
      </c>
      <c r="I196" s="24" t="n">
        <f aca="false">IF(I195&lt;&gt;"",I195,H196)</f>
        <v>0</v>
      </c>
      <c r="J196" s="24" t="n">
        <f aca="false">IF(J195&lt;&gt;"",J195,I196)</f>
        <v>0</v>
      </c>
      <c r="K196" s="24" t="n">
        <f aca="false">IF(K195&lt;&gt;"",K195,J196)</f>
        <v>0</v>
      </c>
      <c r="L196" s="24" t="n">
        <f aca="false">IF(L195&lt;&gt;"",L195,K196)</f>
        <v>0</v>
      </c>
      <c r="M196" s="24" t="n">
        <f aca="false">IF(M195&lt;&gt;"",M195,L196)</f>
        <v>0</v>
      </c>
    </row>
    <row r="197" customFormat="false" ht="15" hidden="false" customHeight="false" outlineLevel="0" collapsed="false">
      <c r="A197" s="5" t="s">
        <v>974</v>
      </c>
      <c r="B197" s="0" t="s">
        <v>1159</v>
      </c>
      <c r="C197" s="5" t="s">
        <v>47</v>
      </c>
      <c r="D197" s="0" t="str">
        <f aca="false">IF(D195&lt;&gt;"",2023,"")</f>
        <v/>
      </c>
      <c r="E197" s="0" t="str">
        <f aca="false">IF(E195&lt;&gt;"",2024,D197)</f>
        <v/>
      </c>
      <c r="F197" s="0" t="n">
        <f aca="false">IF(F195&lt;&gt;"",2025,E197)</f>
        <v>2025</v>
      </c>
      <c r="G197" s="0" t="n">
        <f aca="false">IF(G195&lt;&gt;"",2026,F197)</f>
        <v>2025</v>
      </c>
      <c r="H197" s="0" t="n">
        <f aca="false">IF(H195&lt;&gt;"",2027,G197)</f>
        <v>2025</v>
      </c>
      <c r="I197" s="0" t="n">
        <f aca="false">IF(I195&lt;&gt;"",2028,H197)</f>
        <v>2025</v>
      </c>
      <c r="J197" s="0" t="n">
        <f aca="false">IF(J195&lt;&gt;"",2029,I197)</f>
        <v>2025</v>
      </c>
      <c r="K197" s="0" t="n">
        <f aca="false">IF(K195&lt;&gt;"",2030,J197)</f>
        <v>2025</v>
      </c>
      <c r="L197" s="0" t="n">
        <f aca="false">IF(L195&lt;&gt;"",2031,K197)</f>
        <v>2025</v>
      </c>
      <c r="M197" s="0" t="n">
        <f aca="false">IF(M195&lt;&gt;"",2032,L197)</f>
        <v>2025</v>
      </c>
    </row>
    <row r="198" customFormat="false" ht="15" hidden="false" customHeight="false" outlineLevel="0" collapsed="false">
      <c r="A198" s="5" t="s">
        <v>976</v>
      </c>
      <c r="B198" s="0" t="s">
        <v>1160</v>
      </c>
      <c r="C198" s="0" t="s">
        <v>77</v>
      </c>
      <c r="D198" s="24" t="n">
        <f aca="false">IF(D195&lt;&gt;"",D195,E198)</f>
        <v>0</v>
      </c>
      <c r="E198" s="24" t="n">
        <f aca="false">IF(E195&lt;&gt;"",E195,F198)</f>
        <v>0</v>
      </c>
      <c r="F198" s="24" t="n">
        <f aca="false">IF(F195&lt;&gt;"",F195,G198)</f>
        <v>0</v>
      </c>
      <c r="G198" s="0" t="str">
        <f aca="false">IF(G195&lt;&gt;"",G195,H198)</f>
        <v/>
      </c>
      <c r="H198" s="0" t="str">
        <f aca="false">IF(H195&lt;&gt;"",H195,I198)</f>
        <v/>
      </c>
      <c r="I198" s="0" t="str">
        <f aca="false">IF(I195&lt;&gt;"",I195,J198)</f>
        <v/>
      </c>
      <c r="J198" s="0" t="str">
        <f aca="false">IF(J195&lt;&gt;"",J195,K198)</f>
        <v/>
      </c>
      <c r="K198" s="0" t="str">
        <f aca="false">IF(K195&lt;&gt;"",K195,L198)</f>
        <v/>
      </c>
      <c r="L198" s="0" t="str">
        <f aca="false">IF(L195&lt;&gt;"",L195,M198)</f>
        <v/>
      </c>
      <c r="M198" s="0" t="str">
        <f aca="false">IF(M195&lt;&gt;"",M195,"")</f>
        <v/>
      </c>
    </row>
    <row r="199" customFormat="false" ht="15" hidden="false" customHeight="false" outlineLevel="0" collapsed="false">
      <c r="A199" s="5" t="s">
        <v>978</v>
      </c>
      <c r="B199" s="0" t="s">
        <v>1161</v>
      </c>
      <c r="C199" s="5" t="s">
        <v>47</v>
      </c>
      <c r="D199" s="0" t="n">
        <f aca="false">IF(D195&lt;&gt;"",2023,E199)</f>
        <v>2025</v>
      </c>
      <c r="E199" s="0" t="n">
        <f aca="false">IF(E195&lt;&gt;"",2024,F199)</f>
        <v>2025</v>
      </c>
      <c r="F199" s="0" t="n">
        <f aca="false">IF(F195&lt;&gt;"",2025,G199)</f>
        <v>2025</v>
      </c>
      <c r="G199" s="0" t="str">
        <f aca="false">IF(G195&lt;&gt;"",2026,H199)</f>
        <v/>
      </c>
      <c r="H199" s="0" t="str">
        <f aca="false">IF(H195&lt;&gt;"",2027,I199)</f>
        <v/>
      </c>
      <c r="I199" s="0" t="str">
        <f aca="false">IF(I195&lt;&gt;"",2028,J199)</f>
        <v/>
      </c>
      <c r="J199" s="0" t="str">
        <f aca="false">IF(J195&lt;&gt;"",2029,K199)</f>
        <v/>
      </c>
      <c r="K199" s="0" t="str">
        <f aca="false">IF(K195&lt;&gt;"",2030,L199)</f>
        <v/>
      </c>
      <c r="L199" s="0" t="str">
        <f aca="false">IF(L195&lt;&gt;"",2031,M199)</f>
        <v/>
      </c>
      <c r="M199" s="0" t="str">
        <f aca="false">IF(M195&lt;&gt;"",2032,"")</f>
        <v/>
      </c>
    </row>
    <row r="200" customFormat="false" ht="17.15" hidden="false" customHeight="false" outlineLevel="0" collapsed="false">
      <c r="A200" s="5" t="s">
        <v>980</v>
      </c>
      <c r="B200" s="0" t="s">
        <v>1162</v>
      </c>
      <c r="C200" s="0" t="s">
        <v>77</v>
      </c>
      <c r="D200" s="24" t="n">
        <f aca="false">SUMIFS(Pipeline!$L$5:$L$64,Pipeline!$C$5:$C$64,"oai",Pipeline!$Q$5:$Q$64,1,Pipeline!$P$5:$P$64,2023)</f>
        <v>0</v>
      </c>
      <c r="E200" s="24" t="n">
        <f aca="false">SUMIFS(Pipeline!$L$5:$L$64,Pipeline!$C$5:$C$64,"oai",Pipeline!$Q$5:$Q$64,1,Pipeline!$P$5:$P$64,2024)</f>
        <v>0</v>
      </c>
      <c r="F200" s="24" t="n">
        <f aca="false">SUMIFS(Pipeline!$L$5:$L$64,Pipeline!$C$5:$C$64,"oai",Pipeline!$Q$5:$Q$64,1,Pipeline!$P$5:$P$64,2025)</f>
        <v>0</v>
      </c>
      <c r="G200" s="24" t="n">
        <f aca="false">SUMIFS(Pipeline!$L$5:$L$64,Pipeline!$C$5:$C$64,"oai",Pipeline!$Q$5:$Q$64,1,Pipeline!$P$5:$P$64,2026)</f>
        <v>0</v>
      </c>
      <c r="H200" s="24" t="n">
        <f aca="false">SUMIFS(Pipeline!$L$5:$L$64,Pipeline!$C$5:$C$64,"oai",Pipeline!$Q$5:$Q$64,1,Pipeline!$P$5:$P$64,2027)</f>
        <v>0.308</v>
      </c>
      <c r="I200" s="24" t="n">
        <f aca="false">SUMIFS(Pipeline!$L$5:$L$64,Pipeline!$C$5:$C$64,"oai",Pipeline!$Q$5:$Q$64,1,Pipeline!$P$5:$P$64,2028)</f>
        <v>1.245</v>
      </c>
      <c r="J200" s="24" t="n">
        <f aca="false">SUMIFS(Pipeline!$L$5:$L$64,Pipeline!$C$5:$C$64,"oai",Pipeline!$Q$5:$Q$64,1,Pipeline!$P$5:$P$64,2029)</f>
        <v>1.149</v>
      </c>
      <c r="K200" s="24" t="n">
        <f aca="false">SUMIFS(Pipeline!$L$5:$L$64,Pipeline!$C$5:$C$64,"oai",Pipeline!$Q$5:$Q$64,1,Pipeline!$P$5:$P$64,2030)</f>
        <v>1.149</v>
      </c>
      <c r="L200" s="24" t="n">
        <f aca="false">SUMIFS(Pipeline!$L$5:$L$64,Pipeline!$C$5:$C$64,"oai",Pipeline!$Q$5:$Q$64,1,Pipeline!$P$5:$P$64,2031)</f>
        <v>1.15</v>
      </c>
      <c r="M200" s="24" t="n">
        <f aca="false">SUMIFS(Pipeline!$L$5:$L$64,Pipeline!$C$5:$C$64,"oai",Pipeline!$Q$5:$Q$64,1,Pipeline!$P$5:$P$64,2032)</f>
        <v>0</v>
      </c>
    </row>
    <row r="201" customFormat="false" ht="17.15" hidden="false" customHeight="false" outlineLevel="0" collapsed="false">
      <c r="A201" s="5" t="s">
        <v>982</v>
      </c>
      <c r="B201" s="0" t="s">
        <v>1163</v>
      </c>
      <c r="C201" s="0" t="s">
        <v>77</v>
      </c>
      <c r="D201" s="25" t="str">
        <f aca="false">IF(D195&lt;&gt;"",D195,IF(AND(D196&lt;&gt;"",D198&lt;&gt;""),D196+(D198-D196)*(2023-D197)/(D199-D197),""))</f>
        <v/>
      </c>
      <c r="E201" s="25" t="str">
        <f aca="false">IF(E195&lt;&gt;"",E195,IF(AND(E196&lt;&gt;"",E198&lt;&gt;""),E196+(E198-E196)*(2024-E197)/(E199-E197),IF(D201&lt;&gt;"",D201+E200,"")))</f>
        <v/>
      </c>
      <c r="F201" s="25" t="n">
        <f aca="false">IF(F195&lt;&gt;"",F195,IF(AND(F196&lt;&gt;"",F198&lt;&gt;""),F196+(F198-F196)*(2025-F197)/(F199-F197),IF(E201&lt;&gt;"",E201+F200,"")))</f>
        <v>0</v>
      </c>
      <c r="G201" s="25" t="n">
        <f aca="false">IF(G195&lt;&gt;"",G195,IF(AND(G196&lt;&gt;"",G198&lt;&gt;""),G196+(G198-G196)*(2026-G197)/(G199-G197),IF(F201&lt;&gt;"",F201+G200,"")))</f>
        <v>0</v>
      </c>
      <c r="H201" s="25" t="n">
        <f aca="false">IF(H195&lt;&gt;"",H195,IF(AND(H196&lt;&gt;"",H198&lt;&gt;""),H196+(H198-H196)*(2027-H197)/(H199-H197),IF(G201&lt;&gt;"",G201+H200,"")))</f>
        <v>0.308</v>
      </c>
      <c r="I201" s="25" t="n">
        <f aca="false">IF(I195&lt;&gt;"",I195,IF(AND(I196&lt;&gt;"",I198&lt;&gt;""),I196+(I198-I196)*(2028-I197)/(I199-I197),IF(H201&lt;&gt;"",H201+I200,"")))</f>
        <v>1.553</v>
      </c>
      <c r="J201" s="25" t="n">
        <f aca="false">IF(J195&lt;&gt;"",J195,IF(AND(J196&lt;&gt;"",J198&lt;&gt;""),J196+(J198-J196)*(2029-J197)/(J199-J197),IF(I201&lt;&gt;"",I201+J200,"")))</f>
        <v>2.702</v>
      </c>
      <c r="K201" s="25" t="n">
        <f aca="false">IF(K195&lt;&gt;"",K195,IF(AND(K196&lt;&gt;"",K198&lt;&gt;""),K196+(K198-K196)*(2030-K197)/(K199-K197),IF(J201&lt;&gt;"",J201+K200,"")))</f>
        <v>3.851</v>
      </c>
      <c r="L201" s="25" t="n">
        <f aca="false">IF(L195&lt;&gt;"",L195,IF(AND(L196&lt;&gt;"",L198&lt;&gt;""),L196+(L198-L196)*(2031-L197)/(L199-L197),IF(K201&lt;&gt;"",K201+L200,"")))</f>
        <v>5.001</v>
      </c>
      <c r="M201" s="25" t="n">
        <f aca="false">IF(M195&lt;&gt;"",M195,IF(AND(M196&lt;&gt;"",M198&lt;&gt;""),M196+(M198-M196)*(2032-M197)/(M199-M197),IF(L201&lt;&gt;"",L201+M200,"")))</f>
        <v>5.001</v>
      </c>
    </row>
    <row r="202" customFormat="false" ht="15" hidden="false" customHeight="false" outlineLevel="0" collapsed="false">
      <c r="A202" s="5" t="s">
        <v>984</v>
      </c>
      <c r="B202" s="0" t="s">
        <v>1164</v>
      </c>
      <c r="C202" s="0" t="s">
        <v>35</v>
      </c>
      <c r="D202" s="0" t="n">
        <f aca="false">IF(D193&lt;&gt;"",1,IF(D194&lt;&gt;"",5,IF(D195&lt;&gt;"",2,IF(AND(D196&lt;&gt;"",D198&lt;&gt;""),3,IF(D201&lt;&gt;"",4,0)))))</f>
        <v>0</v>
      </c>
      <c r="E202" s="0" t="n">
        <f aca="false">IF(E193&lt;&gt;"",1,IF(E194&lt;&gt;"",5,IF(E195&lt;&gt;"",2,IF(AND(E196&lt;&gt;"",E198&lt;&gt;""),3,IF(E201&lt;&gt;"",4,0)))))</f>
        <v>0</v>
      </c>
      <c r="F202" s="0" t="n">
        <f aca="false">IF(F193&lt;&gt;"",1,IF(F194&lt;&gt;"",5,IF(F195&lt;&gt;"",2,IF(AND(F196&lt;&gt;"",F198&lt;&gt;""),3,IF(F201&lt;&gt;"",4,0)))))</f>
        <v>1</v>
      </c>
      <c r="G202" s="0" t="n">
        <f aca="false">IF(G193&lt;&gt;"",1,IF(G194&lt;&gt;"",5,IF(G195&lt;&gt;"",2,IF(AND(G196&lt;&gt;"",G198&lt;&gt;""),3,IF(G201&lt;&gt;"",4,0)))))</f>
        <v>4</v>
      </c>
      <c r="H202" s="0" t="n">
        <f aca="false">IF(H193&lt;&gt;"",1,IF(H194&lt;&gt;"",5,IF(H195&lt;&gt;"",2,IF(AND(H196&lt;&gt;"",H198&lt;&gt;""),3,IF(H201&lt;&gt;"",4,0)))))</f>
        <v>4</v>
      </c>
      <c r="I202" s="0" t="n">
        <f aca="false">IF(I193&lt;&gt;"",1,IF(I194&lt;&gt;"",5,IF(I195&lt;&gt;"",2,IF(AND(I196&lt;&gt;"",I198&lt;&gt;""),3,IF(I201&lt;&gt;"",4,0)))))</f>
        <v>4</v>
      </c>
      <c r="J202" s="0" t="n">
        <f aca="false">IF(J193&lt;&gt;"",1,IF(J194&lt;&gt;"",5,IF(J195&lt;&gt;"",2,IF(AND(J196&lt;&gt;"",J198&lt;&gt;""),3,IF(J201&lt;&gt;"",4,0)))))</f>
        <v>4</v>
      </c>
      <c r="K202" s="0" t="n">
        <f aca="false">IF(K193&lt;&gt;"",1,IF(K194&lt;&gt;"",5,IF(K195&lt;&gt;"",2,IF(AND(K196&lt;&gt;"",K198&lt;&gt;""),3,IF(K201&lt;&gt;"",4,0)))))</f>
        <v>4</v>
      </c>
      <c r="L202" s="0" t="n">
        <f aca="false">IF(L193&lt;&gt;"",1,IF(L194&lt;&gt;"",5,IF(L195&lt;&gt;"",2,IF(AND(L196&lt;&gt;"",L198&lt;&gt;""),3,IF(L201&lt;&gt;"",4,0)))))</f>
        <v>4</v>
      </c>
      <c r="M202" s="0" t="n">
        <f aca="false">IF(M193&lt;&gt;"",1,IF(M194&lt;&gt;"",5,IF(M195&lt;&gt;"",2,IF(AND(M196&lt;&gt;"",M198&lt;&gt;""),3,IF(M201&lt;&gt;"",4,0)))))</f>
        <v>4</v>
      </c>
    </row>
    <row r="203" customFormat="false" ht="17.15" hidden="false" customHeight="false" outlineLevel="0" collapsed="false">
      <c r="A203" s="5" t="s">
        <v>986</v>
      </c>
      <c r="B203" s="0" t="s">
        <v>1165</v>
      </c>
      <c r="C203" s="0" t="s">
        <v>77</v>
      </c>
      <c r="D203" s="24" t="str">
        <f aca="false">IF(D201="","",D201)</f>
        <v/>
      </c>
      <c r="E203" s="24" t="str">
        <f aca="false">IF(E201="","",E201)</f>
        <v/>
      </c>
      <c r="F203" s="24" t="n">
        <f aca="false">IF(F201="","",F201)</f>
        <v>0</v>
      </c>
      <c r="G203" s="24" t="n">
        <f aca="false">IF(G201="","",G201)</f>
        <v>0</v>
      </c>
      <c r="H203" s="24" t="n">
        <f aca="false">IF(H201="","",H201)</f>
        <v>0.308</v>
      </c>
      <c r="I203" s="24" t="n">
        <f aca="false">IF(I201="","",I201)</f>
        <v>1.553</v>
      </c>
      <c r="J203" s="24" t="n">
        <f aca="false">IF(J201="","",J201)</f>
        <v>2.702</v>
      </c>
      <c r="K203" s="24" t="n">
        <f aca="false">IF(K201="","",K201)</f>
        <v>3.851</v>
      </c>
      <c r="L203" s="24" t="n">
        <f aca="false">IF(L201="","",L201)</f>
        <v>5.001</v>
      </c>
      <c r="M203" s="24" t="n">
        <f aca="false">IF(M201="","",M201)</f>
        <v>5.001</v>
      </c>
    </row>
    <row r="204" customFormat="false" ht="17.15" hidden="false" customHeight="false" outlineLevel="0" collapsed="false">
      <c r="A204" s="5" t="s">
        <v>988</v>
      </c>
      <c r="B204" s="0" t="s">
        <v>1166</v>
      </c>
      <c r="C204" s="0" t="s">
        <v>77</v>
      </c>
      <c r="D204" s="24" t="str">
        <f aca="false">IF(D201="","",D201)</f>
        <v/>
      </c>
      <c r="E204" s="24" t="str">
        <f aca="false">IF(E201="","",E201)</f>
        <v/>
      </c>
      <c r="F204" s="24" t="n">
        <f aca="false">IF(F201="","",F201)</f>
        <v>0</v>
      </c>
      <c r="G204" s="24" t="n">
        <f aca="false">IF(G201="","",G201)</f>
        <v>0</v>
      </c>
      <c r="H204" s="24" t="n">
        <f aca="false">IF(H201="","",H201)</f>
        <v>0.308</v>
      </c>
      <c r="I204" s="24" t="n">
        <f aca="false">IF(I201="","",I201)</f>
        <v>1.553</v>
      </c>
      <c r="J204" s="24" t="n">
        <f aca="false">IF(J201="","",J201)</f>
        <v>2.702</v>
      </c>
      <c r="K204" s="24" t="n">
        <f aca="false">IF(K201="","",K201)</f>
        <v>3.851</v>
      </c>
      <c r="L204" s="24" t="n">
        <f aca="false">IF(L201="","",L201)</f>
        <v>5.001</v>
      </c>
      <c r="M204" s="24" t="n">
        <f aca="false">IF(M201="","",M201)</f>
        <v>5.001</v>
      </c>
    </row>
    <row r="205" customFormat="false" ht="17.15" hidden="false" customHeight="false" outlineLevel="0" collapsed="false">
      <c r="A205" s="5" t="s">
        <v>990</v>
      </c>
      <c r="B205" s="0" t="s">
        <v>1167</v>
      </c>
      <c r="C205" s="0" t="s">
        <v>77</v>
      </c>
      <c r="D205" s="24" t="str">
        <f aca="false">IF(D201="","",IF(In!$C$117="未說明",D201/D$13,D201))</f>
        <v/>
      </c>
      <c r="E205" s="24" t="str">
        <f aca="false">IF(E201="","",IF(In!$C$117="未說明",E201/E$13,E201))</f>
        <v/>
      </c>
      <c r="F205" s="24" t="n">
        <f aca="false">IF(F201="","",IF(In!$C$117="未說明",F201/F$13,F201))</f>
        <v>0</v>
      </c>
      <c r="G205" s="24" t="n">
        <f aca="false">IF(G201="","",IF(In!$C$117="未說明",G201/G$13,G201))</f>
        <v>0</v>
      </c>
      <c r="H205" s="24" t="n">
        <f aca="false">IF(H201="","",IF(In!$C$117="未說明",H201/H$13,H201))</f>
        <v>0.308</v>
      </c>
      <c r="I205" s="24" t="n">
        <f aca="false">IF(I201="","",IF(In!$C$117="未說明",I201/I$13,I201))</f>
        <v>1.553</v>
      </c>
      <c r="J205" s="24" t="n">
        <f aca="false">IF(J201="","",IF(In!$C$117="未說明",J201/J$13,J201))</f>
        <v>2.702</v>
      </c>
      <c r="K205" s="24" t="n">
        <f aca="false">IF(K201="","",IF(In!$C$117="未說明",K201/K$13,K201))</f>
        <v>3.851</v>
      </c>
      <c r="L205" s="24" t="n">
        <f aca="false">IF(L201="","",IF(In!$C$117="未說明",L201/L$13,L201))</f>
        <v>5.001</v>
      </c>
      <c r="M205" s="24" t="n">
        <f aca="false">IF(M201="","",IF(In!$C$117="未說明",M201/M$13,M201))</f>
        <v>5.001</v>
      </c>
    </row>
    <row r="206" customFormat="false" ht="17.15" hidden="false" customHeight="false" outlineLevel="0" collapsed="false">
      <c r="A206" s="5" t="s">
        <v>992</v>
      </c>
      <c r="B206" s="0" t="s">
        <v>1168</v>
      </c>
      <c r="C206" s="0" t="s">
        <v>77</v>
      </c>
      <c r="D206" s="0" t="str">
        <f aca="false">""</f>
        <v/>
      </c>
      <c r="E206" s="24" t="str">
        <f aca="false">IF(AND(D201&lt;&gt;"",E201&lt;&gt;""),(D201+E201)/2,"")</f>
        <v/>
      </c>
      <c r="F206" s="24" t="str">
        <f aca="false">IF(AND(E201&lt;&gt;"",F201&lt;&gt;""),(E201+F201)/2,"")</f>
        <v/>
      </c>
      <c r="G206" s="24" t="n">
        <f aca="false">IF(AND(F201&lt;&gt;"",G201&lt;&gt;""),(F201+G201)/2,"")</f>
        <v>0</v>
      </c>
      <c r="H206" s="24" t="n">
        <f aca="false">IF(AND(G201&lt;&gt;"",H201&lt;&gt;""),(G201+H201)/2,"")</f>
        <v>0.154</v>
      </c>
      <c r="I206" s="24" t="n">
        <f aca="false">IF(AND(H201&lt;&gt;"",I201&lt;&gt;""),(H201+I201)/2,"")</f>
        <v>0.9305</v>
      </c>
      <c r="J206" s="24" t="n">
        <f aca="false">IF(AND(I201&lt;&gt;"",J201&lt;&gt;""),(I201+J201)/2,"")</f>
        <v>2.1275</v>
      </c>
      <c r="K206" s="24" t="n">
        <f aca="false">IF(AND(J201&lt;&gt;"",K201&lt;&gt;""),(J201+K201)/2,"")</f>
        <v>3.2765</v>
      </c>
      <c r="L206" s="24" t="n">
        <f aca="false">IF(AND(K201&lt;&gt;"",L201&lt;&gt;""),(K201+L201)/2,"")</f>
        <v>4.426</v>
      </c>
      <c r="M206" s="24" t="n">
        <f aca="false">IF(AND(L201&lt;&gt;"",M201&lt;&gt;""),(L201+M201)/2,"")</f>
        <v>5.001</v>
      </c>
    </row>
    <row r="207" customFormat="false" ht="17.15" hidden="false" customHeight="false" outlineLevel="0" collapsed="false">
      <c r="A207" s="5" t="s">
        <v>994</v>
      </c>
      <c r="B207" s="0" t="s">
        <v>1169</v>
      </c>
      <c r="C207" s="0" t="s">
        <v>77</v>
      </c>
      <c r="D207" s="0" t="n">
        <v>0</v>
      </c>
      <c r="E207" s="24" t="n">
        <f aca="false">IF(AND(D201&lt;&gt;"",E201&lt;&gt;""),E201-D201,0)</f>
        <v>0</v>
      </c>
      <c r="F207" s="24" t="n">
        <f aca="false">IF(AND(E201&lt;&gt;"",F201&lt;&gt;""),F201-E201,0)</f>
        <v>0</v>
      </c>
      <c r="G207" s="24" t="n">
        <f aca="false">IF(AND(F201&lt;&gt;"",G201&lt;&gt;""),G201-F201,0)</f>
        <v>0</v>
      </c>
      <c r="H207" s="24" t="n">
        <f aca="false">IF(AND(G201&lt;&gt;"",H201&lt;&gt;""),H201-G201,0)</f>
        <v>0.308</v>
      </c>
      <c r="I207" s="24" t="n">
        <f aca="false">IF(AND(H201&lt;&gt;"",I201&lt;&gt;""),I201-H201,0)</f>
        <v>1.245</v>
      </c>
      <c r="J207" s="24" t="n">
        <f aca="false">IF(AND(I201&lt;&gt;"",J201&lt;&gt;""),J201-I201,0)</f>
        <v>1.149</v>
      </c>
      <c r="K207" s="24" t="n">
        <f aca="false">IF(AND(J201&lt;&gt;"",K201&lt;&gt;""),K201-J201,0)</f>
        <v>1.149</v>
      </c>
      <c r="L207" s="24" t="n">
        <f aca="false">IF(AND(K201&lt;&gt;"",L201&lt;&gt;""),L201-K201,0)</f>
        <v>1.15</v>
      </c>
      <c r="M207" s="24" t="n">
        <f aca="false">IF(AND(L201&lt;&gt;"",M201&lt;&gt;""),M201-L201,0)</f>
        <v>0</v>
      </c>
    </row>
    <row r="208" customFormat="false" ht="17.15" hidden="false" customHeight="false" outlineLevel="0" collapsed="false">
      <c r="A208" s="5" t="s">
        <v>996</v>
      </c>
      <c r="B208" s="0" t="s">
        <v>1170</v>
      </c>
      <c r="C208" s="0" t="s">
        <v>77</v>
      </c>
      <c r="D208" s="24" t="n">
        <f aca="false">IF(D201&lt;&gt;"",D201,0)</f>
        <v>0</v>
      </c>
      <c r="E208" s="24" t="n">
        <f aca="false">IF(AND(D201="",E201&lt;&gt;""),E201,0)</f>
        <v>0</v>
      </c>
      <c r="F208" s="24" t="n">
        <f aca="false">IF(AND(E201="",F201&lt;&gt;""),F201,0)</f>
        <v>0</v>
      </c>
      <c r="G208" s="24" t="n">
        <f aca="false">IF(AND(F201="",G201&lt;&gt;""),G201,0)</f>
        <v>0</v>
      </c>
      <c r="H208" s="24" t="n">
        <f aca="false">IF(AND(G201="",H201&lt;&gt;""),H201,0)</f>
        <v>0</v>
      </c>
      <c r="I208" s="24" t="n">
        <f aca="false">IF(AND(H201="",I201&lt;&gt;""),I201,0)</f>
        <v>0</v>
      </c>
      <c r="J208" s="24" t="n">
        <f aca="false">IF(AND(I201="",J201&lt;&gt;""),J201,0)</f>
        <v>0</v>
      </c>
      <c r="K208" s="24" t="n">
        <f aca="false">IF(AND(J201="",K201&lt;&gt;""),K201,0)</f>
        <v>0</v>
      </c>
      <c r="L208" s="24" t="n">
        <f aca="false">IF(AND(K201="",L201&lt;&gt;""),L201,0)</f>
        <v>0</v>
      </c>
      <c r="M208" s="24" t="n">
        <f aca="false">IF(AND(L201="",M201&lt;&gt;""),M201,0)</f>
        <v>0</v>
      </c>
    </row>
    <row r="209" customFormat="false" ht="17.15" hidden="false" customHeight="false" outlineLevel="0" collapsed="false">
      <c r="A209" s="5" t="s">
        <v>998</v>
      </c>
      <c r="B209" s="0" t="s">
        <v>1171</v>
      </c>
      <c r="C209" s="0" t="s">
        <v>52</v>
      </c>
      <c r="D209" s="23" t="n">
        <f aca="false">D$12</f>
        <v>0.238210067173108</v>
      </c>
      <c r="E209" s="23" t="n">
        <f aca="false">E$12</f>
        <v>0.238210067173108</v>
      </c>
      <c r="F209" s="23" t="n">
        <f aca="false">F$12</f>
        <v>0.238210067173108</v>
      </c>
      <c r="G209" s="23" t="n">
        <f aca="false">G$12</f>
        <v>0.238210067173108</v>
      </c>
      <c r="H209" s="23" t="n">
        <f aca="false">H$12</f>
        <v>0.273101862203342</v>
      </c>
      <c r="I209" s="23" t="n">
        <f aca="false">I$12</f>
        <v>0.269621396123668</v>
      </c>
      <c r="J209" s="23" t="n">
        <f aca="false">J$12</f>
        <v>0.272187509408712</v>
      </c>
      <c r="K209" s="23" t="n">
        <f aca="false">K$12</f>
        <v>0.272187509408712</v>
      </c>
      <c r="L209" s="23" t="n">
        <f aca="false">L$12</f>
        <v>0.272187509408712</v>
      </c>
      <c r="M209" s="23" t="n">
        <f aca="false">M$12</f>
        <v>0.272187509408712</v>
      </c>
    </row>
    <row r="211" customFormat="false" ht="17.15" hidden="false" customHeight="false" outlineLevel="0" collapsed="false">
      <c r="A211" s="8" t="s">
        <v>1172</v>
      </c>
      <c r="B211" s="20" t="s">
        <v>515</v>
      </c>
      <c r="N211" s="20" t="s">
        <v>1173</v>
      </c>
    </row>
    <row r="212" customFormat="false" ht="17.15" hidden="false" customHeight="false" outlineLevel="0" collapsed="false">
      <c r="A212" s="5" t="s">
        <v>966</v>
      </c>
      <c r="B212" s="0" t="s">
        <v>1174</v>
      </c>
      <c r="C212" s="0" t="s">
        <v>77</v>
      </c>
      <c r="D212" s="24" t="str">
        <f aca="false">IF(In!$H$118="","",IF(In!$C$118="設施",In!$H$118/1000/D$13,In!$H$118/1000))</f>
        <v/>
      </c>
      <c r="E212" s="24" t="str">
        <f aca="false">IF(In!$I$118="","",IF(In!$C$118="設施",In!$I$118/1000/E$13,In!$I$118/1000))</f>
        <v/>
      </c>
      <c r="F212" s="24" t="n">
        <f aca="false">IF(In!$J$118="","",IF(In!$C$118="設施",In!$J$118/1000/F$13,In!$J$118/1000))</f>
        <v>0</v>
      </c>
      <c r="G212" s="24" t="str">
        <f aca="false">IF(In!$K$118="","",IF(In!$C$118="設施",In!$K$118/1000/G$13,In!$K$118/1000))</f>
        <v/>
      </c>
      <c r="H212" s="24" t="str">
        <f aca="false">IF(In!$L$118="","",IF(In!$C$118="設施",In!$L$118/1000/H$13,In!$L$118/1000))</f>
        <v/>
      </c>
      <c r="I212" s="24" t="str">
        <f aca="false">IF(In!$M$118="","",IF(In!$C$118="設施",In!$M$118/1000/I$13,In!$M$118/1000))</f>
        <v/>
      </c>
      <c r="J212" s="24" t="str">
        <f aca="false">IF(In!$N$118="","",IF(In!$C$118="設施",In!$N$118/1000/J$13,In!$N$118/1000))</f>
        <v/>
      </c>
      <c r="K212" s="24" t="str">
        <f aca="false">IF(In!$O$118="","",IF(In!$C$118="設施",In!$O$118/1000/K$13,In!$O$118/1000))</f>
        <v/>
      </c>
      <c r="L212" s="24" t="str">
        <f aca="false">IF(In!$P$118="","",IF(In!$C$118="設施",In!$P$118/1000/L$13,In!$P$118/1000))</f>
        <v/>
      </c>
      <c r="M212" s="24" t="str">
        <f aca="false">IF(In!$Q$118="","",IF(In!$C$118="設施",In!$Q$118/1000/M$13,In!$Q$118/1000))</f>
        <v/>
      </c>
    </row>
    <row r="213" customFormat="false" ht="17.15" hidden="false" customHeight="false" outlineLevel="0" collapsed="false">
      <c r="A213" s="5" t="s">
        <v>968</v>
      </c>
      <c r="B213" s="0" t="s">
        <v>1175</v>
      </c>
      <c r="C213" s="0" t="s">
        <v>77</v>
      </c>
      <c r="D213" s="0" t="str">
        <f aca="false">""</f>
        <v/>
      </c>
      <c r="E213" s="0" t="str">
        <f aca="false">""</f>
        <v/>
      </c>
      <c r="F213" s="0" t="str">
        <f aca="false">""</f>
        <v/>
      </c>
      <c r="G213" s="0" t="str">
        <f aca="false">""</f>
        <v/>
      </c>
      <c r="H213" s="0" t="str">
        <f aca="false">""</f>
        <v/>
      </c>
      <c r="I213" s="0" t="str">
        <f aca="false">""</f>
        <v/>
      </c>
      <c r="J213" s="0" t="str">
        <f aca="false">""</f>
        <v/>
      </c>
      <c r="K213" s="0" t="str">
        <f aca="false">""</f>
        <v/>
      </c>
      <c r="L213" s="0" t="str">
        <f aca="false">""</f>
        <v/>
      </c>
      <c r="M213" s="0" t="str">
        <f aca="false">""</f>
        <v/>
      </c>
    </row>
    <row r="214" customFormat="false" ht="15" hidden="false" customHeight="false" outlineLevel="0" collapsed="false">
      <c r="A214" s="5" t="s">
        <v>970</v>
      </c>
      <c r="B214" s="0" t="s">
        <v>1176</v>
      </c>
      <c r="C214" s="0" t="s">
        <v>77</v>
      </c>
      <c r="D214" s="0" t="str">
        <f aca="false">IF(D212&lt;&gt;"",D212,IF(D213&lt;&gt;"",D213,""))</f>
        <v/>
      </c>
      <c r="E214" s="0" t="str">
        <f aca="false">IF(E212&lt;&gt;"",E212,IF(E213&lt;&gt;"",E213,""))</f>
        <v/>
      </c>
      <c r="F214" s="24" t="n">
        <f aca="false">IF(F212&lt;&gt;"",F212,IF(F213&lt;&gt;"",F213,""))</f>
        <v>0</v>
      </c>
      <c r="G214" s="0" t="str">
        <f aca="false">IF(G212&lt;&gt;"",G212,IF(G213&lt;&gt;"",G213,""))</f>
        <v/>
      </c>
      <c r="H214" s="0" t="str">
        <f aca="false">IF(H212&lt;&gt;"",H212,IF(H213&lt;&gt;"",H213,""))</f>
        <v/>
      </c>
      <c r="I214" s="0" t="str">
        <f aca="false">IF(I212&lt;&gt;"",I212,IF(I213&lt;&gt;"",I213,""))</f>
        <v/>
      </c>
      <c r="J214" s="0" t="str">
        <f aca="false">IF(J212&lt;&gt;"",J212,IF(J213&lt;&gt;"",J213,""))</f>
        <v/>
      </c>
      <c r="K214" s="0" t="str">
        <f aca="false">IF(K212&lt;&gt;"",K212,IF(K213&lt;&gt;"",K213,""))</f>
        <v/>
      </c>
      <c r="L214" s="0" t="str">
        <f aca="false">IF(L212&lt;&gt;"",L212,IF(L213&lt;&gt;"",L213,""))</f>
        <v/>
      </c>
      <c r="M214" s="0" t="str">
        <f aca="false">IF(M212&lt;&gt;"",M212,IF(M213&lt;&gt;"",M213,""))</f>
        <v/>
      </c>
    </row>
    <row r="215" customFormat="false" ht="15" hidden="false" customHeight="false" outlineLevel="0" collapsed="false">
      <c r="A215" s="5" t="s">
        <v>972</v>
      </c>
      <c r="B215" s="0" t="s">
        <v>1177</v>
      </c>
      <c r="C215" s="0" t="s">
        <v>77</v>
      </c>
      <c r="D215" s="0" t="str">
        <f aca="false">IF(D214&lt;&gt;"",D214,"")</f>
        <v/>
      </c>
      <c r="E215" s="0" t="str">
        <f aca="false">IF(E214&lt;&gt;"",E214,D215)</f>
        <v/>
      </c>
      <c r="F215" s="24" t="n">
        <f aca="false">IF(F214&lt;&gt;"",F214,E215)</f>
        <v>0</v>
      </c>
      <c r="G215" s="24" t="n">
        <f aca="false">IF(G214&lt;&gt;"",G214,F215)</f>
        <v>0</v>
      </c>
      <c r="H215" s="24" t="n">
        <f aca="false">IF(H214&lt;&gt;"",H214,G215)</f>
        <v>0</v>
      </c>
      <c r="I215" s="24" t="n">
        <f aca="false">IF(I214&lt;&gt;"",I214,H215)</f>
        <v>0</v>
      </c>
      <c r="J215" s="24" t="n">
        <f aca="false">IF(J214&lt;&gt;"",J214,I215)</f>
        <v>0</v>
      </c>
      <c r="K215" s="24" t="n">
        <f aca="false">IF(K214&lt;&gt;"",K214,J215)</f>
        <v>0</v>
      </c>
      <c r="L215" s="24" t="n">
        <f aca="false">IF(L214&lt;&gt;"",L214,K215)</f>
        <v>0</v>
      </c>
      <c r="M215" s="24" t="n">
        <f aca="false">IF(M214&lt;&gt;"",M214,L215)</f>
        <v>0</v>
      </c>
    </row>
    <row r="216" customFormat="false" ht="15" hidden="false" customHeight="false" outlineLevel="0" collapsed="false">
      <c r="A216" s="5" t="s">
        <v>974</v>
      </c>
      <c r="B216" s="0" t="s">
        <v>1178</v>
      </c>
      <c r="C216" s="5" t="s">
        <v>47</v>
      </c>
      <c r="D216" s="0" t="str">
        <f aca="false">IF(D214&lt;&gt;"",2023,"")</f>
        <v/>
      </c>
      <c r="E216" s="0" t="str">
        <f aca="false">IF(E214&lt;&gt;"",2024,D216)</f>
        <v/>
      </c>
      <c r="F216" s="0" t="n">
        <f aca="false">IF(F214&lt;&gt;"",2025,E216)</f>
        <v>2025</v>
      </c>
      <c r="G216" s="0" t="n">
        <f aca="false">IF(G214&lt;&gt;"",2026,F216)</f>
        <v>2025</v>
      </c>
      <c r="H216" s="0" t="n">
        <f aca="false">IF(H214&lt;&gt;"",2027,G216)</f>
        <v>2025</v>
      </c>
      <c r="I216" s="0" t="n">
        <f aca="false">IF(I214&lt;&gt;"",2028,H216)</f>
        <v>2025</v>
      </c>
      <c r="J216" s="0" t="n">
        <f aca="false">IF(J214&lt;&gt;"",2029,I216)</f>
        <v>2025</v>
      </c>
      <c r="K216" s="0" t="n">
        <f aca="false">IF(K214&lt;&gt;"",2030,J216)</f>
        <v>2025</v>
      </c>
      <c r="L216" s="0" t="n">
        <f aca="false">IF(L214&lt;&gt;"",2031,K216)</f>
        <v>2025</v>
      </c>
      <c r="M216" s="0" t="n">
        <f aca="false">IF(M214&lt;&gt;"",2032,L216)</f>
        <v>2025</v>
      </c>
    </row>
    <row r="217" customFormat="false" ht="15" hidden="false" customHeight="false" outlineLevel="0" collapsed="false">
      <c r="A217" s="5" t="s">
        <v>976</v>
      </c>
      <c r="B217" s="0" t="s">
        <v>1179</v>
      </c>
      <c r="C217" s="0" t="s">
        <v>77</v>
      </c>
      <c r="D217" s="24" t="n">
        <f aca="false">IF(D214&lt;&gt;"",D214,E217)</f>
        <v>0</v>
      </c>
      <c r="E217" s="24" t="n">
        <f aca="false">IF(E214&lt;&gt;"",E214,F217)</f>
        <v>0</v>
      </c>
      <c r="F217" s="24" t="n">
        <f aca="false">IF(F214&lt;&gt;"",F214,G217)</f>
        <v>0</v>
      </c>
      <c r="G217" s="0" t="str">
        <f aca="false">IF(G214&lt;&gt;"",G214,H217)</f>
        <v/>
      </c>
      <c r="H217" s="0" t="str">
        <f aca="false">IF(H214&lt;&gt;"",H214,I217)</f>
        <v/>
      </c>
      <c r="I217" s="0" t="str">
        <f aca="false">IF(I214&lt;&gt;"",I214,J217)</f>
        <v/>
      </c>
      <c r="J217" s="0" t="str">
        <f aca="false">IF(J214&lt;&gt;"",J214,K217)</f>
        <v/>
      </c>
      <c r="K217" s="0" t="str">
        <f aca="false">IF(K214&lt;&gt;"",K214,L217)</f>
        <v/>
      </c>
      <c r="L217" s="0" t="str">
        <f aca="false">IF(L214&lt;&gt;"",L214,M217)</f>
        <v/>
      </c>
      <c r="M217" s="0" t="str">
        <f aca="false">IF(M214&lt;&gt;"",M214,"")</f>
        <v/>
      </c>
    </row>
    <row r="218" customFormat="false" ht="15" hidden="false" customHeight="false" outlineLevel="0" collapsed="false">
      <c r="A218" s="5" t="s">
        <v>978</v>
      </c>
      <c r="B218" s="0" t="s">
        <v>1180</v>
      </c>
      <c r="C218" s="5" t="s">
        <v>47</v>
      </c>
      <c r="D218" s="0" t="n">
        <f aca="false">IF(D214&lt;&gt;"",2023,E218)</f>
        <v>2025</v>
      </c>
      <c r="E218" s="0" t="n">
        <f aca="false">IF(E214&lt;&gt;"",2024,F218)</f>
        <v>2025</v>
      </c>
      <c r="F218" s="0" t="n">
        <f aca="false">IF(F214&lt;&gt;"",2025,G218)</f>
        <v>2025</v>
      </c>
      <c r="G218" s="0" t="str">
        <f aca="false">IF(G214&lt;&gt;"",2026,H218)</f>
        <v/>
      </c>
      <c r="H218" s="0" t="str">
        <f aca="false">IF(H214&lt;&gt;"",2027,I218)</f>
        <v/>
      </c>
      <c r="I218" s="0" t="str">
        <f aca="false">IF(I214&lt;&gt;"",2028,J218)</f>
        <v/>
      </c>
      <c r="J218" s="0" t="str">
        <f aca="false">IF(J214&lt;&gt;"",2029,K218)</f>
        <v/>
      </c>
      <c r="K218" s="0" t="str">
        <f aca="false">IF(K214&lt;&gt;"",2030,L218)</f>
        <v/>
      </c>
      <c r="L218" s="0" t="str">
        <f aca="false">IF(L214&lt;&gt;"",2031,M218)</f>
        <v/>
      </c>
      <c r="M218" s="0" t="str">
        <f aca="false">IF(M214&lt;&gt;"",2032,"")</f>
        <v/>
      </c>
    </row>
    <row r="219" customFormat="false" ht="17.15" hidden="false" customHeight="false" outlineLevel="0" collapsed="false">
      <c r="A219" s="5" t="s">
        <v>980</v>
      </c>
      <c r="B219" s="0" t="s">
        <v>1181</v>
      </c>
      <c r="C219" s="0" t="s">
        <v>77</v>
      </c>
      <c r="D219" s="24" t="n">
        <f aca="false">SUMIFS(Pipeline!$L$5:$L$64,Pipeline!$C$5:$C$64,"ant",Pipeline!$Q$5:$Q$64,1,Pipeline!$P$5:$P$64,2023)</f>
        <v>0</v>
      </c>
      <c r="E219" s="24" t="n">
        <f aca="false">SUMIFS(Pipeline!$L$5:$L$64,Pipeline!$C$5:$C$64,"ant",Pipeline!$Q$5:$Q$64,1,Pipeline!$P$5:$P$64,2024)</f>
        <v>0</v>
      </c>
      <c r="F219" s="24" t="n">
        <f aca="false">SUMIFS(Pipeline!$L$5:$L$64,Pipeline!$C$5:$C$64,"ant",Pipeline!$Q$5:$Q$64,1,Pipeline!$P$5:$P$64,2025)</f>
        <v>0</v>
      </c>
      <c r="G219" s="24" t="n">
        <f aca="false">SUMIFS(Pipeline!$L$5:$L$64,Pipeline!$C$5:$C$64,"ant",Pipeline!$Q$5:$Q$64,1,Pipeline!$P$5:$P$64,2026)</f>
        <v>0</v>
      </c>
      <c r="H219" s="24" t="n">
        <f aca="false">SUMIFS(Pipeline!$L$5:$L$64,Pipeline!$C$5:$C$64,"ant",Pipeline!$Q$5:$Q$64,1,Pipeline!$P$5:$P$64,2027)</f>
        <v>0</v>
      </c>
      <c r="I219" s="24" t="n">
        <f aca="false">SUMIFS(Pipeline!$L$5:$L$64,Pipeline!$C$5:$C$64,"ant",Pipeline!$Q$5:$Q$64,1,Pipeline!$P$5:$P$64,2028)</f>
        <v>0</v>
      </c>
      <c r="J219" s="24" t="n">
        <f aca="false">SUMIFS(Pipeline!$L$5:$L$64,Pipeline!$C$5:$C$64,"ant",Pipeline!$Q$5:$Q$64,1,Pipeline!$P$5:$P$64,2029)</f>
        <v>0</v>
      </c>
      <c r="K219" s="24" t="n">
        <f aca="false">SUMIFS(Pipeline!$L$5:$L$64,Pipeline!$C$5:$C$64,"ant",Pipeline!$Q$5:$Q$64,1,Pipeline!$P$5:$P$64,2030)</f>
        <v>0</v>
      </c>
      <c r="L219" s="24" t="n">
        <f aca="false">SUMIFS(Pipeline!$L$5:$L$64,Pipeline!$C$5:$C$64,"ant",Pipeline!$Q$5:$Q$64,1,Pipeline!$P$5:$P$64,2031)</f>
        <v>0</v>
      </c>
      <c r="M219" s="24" t="n">
        <f aca="false">SUMIFS(Pipeline!$L$5:$L$64,Pipeline!$C$5:$C$64,"ant",Pipeline!$Q$5:$Q$64,1,Pipeline!$P$5:$P$64,2032)</f>
        <v>0</v>
      </c>
    </row>
    <row r="220" customFormat="false" ht="17.15" hidden="false" customHeight="false" outlineLevel="0" collapsed="false">
      <c r="A220" s="5" t="s">
        <v>982</v>
      </c>
      <c r="B220" s="0" t="s">
        <v>1182</v>
      </c>
      <c r="C220" s="0" t="s">
        <v>77</v>
      </c>
      <c r="D220" s="25" t="str">
        <f aca="false">IF(D214&lt;&gt;"",D214,IF(AND(D215&lt;&gt;"",D217&lt;&gt;""),D215+(D217-D215)*(2023-D216)/(D218-D216),""))</f>
        <v/>
      </c>
      <c r="E220" s="25" t="str">
        <f aca="false">IF(E214&lt;&gt;"",E214,IF(AND(E215&lt;&gt;"",E217&lt;&gt;""),E215+(E217-E215)*(2024-E216)/(E218-E216),IF(D220&lt;&gt;"",D220+E219,"")))</f>
        <v/>
      </c>
      <c r="F220" s="25" t="n">
        <f aca="false">IF(F214&lt;&gt;"",F214,IF(AND(F215&lt;&gt;"",F217&lt;&gt;""),F215+(F217-F215)*(2025-F216)/(F218-F216),IF(E220&lt;&gt;"",E220+F219,"")))</f>
        <v>0</v>
      </c>
      <c r="G220" s="25" t="n">
        <f aca="false">IF(G214&lt;&gt;"",G214,IF(AND(G215&lt;&gt;"",G217&lt;&gt;""),G215+(G217-G215)*(2026-G216)/(G218-G216),IF(F220&lt;&gt;"",F220+G219,"")))</f>
        <v>0</v>
      </c>
      <c r="H220" s="25" t="n">
        <f aca="false">IF(H214&lt;&gt;"",H214,IF(AND(H215&lt;&gt;"",H217&lt;&gt;""),H215+(H217-H215)*(2027-H216)/(H218-H216),IF(G220&lt;&gt;"",G220+H219,"")))</f>
        <v>0</v>
      </c>
      <c r="I220" s="25" t="n">
        <f aca="false">IF(I214&lt;&gt;"",I214,IF(AND(I215&lt;&gt;"",I217&lt;&gt;""),I215+(I217-I215)*(2028-I216)/(I218-I216),IF(H220&lt;&gt;"",H220+I219,"")))</f>
        <v>0</v>
      </c>
      <c r="J220" s="25" t="n">
        <f aca="false">IF(J214&lt;&gt;"",J214,IF(AND(J215&lt;&gt;"",J217&lt;&gt;""),J215+(J217-J215)*(2029-J216)/(J218-J216),IF(I220&lt;&gt;"",I220+J219,"")))</f>
        <v>0</v>
      </c>
      <c r="K220" s="25" t="n">
        <f aca="false">IF(K214&lt;&gt;"",K214,IF(AND(K215&lt;&gt;"",K217&lt;&gt;""),K215+(K217-K215)*(2030-K216)/(K218-K216),IF(J220&lt;&gt;"",J220+K219,"")))</f>
        <v>0</v>
      </c>
      <c r="L220" s="25" t="n">
        <f aca="false">IF(L214&lt;&gt;"",L214,IF(AND(L215&lt;&gt;"",L217&lt;&gt;""),L215+(L217-L215)*(2031-L216)/(L218-L216),IF(K220&lt;&gt;"",K220+L219,"")))</f>
        <v>0</v>
      </c>
      <c r="M220" s="25" t="n">
        <f aca="false">IF(M214&lt;&gt;"",M214,IF(AND(M215&lt;&gt;"",M217&lt;&gt;""),M215+(M217-M215)*(2032-M216)/(M218-M216),IF(L220&lt;&gt;"",L220+M219,"")))</f>
        <v>0</v>
      </c>
    </row>
    <row r="221" customFormat="false" ht="15" hidden="false" customHeight="false" outlineLevel="0" collapsed="false">
      <c r="A221" s="5" t="s">
        <v>984</v>
      </c>
      <c r="B221" s="0" t="s">
        <v>1183</v>
      </c>
      <c r="C221" s="0" t="s">
        <v>35</v>
      </c>
      <c r="D221" s="0" t="n">
        <f aca="false">IF(D212&lt;&gt;"",1,IF(D213&lt;&gt;"",5,IF(D214&lt;&gt;"",2,IF(AND(D215&lt;&gt;"",D217&lt;&gt;""),3,IF(D220&lt;&gt;"",4,0)))))</f>
        <v>0</v>
      </c>
      <c r="E221" s="0" t="n">
        <f aca="false">IF(E212&lt;&gt;"",1,IF(E213&lt;&gt;"",5,IF(E214&lt;&gt;"",2,IF(AND(E215&lt;&gt;"",E217&lt;&gt;""),3,IF(E220&lt;&gt;"",4,0)))))</f>
        <v>0</v>
      </c>
      <c r="F221" s="0" t="n">
        <f aca="false">IF(F212&lt;&gt;"",1,IF(F213&lt;&gt;"",5,IF(F214&lt;&gt;"",2,IF(AND(F215&lt;&gt;"",F217&lt;&gt;""),3,IF(F220&lt;&gt;"",4,0)))))</f>
        <v>1</v>
      </c>
      <c r="G221" s="0" t="n">
        <f aca="false">IF(G212&lt;&gt;"",1,IF(G213&lt;&gt;"",5,IF(G214&lt;&gt;"",2,IF(AND(G215&lt;&gt;"",G217&lt;&gt;""),3,IF(G220&lt;&gt;"",4,0)))))</f>
        <v>4</v>
      </c>
      <c r="H221" s="0" t="n">
        <f aca="false">IF(H212&lt;&gt;"",1,IF(H213&lt;&gt;"",5,IF(H214&lt;&gt;"",2,IF(AND(H215&lt;&gt;"",H217&lt;&gt;""),3,IF(H220&lt;&gt;"",4,0)))))</f>
        <v>4</v>
      </c>
      <c r="I221" s="0" t="n">
        <f aca="false">IF(I212&lt;&gt;"",1,IF(I213&lt;&gt;"",5,IF(I214&lt;&gt;"",2,IF(AND(I215&lt;&gt;"",I217&lt;&gt;""),3,IF(I220&lt;&gt;"",4,0)))))</f>
        <v>4</v>
      </c>
      <c r="J221" s="0" t="n">
        <f aca="false">IF(J212&lt;&gt;"",1,IF(J213&lt;&gt;"",5,IF(J214&lt;&gt;"",2,IF(AND(J215&lt;&gt;"",J217&lt;&gt;""),3,IF(J220&lt;&gt;"",4,0)))))</f>
        <v>4</v>
      </c>
      <c r="K221" s="0" t="n">
        <f aca="false">IF(K212&lt;&gt;"",1,IF(K213&lt;&gt;"",5,IF(K214&lt;&gt;"",2,IF(AND(K215&lt;&gt;"",K217&lt;&gt;""),3,IF(K220&lt;&gt;"",4,0)))))</f>
        <v>4</v>
      </c>
      <c r="L221" s="0" t="n">
        <f aca="false">IF(L212&lt;&gt;"",1,IF(L213&lt;&gt;"",5,IF(L214&lt;&gt;"",2,IF(AND(L215&lt;&gt;"",L217&lt;&gt;""),3,IF(L220&lt;&gt;"",4,0)))))</f>
        <v>4</v>
      </c>
      <c r="M221" s="0" t="n">
        <f aca="false">IF(M212&lt;&gt;"",1,IF(M213&lt;&gt;"",5,IF(M214&lt;&gt;"",2,IF(AND(M215&lt;&gt;"",M217&lt;&gt;""),3,IF(M220&lt;&gt;"",4,0)))))</f>
        <v>4</v>
      </c>
    </row>
    <row r="222" customFormat="false" ht="17.15" hidden="false" customHeight="false" outlineLevel="0" collapsed="false">
      <c r="A222" s="5" t="s">
        <v>986</v>
      </c>
      <c r="B222" s="0" t="s">
        <v>1184</v>
      </c>
      <c r="C222" s="0" t="s">
        <v>77</v>
      </c>
      <c r="D222" s="24" t="str">
        <f aca="false">IF(D220="","",D220)</f>
        <v/>
      </c>
      <c r="E222" s="24" t="str">
        <f aca="false">IF(E220="","",E220)</f>
        <v/>
      </c>
      <c r="F222" s="24" t="n">
        <f aca="false">IF(F220="","",F220)</f>
        <v>0</v>
      </c>
      <c r="G222" s="24" t="n">
        <f aca="false">IF(G220="","",G220)</f>
        <v>0</v>
      </c>
      <c r="H222" s="24" t="n">
        <f aca="false">IF(H220="","",H220)</f>
        <v>0</v>
      </c>
      <c r="I222" s="24" t="n">
        <f aca="false">IF(I220="","",I220)</f>
        <v>0</v>
      </c>
      <c r="J222" s="24" t="n">
        <f aca="false">IF(J220="","",J220)</f>
        <v>0</v>
      </c>
      <c r="K222" s="24" t="n">
        <f aca="false">IF(K220="","",K220)</f>
        <v>0</v>
      </c>
      <c r="L222" s="24" t="n">
        <f aca="false">IF(L220="","",L220)</f>
        <v>0</v>
      </c>
      <c r="M222" s="24" t="n">
        <f aca="false">IF(M220="","",M220)</f>
        <v>0</v>
      </c>
    </row>
    <row r="223" customFormat="false" ht="17.15" hidden="false" customHeight="false" outlineLevel="0" collapsed="false">
      <c r="A223" s="5" t="s">
        <v>988</v>
      </c>
      <c r="B223" s="0" t="s">
        <v>1185</v>
      </c>
      <c r="C223" s="0" t="s">
        <v>77</v>
      </c>
      <c r="D223" s="24" t="str">
        <f aca="false">IF(D220="","",D220)</f>
        <v/>
      </c>
      <c r="E223" s="24" t="str">
        <f aca="false">IF(E220="","",E220)</f>
        <v/>
      </c>
      <c r="F223" s="24" t="n">
        <f aca="false">IF(F220="","",F220)</f>
        <v>0</v>
      </c>
      <c r="G223" s="24" t="n">
        <f aca="false">IF(G220="","",G220)</f>
        <v>0</v>
      </c>
      <c r="H223" s="24" t="n">
        <f aca="false">IF(H220="","",H220)</f>
        <v>0</v>
      </c>
      <c r="I223" s="24" t="n">
        <f aca="false">IF(I220="","",I220)</f>
        <v>0</v>
      </c>
      <c r="J223" s="24" t="n">
        <f aca="false">IF(J220="","",J220)</f>
        <v>0</v>
      </c>
      <c r="K223" s="24" t="n">
        <f aca="false">IF(K220="","",K220)</f>
        <v>0</v>
      </c>
      <c r="L223" s="24" t="n">
        <f aca="false">IF(L220="","",L220)</f>
        <v>0</v>
      </c>
      <c r="M223" s="24" t="n">
        <f aca="false">IF(M220="","",M220)</f>
        <v>0</v>
      </c>
    </row>
    <row r="224" customFormat="false" ht="17.15" hidden="false" customHeight="false" outlineLevel="0" collapsed="false">
      <c r="A224" s="5" t="s">
        <v>990</v>
      </c>
      <c r="B224" s="0" t="s">
        <v>1186</v>
      </c>
      <c r="C224" s="0" t="s">
        <v>77</v>
      </c>
      <c r="D224" s="24" t="str">
        <f aca="false">IF(D220="","",IF(In!$C$118="未說明",D220/D$13,D220))</f>
        <v/>
      </c>
      <c r="E224" s="24" t="str">
        <f aca="false">IF(E220="","",IF(In!$C$118="未說明",E220/E$13,E220))</f>
        <v/>
      </c>
      <c r="F224" s="24" t="n">
        <f aca="false">IF(F220="","",IF(In!$C$118="未說明",F220/F$13,F220))</f>
        <v>0</v>
      </c>
      <c r="G224" s="24" t="n">
        <f aca="false">IF(G220="","",IF(In!$C$118="未說明",G220/G$13,G220))</f>
        <v>0</v>
      </c>
      <c r="H224" s="24" t="n">
        <f aca="false">IF(H220="","",IF(In!$C$118="未說明",H220/H$13,H220))</f>
        <v>0</v>
      </c>
      <c r="I224" s="24" t="n">
        <f aca="false">IF(I220="","",IF(In!$C$118="未說明",I220/I$13,I220))</f>
        <v>0</v>
      </c>
      <c r="J224" s="24" t="n">
        <f aca="false">IF(J220="","",IF(In!$C$118="未說明",J220/J$13,J220))</f>
        <v>0</v>
      </c>
      <c r="K224" s="24" t="n">
        <f aca="false">IF(K220="","",IF(In!$C$118="未說明",K220/K$13,K220))</f>
        <v>0</v>
      </c>
      <c r="L224" s="24" t="n">
        <f aca="false">IF(L220="","",IF(In!$C$118="未說明",L220/L$13,L220))</f>
        <v>0</v>
      </c>
      <c r="M224" s="24" t="n">
        <f aca="false">IF(M220="","",IF(In!$C$118="未說明",M220/M$13,M220))</f>
        <v>0</v>
      </c>
    </row>
    <row r="225" customFormat="false" ht="17.15" hidden="false" customHeight="false" outlineLevel="0" collapsed="false">
      <c r="A225" s="5" t="s">
        <v>992</v>
      </c>
      <c r="B225" s="0" t="s">
        <v>1187</v>
      </c>
      <c r="C225" s="0" t="s">
        <v>77</v>
      </c>
      <c r="D225" s="0" t="str">
        <f aca="false">""</f>
        <v/>
      </c>
      <c r="E225" s="24" t="str">
        <f aca="false">IF(AND(D220&lt;&gt;"",E220&lt;&gt;""),(D220+E220)/2,"")</f>
        <v/>
      </c>
      <c r="F225" s="24" t="str">
        <f aca="false">IF(AND(E220&lt;&gt;"",F220&lt;&gt;""),(E220+F220)/2,"")</f>
        <v/>
      </c>
      <c r="G225" s="24" t="n">
        <f aca="false">IF(AND(F220&lt;&gt;"",G220&lt;&gt;""),(F220+G220)/2,"")</f>
        <v>0</v>
      </c>
      <c r="H225" s="24" t="n">
        <f aca="false">IF(AND(G220&lt;&gt;"",H220&lt;&gt;""),(G220+H220)/2,"")</f>
        <v>0</v>
      </c>
      <c r="I225" s="24" t="n">
        <f aca="false">IF(AND(H220&lt;&gt;"",I220&lt;&gt;""),(H220+I220)/2,"")</f>
        <v>0</v>
      </c>
      <c r="J225" s="24" t="n">
        <f aca="false">IF(AND(I220&lt;&gt;"",J220&lt;&gt;""),(I220+J220)/2,"")</f>
        <v>0</v>
      </c>
      <c r="K225" s="24" t="n">
        <f aca="false">IF(AND(J220&lt;&gt;"",K220&lt;&gt;""),(J220+K220)/2,"")</f>
        <v>0</v>
      </c>
      <c r="L225" s="24" t="n">
        <f aca="false">IF(AND(K220&lt;&gt;"",L220&lt;&gt;""),(K220+L220)/2,"")</f>
        <v>0</v>
      </c>
      <c r="M225" s="24" t="n">
        <f aca="false">IF(AND(L220&lt;&gt;"",M220&lt;&gt;""),(L220+M220)/2,"")</f>
        <v>0</v>
      </c>
    </row>
    <row r="226" customFormat="false" ht="17.15" hidden="false" customHeight="false" outlineLevel="0" collapsed="false">
      <c r="A226" s="5" t="s">
        <v>994</v>
      </c>
      <c r="B226" s="0" t="s">
        <v>1188</v>
      </c>
      <c r="C226" s="0" t="s">
        <v>77</v>
      </c>
      <c r="D226" s="0" t="n">
        <v>0</v>
      </c>
      <c r="E226" s="24" t="n">
        <f aca="false">IF(AND(D220&lt;&gt;"",E220&lt;&gt;""),E220-D220,0)</f>
        <v>0</v>
      </c>
      <c r="F226" s="24" t="n">
        <f aca="false">IF(AND(E220&lt;&gt;"",F220&lt;&gt;""),F220-E220,0)</f>
        <v>0</v>
      </c>
      <c r="G226" s="24" t="n">
        <f aca="false">IF(AND(F220&lt;&gt;"",G220&lt;&gt;""),G220-F220,0)</f>
        <v>0</v>
      </c>
      <c r="H226" s="24" t="n">
        <f aca="false">IF(AND(G220&lt;&gt;"",H220&lt;&gt;""),H220-G220,0)</f>
        <v>0</v>
      </c>
      <c r="I226" s="24" t="n">
        <f aca="false">IF(AND(H220&lt;&gt;"",I220&lt;&gt;""),I220-H220,0)</f>
        <v>0</v>
      </c>
      <c r="J226" s="24" t="n">
        <f aca="false">IF(AND(I220&lt;&gt;"",J220&lt;&gt;""),J220-I220,0)</f>
        <v>0</v>
      </c>
      <c r="K226" s="24" t="n">
        <f aca="false">IF(AND(J220&lt;&gt;"",K220&lt;&gt;""),K220-J220,0)</f>
        <v>0</v>
      </c>
      <c r="L226" s="24" t="n">
        <f aca="false">IF(AND(K220&lt;&gt;"",L220&lt;&gt;""),L220-K220,0)</f>
        <v>0</v>
      </c>
      <c r="M226" s="24" t="n">
        <f aca="false">IF(AND(L220&lt;&gt;"",M220&lt;&gt;""),M220-L220,0)</f>
        <v>0</v>
      </c>
    </row>
    <row r="227" customFormat="false" ht="17.15" hidden="false" customHeight="false" outlineLevel="0" collapsed="false">
      <c r="A227" s="5" t="s">
        <v>996</v>
      </c>
      <c r="B227" s="0" t="s">
        <v>1189</v>
      </c>
      <c r="C227" s="0" t="s">
        <v>77</v>
      </c>
      <c r="D227" s="24" t="n">
        <f aca="false">IF(D220&lt;&gt;"",D220,0)</f>
        <v>0</v>
      </c>
      <c r="E227" s="24" t="n">
        <f aca="false">IF(AND(D220="",E220&lt;&gt;""),E220,0)</f>
        <v>0</v>
      </c>
      <c r="F227" s="24" t="n">
        <f aca="false">IF(AND(E220="",F220&lt;&gt;""),F220,0)</f>
        <v>0</v>
      </c>
      <c r="G227" s="24" t="n">
        <f aca="false">IF(AND(F220="",G220&lt;&gt;""),G220,0)</f>
        <v>0</v>
      </c>
      <c r="H227" s="24" t="n">
        <f aca="false">IF(AND(G220="",H220&lt;&gt;""),H220,0)</f>
        <v>0</v>
      </c>
      <c r="I227" s="24" t="n">
        <f aca="false">IF(AND(H220="",I220&lt;&gt;""),I220,0)</f>
        <v>0</v>
      </c>
      <c r="J227" s="24" t="n">
        <f aca="false">IF(AND(I220="",J220&lt;&gt;""),J220,0)</f>
        <v>0</v>
      </c>
      <c r="K227" s="24" t="n">
        <f aca="false">IF(AND(J220="",K220&lt;&gt;""),K220,0)</f>
        <v>0</v>
      </c>
      <c r="L227" s="24" t="n">
        <f aca="false">IF(AND(K220="",L220&lt;&gt;""),L220,0)</f>
        <v>0</v>
      </c>
      <c r="M227" s="24" t="n">
        <f aca="false">IF(AND(L220="",M220&lt;&gt;""),M220,0)</f>
        <v>0</v>
      </c>
    </row>
    <row r="228" customFormat="false" ht="17.15" hidden="false" customHeight="false" outlineLevel="0" collapsed="false">
      <c r="A228" s="5" t="s">
        <v>998</v>
      </c>
      <c r="B228" s="0" t="s">
        <v>1190</v>
      </c>
      <c r="C228" s="0" t="s">
        <v>52</v>
      </c>
      <c r="D228" s="23" t="n">
        <f aca="false">D$12</f>
        <v>0.238210067173108</v>
      </c>
      <c r="E228" s="23" t="n">
        <f aca="false">E$12</f>
        <v>0.238210067173108</v>
      </c>
      <c r="F228" s="23" t="n">
        <f aca="false">F$12</f>
        <v>0.238210067173108</v>
      </c>
      <c r="G228" s="23" t="n">
        <f aca="false">G$12</f>
        <v>0.238210067173108</v>
      </c>
      <c r="H228" s="23" t="n">
        <f aca="false">H$12</f>
        <v>0.273101862203342</v>
      </c>
      <c r="I228" s="23" t="n">
        <f aca="false">I$12</f>
        <v>0.269621396123668</v>
      </c>
      <c r="J228" s="23" t="n">
        <f aca="false">J$12</f>
        <v>0.272187509408712</v>
      </c>
      <c r="K228" s="23" t="n">
        <f aca="false">K$12</f>
        <v>0.272187509408712</v>
      </c>
      <c r="L228" s="23" t="n">
        <f aca="false">L$12</f>
        <v>0.272187509408712</v>
      </c>
      <c r="M228" s="23" t="n">
        <f aca="false">M$12</f>
        <v>0.272187509408712</v>
      </c>
    </row>
    <row r="230" customFormat="false" ht="17.15" hidden="false" customHeight="false" outlineLevel="0" collapsed="false">
      <c r="A230" s="21" t="s">
        <v>1191</v>
      </c>
      <c r="B230" s="20" t="s">
        <v>545</v>
      </c>
      <c r="N230" s="20" t="s">
        <v>1192</v>
      </c>
    </row>
    <row r="231" customFormat="false" ht="17.15" hidden="false" customHeight="false" outlineLevel="0" collapsed="false">
      <c r="A231" s="5" t="s">
        <v>966</v>
      </c>
      <c r="B231" s="0" t="s">
        <v>1193</v>
      </c>
      <c r="C231" s="0" t="s">
        <v>77</v>
      </c>
      <c r="D231" s="24" t="str">
        <f aca="false">IF(In!$H$119="","",IF(In!$C$119="設施",In!$H$119/1000/D$13,In!$H$119/1000))</f>
        <v/>
      </c>
      <c r="E231" s="24" t="n">
        <f aca="false">IF(In!$I$119="","",IF(In!$C$119="設施",In!$I$119/1000/E$13,In!$I$119/1000))</f>
        <v>0.2</v>
      </c>
      <c r="F231" s="24" t="n">
        <f aca="false">IF(In!$J$119="","",IF(In!$C$119="設施",In!$J$119/1000/F$13,In!$J$119/1000))</f>
        <v>0.5</v>
      </c>
      <c r="G231" s="24" t="n">
        <f aca="false">IF(In!$K$119="","",IF(In!$C$119="設施",In!$K$119/1000/G$13,In!$K$119/1000))</f>
        <v>1.3</v>
      </c>
      <c r="H231" s="24" t="str">
        <f aca="false">IF(In!$L$119="","",IF(In!$C$119="設施",In!$L$119/1000/H$13,In!$L$119/1000))</f>
        <v/>
      </c>
      <c r="I231" s="24" t="str">
        <f aca="false">IF(In!$M$119="","",IF(In!$C$119="設施",In!$M$119/1000/I$13,In!$M$119/1000))</f>
        <v/>
      </c>
      <c r="J231" s="24" t="str">
        <f aca="false">IF(In!$N$119="","",IF(In!$C$119="設施",In!$N$119/1000/J$13,In!$N$119/1000))</f>
        <v/>
      </c>
      <c r="K231" s="24" t="str">
        <f aca="false">IF(In!$O$119="","",IF(In!$C$119="設施",In!$O$119/1000/K$13,In!$O$119/1000))</f>
        <v/>
      </c>
      <c r="L231" s="24" t="str">
        <f aca="false">IF(In!$P$119="","",IF(In!$C$119="設施",In!$P$119/1000/L$13,In!$P$119/1000))</f>
        <v/>
      </c>
      <c r="M231" s="24" t="str">
        <f aca="false">IF(In!$Q$119="","",IF(In!$C$119="設施",In!$Q$119/1000/M$13,In!$Q$119/1000))</f>
        <v/>
      </c>
    </row>
    <row r="232" customFormat="false" ht="17.15" hidden="false" customHeight="false" outlineLevel="0" collapsed="false">
      <c r="A232" s="5" t="s">
        <v>968</v>
      </c>
      <c r="B232" s="0" t="s">
        <v>1194</v>
      </c>
      <c r="C232" s="0" t="s">
        <v>77</v>
      </c>
      <c r="D232" s="0" t="str">
        <f aca="false">""</f>
        <v/>
      </c>
      <c r="E232" s="0" t="str">
        <f aca="false">""</f>
        <v/>
      </c>
      <c r="F232" s="0" t="str">
        <f aca="false">""</f>
        <v/>
      </c>
      <c r="G232" s="0" t="str">
        <f aca="false">""</f>
        <v/>
      </c>
      <c r="H232" s="0" t="str">
        <f aca="false">""</f>
        <v/>
      </c>
      <c r="I232" s="0" t="str">
        <f aca="false">""</f>
        <v/>
      </c>
      <c r="J232" s="0" t="str">
        <f aca="false">""</f>
        <v/>
      </c>
      <c r="K232" s="0" t="str">
        <f aca="false">""</f>
        <v/>
      </c>
      <c r="L232" s="0" t="str">
        <f aca="false">""</f>
        <v/>
      </c>
      <c r="M232" s="0" t="str">
        <f aca="false">""</f>
        <v/>
      </c>
    </row>
    <row r="233" customFormat="false" ht="15" hidden="false" customHeight="false" outlineLevel="0" collapsed="false">
      <c r="A233" s="5" t="s">
        <v>970</v>
      </c>
      <c r="B233" s="0" t="s">
        <v>1195</v>
      </c>
      <c r="C233" s="0" t="s">
        <v>77</v>
      </c>
      <c r="D233" s="0" t="str">
        <f aca="false">IF(D231&lt;&gt;"",D231,IF(D232&lt;&gt;"",D232,""))</f>
        <v/>
      </c>
      <c r="E233" s="24" t="n">
        <f aca="false">IF(E231&lt;&gt;"",E231,IF(E232&lt;&gt;"",E232,""))</f>
        <v>0.2</v>
      </c>
      <c r="F233" s="24" t="n">
        <f aca="false">IF(F231&lt;&gt;"",F231,IF(F232&lt;&gt;"",F232,""))</f>
        <v>0.5</v>
      </c>
      <c r="G233" s="24" t="n">
        <f aca="false">IF(G231&lt;&gt;"",G231,IF(G232&lt;&gt;"",G232,""))</f>
        <v>1.3</v>
      </c>
      <c r="H233" s="0" t="str">
        <f aca="false">IF(H231&lt;&gt;"",H231,IF(H232&lt;&gt;"",H232,""))</f>
        <v/>
      </c>
      <c r="I233" s="0" t="str">
        <f aca="false">IF(I231&lt;&gt;"",I231,IF(I232&lt;&gt;"",I232,""))</f>
        <v/>
      </c>
      <c r="J233" s="0" t="str">
        <f aca="false">IF(J231&lt;&gt;"",J231,IF(J232&lt;&gt;"",J232,""))</f>
        <v/>
      </c>
      <c r="K233" s="0" t="str">
        <f aca="false">IF(K231&lt;&gt;"",K231,IF(K232&lt;&gt;"",K232,""))</f>
        <v/>
      </c>
      <c r="L233" s="0" t="str">
        <f aca="false">IF(L231&lt;&gt;"",L231,IF(L232&lt;&gt;"",L232,""))</f>
        <v/>
      </c>
      <c r="M233" s="0" t="str">
        <f aca="false">IF(M231&lt;&gt;"",M231,IF(M232&lt;&gt;"",M232,""))</f>
        <v/>
      </c>
    </row>
    <row r="234" customFormat="false" ht="15" hidden="false" customHeight="false" outlineLevel="0" collapsed="false">
      <c r="A234" s="5" t="s">
        <v>972</v>
      </c>
      <c r="B234" s="0" t="s">
        <v>1196</v>
      </c>
      <c r="C234" s="0" t="s">
        <v>77</v>
      </c>
      <c r="D234" s="0" t="str">
        <f aca="false">IF(D233&lt;&gt;"",D233,"")</f>
        <v/>
      </c>
      <c r="E234" s="24" t="n">
        <f aca="false">IF(E233&lt;&gt;"",E233,D234)</f>
        <v>0.2</v>
      </c>
      <c r="F234" s="24" t="n">
        <f aca="false">IF(F233&lt;&gt;"",F233,E234)</f>
        <v>0.5</v>
      </c>
      <c r="G234" s="24" t="n">
        <f aca="false">IF(G233&lt;&gt;"",G233,F234)</f>
        <v>1.3</v>
      </c>
      <c r="H234" s="24" t="n">
        <f aca="false">IF(H233&lt;&gt;"",H233,G234)</f>
        <v>1.3</v>
      </c>
      <c r="I234" s="24" t="n">
        <f aca="false">IF(I233&lt;&gt;"",I233,H234)</f>
        <v>1.3</v>
      </c>
      <c r="J234" s="24" t="n">
        <f aca="false">IF(J233&lt;&gt;"",J233,I234)</f>
        <v>1.3</v>
      </c>
      <c r="K234" s="24" t="n">
        <f aca="false">IF(K233&lt;&gt;"",K233,J234)</f>
        <v>1.3</v>
      </c>
      <c r="L234" s="24" t="n">
        <f aca="false">IF(L233&lt;&gt;"",L233,K234)</f>
        <v>1.3</v>
      </c>
      <c r="M234" s="24" t="n">
        <f aca="false">IF(M233&lt;&gt;"",M233,L234)</f>
        <v>1.3</v>
      </c>
    </row>
    <row r="235" customFormat="false" ht="15" hidden="false" customHeight="false" outlineLevel="0" collapsed="false">
      <c r="A235" s="5" t="s">
        <v>974</v>
      </c>
      <c r="B235" s="0" t="s">
        <v>1197</v>
      </c>
      <c r="C235" s="5" t="s">
        <v>47</v>
      </c>
      <c r="D235" s="0" t="str">
        <f aca="false">IF(D233&lt;&gt;"",2023,"")</f>
        <v/>
      </c>
      <c r="E235" s="0" t="n">
        <f aca="false">IF(E233&lt;&gt;"",2024,D235)</f>
        <v>2024</v>
      </c>
      <c r="F235" s="0" t="n">
        <f aca="false">IF(F233&lt;&gt;"",2025,E235)</f>
        <v>2025</v>
      </c>
      <c r="G235" s="0" t="n">
        <f aca="false">IF(G233&lt;&gt;"",2026,F235)</f>
        <v>2026</v>
      </c>
      <c r="H235" s="0" t="n">
        <f aca="false">IF(H233&lt;&gt;"",2027,G235)</f>
        <v>2026</v>
      </c>
      <c r="I235" s="0" t="n">
        <f aca="false">IF(I233&lt;&gt;"",2028,H235)</f>
        <v>2026</v>
      </c>
      <c r="J235" s="0" t="n">
        <f aca="false">IF(J233&lt;&gt;"",2029,I235)</f>
        <v>2026</v>
      </c>
      <c r="K235" s="0" t="n">
        <f aca="false">IF(K233&lt;&gt;"",2030,J235)</f>
        <v>2026</v>
      </c>
      <c r="L235" s="0" t="n">
        <f aca="false">IF(L233&lt;&gt;"",2031,K235)</f>
        <v>2026</v>
      </c>
      <c r="M235" s="0" t="n">
        <f aca="false">IF(M233&lt;&gt;"",2032,L235)</f>
        <v>2026</v>
      </c>
    </row>
    <row r="236" customFormat="false" ht="15" hidden="false" customHeight="false" outlineLevel="0" collapsed="false">
      <c r="A236" s="5" t="s">
        <v>976</v>
      </c>
      <c r="B236" s="0" t="s">
        <v>1198</v>
      </c>
      <c r="C236" s="0" t="s">
        <v>77</v>
      </c>
      <c r="D236" s="24" t="n">
        <f aca="false">IF(D233&lt;&gt;"",D233,E236)</f>
        <v>0.2</v>
      </c>
      <c r="E236" s="24" t="n">
        <f aca="false">IF(E233&lt;&gt;"",E233,F236)</f>
        <v>0.2</v>
      </c>
      <c r="F236" s="24" t="n">
        <f aca="false">IF(F233&lt;&gt;"",F233,G236)</f>
        <v>0.5</v>
      </c>
      <c r="G236" s="24" t="n">
        <f aca="false">IF(G233&lt;&gt;"",G233,H236)</f>
        <v>1.3</v>
      </c>
      <c r="H236" s="0" t="str">
        <f aca="false">IF(H233&lt;&gt;"",H233,I236)</f>
        <v/>
      </c>
      <c r="I236" s="0" t="str">
        <f aca="false">IF(I233&lt;&gt;"",I233,J236)</f>
        <v/>
      </c>
      <c r="J236" s="0" t="str">
        <f aca="false">IF(J233&lt;&gt;"",J233,K236)</f>
        <v/>
      </c>
      <c r="K236" s="0" t="str">
        <f aca="false">IF(K233&lt;&gt;"",K233,L236)</f>
        <v/>
      </c>
      <c r="L236" s="0" t="str">
        <f aca="false">IF(L233&lt;&gt;"",L233,M236)</f>
        <v/>
      </c>
      <c r="M236" s="0" t="str">
        <f aca="false">IF(M233&lt;&gt;"",M233,"")</f>
        <v/>
      </c>
    </row>
    <row r="237" customFormat="false" ht="15" hidden="false" customHeight="false" outlineLevel="0" collapsed="false">
      <c r="A237" s="5" t="s">
        <v>978</v>
      </c>
      <c r="B237" s="0" t="s">
        <v>1199</v>
      </c>
      <c r="C237" s="5" t="s">
        <v>47</v>
      </c>
      <c r="D237" s="0" t="n">
        <f aca="false">IF(D233&lt;&gt;"",2023,E237)</f>
        <v>2024</v>
      </c>
      <c r="E237" s="0" t="n">
        <f aca="false">IF(E233&lt;&gt;"",2024,F237)</f>
        <v>2024</v>
      </c>
      <c r="F237" s="0" t="n">
        <f aca="false">IF(F233&lt;&gt;"",2025,G237)</f>
        <v>2025</v>
      </c>
      <c r="G237" s="0" t="n">
        <f aca="false">IF(G233&lt;&gt;"",2026,H237)</f>
        <v>2026</v>
      </c>
      <c r="H237" s="0" t="str">
        <f aca="false">IF(H233&lt;&gt;"",2027,I237)</f>
        <v/>
      </c>
      <c r="I237" s="0" t="str">
        <f aca="false">IF(I233&lt;&gt;"",2028,J237)</f>
        <v/>
      </c>
      <c r="J237" s="0" t="str">
        <f aca="false">IF(J233&lt;&gt;"",2029,K237)</f>
        <v/>
      </c>
      <c r="K237" s="0" t="str">
        <f aca="false">IF(K233&lt;&gt;"",2030,L237)</f>
        <v/>
      </c>
      <c r="L237" s="0" t="str">
        <f aca="false">IF(L233&lt;&gt;"",2031,M237)</f>
        <v/>
      </c>
      <c r="M237" s="0" t="str">
        <f aca="false">IF(M233&lt;&gt;"",2032,"")</f>
        <v/>
      </c>
    </row>
    <row r="238" customFormat="false" ht="17.15" hidden="false" customHeight="false" outlineLevel="0" collapsed="false">
      <c r="A238" s="5" t="s">
        <v>980</v>
      </c>
      <c r="B238" s="0" t="s">
        <v>1200</v>
      </c>
      <c r="C238" s="0" t="s">
        <v>77</v>
      </c>
      <c r="D238" s="24" t="n">
        <f aca="false">SUMIFS(Pipeline!$L$5:$L$64,Pipeline!$C$5:$C$64,"neo",Pipeline!$Q$5:$Q$64,1,Pipeline!$P$5:$P$64,2023)</f>
        <v>0</v>
      </c>
      <c r="E238" s="24" t="n">
        <f aca="false">SUMIFS(Pipeline!$L$5:$L$64,Pipeline!$C$5:$C$64,"neo",Pipeline!$Q$5:$Q$64,1,Pipeline!$P$5:$P$64,2024)</f>
        <v>0</v>
      </c>
      <c r="F238" s="24" t="n">
        <f aca="false">SUMIFS(Pipeline!$L$5:$L$64,Pipeline!$C$5:$C$64,"neo",Pipeline!$Q$5:$Q$64,1,Pipeline!$P$5:$P$64,2025)</f>
        <v>0</v>
      </c>
      <c r="G238" s="24" t="n">
        <f aca="false">SUMIFS(Pipeline!$L$5:$L$64,Pipeline!$C$5:$C$64,"neo",Pipeline!$Q$5:$Q$64,1,Pipeline!$P$5:$P$64,2026)</f>
        <v>0.1</v>
      </c>
      <c r="H238" s="24" t="n">
        <f aca="false">SUMIFS(Pipeline!$L$5:$L$64,Pipeline!$C$5:$C$64,"neo",Pipeline!$Q$5:$Q$64,1,Pipeline!$P$5:$P$64,2027)</f>
        <v>1.107</v>
      </c>
      <c r="I238" s="24" t="n">
        <f aca="false">SUMIFS(Pipeline!$L$5:$L$64,Pipeline!$C$5:$C$64,"neo",Pipeline!$Q$5:$Q$64,1,Pipeline!$P$5:$P$64,2028)</f>
        <v>1.903</v>
      </c>
      <c r="J238" s="24" t="n">
        <f aca="false">SUMIFS(Pipeline!$L$5:$L$64,Pipeline!$C$5:$C$64,"neo",Pipeline!$Q$5:$Q$64,1,Pipeline!$P$5:$P$64,2029)</f>
        <v>0</v>
      </c>
      <c r="K238" s="24" t="n">
        <f aca="false">SUMIFS(Pipeline!$L$5:$L$64,Pipeline!$C$5:$C$64,"neo",Pipeline!$Q$5:$Q$64,1,Pipeline!$P$5:$P$64,2030)</f>
        <v>0</v>
      </c>
      <c r="L238" s="24" t="n">
        <f aca="false">SUMIFS(Pipeline!$L$5:$L$64,Pipeline!$C$5:$C$64,"neo",Pipeline!$Q$5:$Q$64,1,Pipeline!$P$5:$P$64,2031)</f>
        <v>0</v>
      </c>
      <c r="M238" s="24" t="n">
        <f aca="false">SUMIFS(Pipeline!$L$5:$L$64,Pipeline!$C$5:$C$64,"neo",Pipeline!$Q$5:$Q$64,1,Pipeline!$P$5:$P$64,2032)</f>
        <v>0</v>
      </c>
    </row>
    <row r="239" customFormat="false" ht="17.15" hidden="false" customHeight="false" outlineLevel="0" collapsed="false">
      <c r="A239" s="5" t="s">
        <v>982</v>
      </c>
      <c r="B239" s="0" t="s">
        <v>1201</v>
      </c>
      <c r="C239" s="0" t="s">
        <v>77</v>
      </c>
      <c r="D239" s="25" t="str">
        <f aca="false">IF(D233&lt;&gt;"",D233,IF(AND(D234&lt;&gt;"",D236&lt;&gt;""),D234+(D236-D234)*(2023-D235)/(D237-D235),""))</f>
        <v/>
      </c>
      <c r="E239" s="25" t="n">
        <f aca="false">IF(E233&lt;&gt;"",E233,IF(AND(E234&lt;&gt;"",E236&lt;&gt;""),E234+(E236-E234)*(2024-E235)/(E237-E235),IF(D239&lt;&gt;"",D239+E238,"")))</f>
        <v>0.2</v>
      </c>
      <c r="F239" s="25" t="n">
        <f aca="false">IF(F233&lt;&gt;"",F233,IF(AND(F234&lt;&gt;"",F236&lt;&gt;""),F234+(F236-F234)*(2025-F235)/(F237-F235),IF(E239&lt;&gt;"",E239+F238,"")))</f>
        <v>0.5</v>
      </c>
      <c r="G239" s="25" t="n">
        <f aca="false">IF(G233&lt;&gt;"",G233,IF(AND(G234&lt;&gt;"",G236&lt;&gt;""),G234+(G236-G234)*(2026-G235)/(G237-G235),IF(F239&lt;&gt;"",F239+G238,"")))</f>
        <v>1.3</v>
      </c>
      <c r="H239" s="25" t="n">
        <f aca="false">IF(H233&lt;&gt;"",H233,IF(AND(H234&lt;&gt;"",H236&lt;&gt;""),H234+(H236-H234)*(2027-H235)/(H237-H235),IF(G239&lt;&gt;"",G239+H238,"")))</f>
        <v>2.407</v>
      </c>
      <c r="I239" s="25" t="n">
        <f aca="false">IF(I233&lt;&gt;"",I233,IF(AND(I234&lt;&gt;"",I236&lt;&gt;""),I234+(I236-I234)*(2028-I235)/(I237-I235),IF(H239&lt;&gt;"",H239+I238,"")))</f>
        <v>4.31</v>
      </c>
      <c r="J239" s="25" t="n">
        <f aca="false">IF(J233&lt;&gt;"",J233,IF(AND(J234&lt;&gt;"",J236&lt;&gt;""),J234+(J236-J234)*(2029-J235)/(J237-J235),IF(I239&lt;&gt;"",I239+J238,"")))</f>
        <v>4.31</v>
      </c>
      <c r="K239" s="25" t="n">
        <f aca="false">IF(K233&lt;&gt;"",K233,IF(AND(K234&lt;&gt;"",K236&lt;&gt;""),K234+(K236-K234)*(2030-K235)/(K237-K235),IF(J239&lt;&gt;"",J239+K238,"")))</f>
        <v>4.31</v>
      </c>
      <c r="L239" s="25" t="n">
        <f aca="false">IF(L233&lt;&gt;"",L233,IF(AND(L234&lt;&gt;"",L236&lt;&gt;""),L234+(L236-L234)*(2031-L235)/(L237-L235),IF(K239&lt;&gt;"",K239+L238,"")))</f>
        <v>4.31</v>
      </c>
      <c r="M239" s="25" t="n">
        <f aca="false">IF(M233&lt;&gt;"",M233,IF(AND(M234&lt;&gt;"",M236&lt;&gt;""),M234+(M236-M234)*(2032-M235)/(M237-M235),IF(L239&lt;&gt;"",L239+M238,"")))</f>
        <v>4.31</v>
      </c>
    </row>
    <row r="240" customFormat="false" ht="15" hidden="false" customHeight="false" outlineLevel="0" collapsed="false">
      <c r="A240" s="5" t="s">
        <v>984</v>
      </c>
      <c r="B240" s="0" t="s">
        <v>1202</v>
      </c>
      <c r="C240" s="0" t="s">
        <v>35</v>
      </c>
      <c r="D240" s="0" t="n">
        <f aca="false">IF(D231&lt;&gt;"",1,IF(D232&lt;&gt;"",5,IF(D233&lt;&gt;"",2,IF(AND(D234&lt;&gt;"",D236&lt;&gt;""),3,IF(D239&lt;&gt;"",4,0)))))</f>
        <v>0</v>
      </c>
      <c r="E240" s="0" t="n">
        <f aca="false">IF(E231&lt;&gt;"",1,IF(E232&lt;&gt;"",5,IF(E233&lt;&gt;"",2,IF(AND(E234&lt;&gt;"",E236&lt;&gt;""),3,IF(E239&lt;&gt;"",4,0)))))</f>
        <v>1</v>
      </c>
      <c r="F240" s="0" t="n">
        <f aca="false">IF(F231&lt;&gt;"",1,IF(F232&lt;&gt;"",5,IF(F233&lt;&gt;"",2,IF(AND(F234&lt;&gt;"",F236&lt;&gt;""),3,IF(F239&lt;&gt;"",4,0)))))</f>
        <v>1</v>
      </c>
      <c r="G240" s="0" t="n">
        <f aca="false">IF(G231&lt;&gt;"",1,IF(G232&lt;&gt;"",5,IF(G233&lt;&gt;"",2,IF(AND(G234&lt;&gt;"",G236&lt;&gt;""),3,IF(G239&lt;&gt;"",4,0)))))</f>
        <v>1</v>
      </c>
      <c r="H240" s="0" t="n">
        <f aca="false">IF(H231&lt;&gt;"",1,IF(H232&lt;&gt;"",5,IF(H233&lt;&gt;"",2,IF(AND(H234&lt;&gt;"",H236&lt;&gt;""),3,IF(H239&lt;&gt;"",4,0)))))</f>
        <v>4</v>
      </c>
      <c r="I240" s="0" t="n">
        <f aca="false">IF(I231&lt;&gt;"",1,IF(I232&lt;&gt;"",5,IF(I233&lt;&gt;"",2,IF(AND(I234&lt;&gt;"",I236&lt;&gt;""),3,IF(I239&lt;&gt;"",4,0)))))</f>
        <v>4</v>
      </c>
      <c r="J240" s="0" t="n">
        <f aca="false">IF(J231&lt;&gt;"",1,IF(J232&lt;&gt;"",5,IF(J233&lt;&gt;"",2,IF(AND(J234&lt;&gt;"",J236&lt;&gt;""),3,IF(J239&lt;&gt;"",4,0)))))</f>
        <v>4</v>
      </c>
      <c r="K240" s="0" t="n">
        <f aca="false">IF(K231&lt;&gt;"",1,IF(K232&lt;&gt;"",5,IF(K233&lt;&gt;"",2,IF(AND(K234&lt;&gt;"",K236&lt;&gt;""),3,IF(K239&lt;&gt;"",4,0)))))</f>
        <v>4</v>
      </c>
      <c r="L240" s="0" t="n">
        <f aca="false">IF(L231&lt;&gt;"",1,IF(L232&lt;&gt;"",5,IF(L233&lt;&gt;"",2,IF(AND(L234&lt;&gt;"",L236&lt;&gt;""),3,IF(L239&lt;&gt;"",4,0)))))</f>
        <v>4</v>
      </c>
      <c r="M240" s="0" t="n">
        <f aca="false">IF(M231&lt;&gt;"",1,IF(M232&lt;&gt;"",5,IF(M233&lt;&gt;"",2,IF(AND(M234&lt;&gt;"",M236&lt;&gt;""),3,IF(M239&lt;&gt;"",4,0)))))</f>
        <v>4</v>
      </c>
    </row>
    <row r="241" customFormat="false" ht="17.15" hidden="false" customHeight="false" outlineLevel="0" collapsed="false">
      <c r="A241" s="5" t="s">
        <v>986</v>
      </c>
      <c r="B241" s="0" t="s">
        <v>1203</v>
      </c>
      <c r="C241" s="0" t="s">
        <v>77</v>
      </c>
      <c r="D241" s="24" t="str">
        <f aca="false">IF(D239="","",D239)</f>
        <v/>
      </c>
      <c r="E241" s="24" t="n">
        <f aca="false">IF(E239="","",E239)</f>
        <v>0.2</v>
      </c>
      <c r="F241" s="24" t="n">
        <f aca="false">IF(F239="","",rng25_neo_lo/1000)</f>
        <v>0.3</v>
      </c>
      <c r="G241" s="24" t="n">
        <f aca="false">IF(G239="","",G239)</f>
        <v>1.3</v>
      </c>
      <c r="H241" s="24" t="n">
        <f aca="false">IF(H239="","",H239)</f>
        <v>2.407</v>
      </c>
      <c r="I241" s="24" t="n">
        <f aca="false">IF(I239="","",I239)</f>
        <v>4.31</v>
      </c>
      <c r="J241" s="24" t="n">
        <f aca="false">IF(J239="","",J239)</f>
        <v>4.31</v>
      </c>
      <c r="K241" s="24" t="n">
        <f aca="false">IF(K239="","",K239)</f>
        <v>4.31</v>
      </c>
      <c r="L241" s="24" t="n">
        <f aca="false">IF(L239="","",L239)</f>
        <v>4.31</v>
      </c>
      <c r="M241" s="24" t="n">
        <f aca="false">IF(M239="","",M239)</f>
        <v>4.31</v>
      </c>
    </row>
    <row r="242" customFormat="false" ht="17.15" hidden="false" customHeight="false" outlineLevel="0" collapsed="false">
      <c r="A242" s="5" t="s">
        <v>988</v>
      </c>
      <c r="B242" s="0" t="s">
        <v>1204</v>
      </c>
      <c r="C242" s="0" t="s">
        <v>77</v>
      </c>
      <c r="D242" s="24" t="str">
        <f aca="false">IF(D239="","",D239)</f>
        <v/>
      </c>
      <c r="E242" s="24" t="n">
        <f aca="false">IF(E239="","",E239)</f>
        <v>0.2</v>
      </c>
      <c r="F242" s="24" t="n">
        <f aca="false">IF(F239="","",rng25_neo_hi/1000)</f>
        <v>0.8</v>
      </c>
      <c r="G242" s="24" t="n">
        <f aca="false">IF(G239="","",G239)</f>
        <v>1.3</v>
      </c>
      <c r="H242" s="24" t="n">
        <f aca="false">IF(H239="","",H239)</f>
        <v>2.407</v>
      </c>
      <c r="I242" s="24" t="n">
        <f aca="false">IF(I239="","",I239)</f>
        <v>4.31</v>
      </c>
      <c r="J242" s="24" t="n">
        <f aca="false">IF(J239="","",J239)</f>
        <v>4.31</v>
      </c>
      <c r="K242" s="24" t="n">
        <f aca="false">IF(K239="","",K239)</f>
        <v>4.31</v>
      </c>
      <c r="L242" s="24" t="n">
        <f aca="false">IF(L239="","",L239)</f>
        <v>4.31</v>
      </c>
      <c r="M242" s="24" t="n">
        <f aca="false">IF(M239="","",M239)</f>
        <v>4.31</v>
      </c>
    </row>
    <row r="243" customFormat="false" ht="17.15" hidden="false" customHeight="false" outlineLevel="0" collapsed="false">
      <c r="A243" s="5" t="s">
        <v>990</v>
      </c>
      <c r="B243" s="0" t="s">
        <v>1205</v>
      </c>
      <c r="C243" s="0" t="s">
        <v>77</v>
      </c>
      <c r="D243" s="24" t="str">
        <f aca="false">IF(D239="","",IF(In!$C$119="未說明",D239/D$13,D239))</f>
        <v/>
      </c>
      <c r="E243" s="24" t="n">
        <f aca="false">IF(E239="","",IF(In!$C$119="未說明",E239/E$13,E239))</f>
        <v>0.2</v>
      </c>
      <c r="F243" s="24" t="n">
        <f aca="false">IF(F239="","",IF(In!$C$119="未說明",F239/F$13,F239))</f>
        <v>0.5</v>
      </c>
      <c r="G243" s="24" t="n">
        <f aca="false">IF(G239="","",IF(In!$C$119="未說明",G239/G$13,G239))</f>
        <v>1.3</v>
      </c>
      <c r="H243" s="24" t="n">
        <f aca="false">IF(H239="","",IF(In!$C$119="未說明",H239/H$13,H239))</f>
        <v>2.407</v>
      </c>
      <c r="I243" s="24" t="n">
        <f aca="false">IF(I239="","",IF(In!$C$119="未說明",I239/I$13,I239))</f>
        <v>4.31</v>
      </c>
      <c r="J243" s="24" t="n">
        <f aca="false">IF(J239="","",IF(In!$C$119="未說明",J239/J$13,J239))</f>
        <v>4.31</v>
      </c>
      <c r="K243" s="24" t="n">
        <f aca="false">IF(K239="","",IF(In!$C$119="未說明",K239/K$13,K239))</f>
        <v>4.31</v>
      </c>
      <c r="L243" s="24" t="n">
        <f aca="false">IF(L239="","",IF(In!$C$119="未說明",L239/L$13,L239))</f>
        <v>4.31</v>
      </c>
      <c r="M243" s="24" t="n">
        <f aca="false">IF(M239="","",IF(In!$C$119="未說明",M239/M$13,M239))</f>
        <v>4.31</v>
      </c>
    </row>
    <row r="244" customFormat="false" ht="17.15" hidden="false" customHeight="false" outlineLevel="0" collapsed="false">
      <c r="A244" s="5" t="s">
        <v>992</v>
      </c>
      <c r="B244" s="0" t="s">
        <v>1206</v>
      </c>
      <c r="C244" s="0" t="s">
        <v>77</v>
      </c>
      <c r="D244" s="0" t="str">
        <f aca="false">""</f>
        <v/>
      </c>
      <c r="E244" s="24" t="str">
        <f aca="false">IF(AND(D239&lt;&gt;"",E239&lt;&gt;""),(D239+E239)/2,"")</f>
        <v/>
      </c>
      <c r="F244" s="24" t="n">
        <f aca="false">IF(AND(E239&lt;&gt;"",F239&lt;&gt;""),(E239+F239)/2,"")</f>
        <v>0.35</v>
      </c>
      <c r="G244" s="24" t="n">
        <f aca="false">IF(AND(F239&lt;&gt;"",G239&lt;&gt;""),(F239+G239)/2,"")</f>
        <v>0.9</v>
      </c>
      <c r="H244" s="24" t="n">
        <f aca="false">IF(AND(G239&lt;&gt;"",H239&lt;&gt;""),(G239+H239)/2,"")</f>
        <v>1.8535</v>
      </c>
      <c r="I244" s="24" t="n">
        <f aca="false">IF(AND(H239&lt;&gt;"",I239&lt;&gt;""),(H239+I239)/2,"")</f>
        <v>3.3585</v>
      </c>
      <c r="J244" s="24" t="n">
        <f aca="false">IF(AND(I239&lt;&gt;"",J239&lt;&gt;""),(I239+J239)/2,"")</f>
        <v>4.31</v>
      </c>
      <c r="K244" s="24" t="n">
        <f aca="false">IF(AND(J239&lt;&gt;"",K239&lt;&gt;""),(J239+K239)/2,"")</f>
        <v>4.31</v>
      </c>
      <c r="L244" s="24" t="n">
        <f aca="false">IF(AND(K239&lt;&gt;"",L239&lt;&gt;""),(K239+L239)/2,"")</f>
        <v>4.31</v>
      </c>
      <c r="M244" s="24" t="n">
        <f aca="false">IF(AND(L239&lt;&gt;"",M239&lt;&gt;""),(L239+M239)/2,"")</f>
        <v>4.31</v>
      </c>
    </row>
    <row r="245" customFormat="false" ht="17.15" hidden="false" customHeight="false" outlineLevel="0" collapsed="false">
      <c r="A245" s="5" t="s">
        <v>994</v>
      </c>
      <c r="B245" s="0" t="s">
        <v>1207</v>
      </c>
      <c r="C245" s="0" t="s">
        <v>77</v>
      </c>
      <c r="D245" s="0" t="n">
        <v>0</v>
      </c>
      <c r="E245" s="24" t="n">
        <f aca="false">IF(AND(D239&lt;&gt;"",E239&lt;&gt;""),E239-D239,0)</f>
        <v>0</v>
      </c>
      <c r="F245" s="24" t="n">
        <f aca="false">IF(AND(E239&lt;&gt;"",F239&lt;&gt;""),F239-E239,0)</f>
        <v>0.3</v>
      </c>
      <c r="G245" s="24" t="n">
        <f aca="false">IF(AND(F239&lt;&gt;"",G239&lt;&gt;""),G239-F239,0)</f>
        <v>0.8</v>
      </c>
      <c r="H245" s="24" t="n">
        <f aca="false">IF(AND(G239&lt;&gt;"",H239&lt;&gt;""),H239-G239,0)</f>
        <v>1.107</v>
      </c>
      <c r="I245" s="24" t="n">
        <f aca="false">IF(AND(H239&lt;&gt;"",I239&lt;&gt;""),I239-H239,0)</f>
        <v>1.903</v>
      </c>
      <c r="J245" s="24" t="n">
        <f aca="false">IF(AND(I239&lt;&gt;"",J239&lt;&gt;""),J239-I239,0)</f>
        <v>0</v>
      </c>
      <c r="K245" s="24" t="n">
        <f aca="false">IF(AND(J239&lt;&gt;"",K239&lt;&gt;""),K239-J239,0)</f>
        <v>0</v>
      </c>
      <c r="L245" s="24" t="n">
        <f aca="false">IF(AND(K239&lt;&gt;"",L239&lt;&gt;""),L239-K239,0)</f>
        <v>0</v>
      </c>
      <c r="M245" s="24" t="n">
        <f aca="false">IF(AND(L239&lt;&gt;"",M239&lt;&gt;""),M239-L239,0)</f>
        <v>0</v>
      </c>
    </row>
    <row r="246" customFormat="false" ht="17.15" hidden="false" customHeight="false" outlineLevel="0" collapsed="false">
      <c r="A246" s="5" t="s">
        <v>996</v>
      </c>
      <c r="B246" s="0" t="s">
        <v>1208</v>
      </c>
      <c r="C246" s="0" t="s">
        <v>77</v>
      </c>
      <c r="D246" s="24" t="n">
        <f aca="false">IF(D239&lt;&gt;"",D239,0)</f>
        <v>0</v>
      </c>
      <c r="E246" s="24" t="n">
        <f aca="false">IF(AND(D239="",E239&lt;&gt;""),E239,0)</f>
        <v>0.2</v>
      </c>
      <c r="F246" s="24" t="n">
        <f aca="false">IF(AND(E239="",F239&lt;&gt;""),F239,0)</f>
        <v>0</v>
      </c>
      <c r="G246" s="24" t="n">
        <f aca="false">IF(AND(F239="",G239&lt;&gt;""),G239,0)</f>
        <v>0</v>
      </c>
      <c r="H246" s="24" t="n">
        <f aca="false">IF(AND(G239="",H239&lt;&gt;""),H239,0)</f>
        <v>0</v>
      </c>
      <c r="I246" s="24" t="n">
        <f aca="false">IF(AND(H239="",I239&lt;&gt;""),I239,0)</f>
        <v>0</v>
      </c>
      <c r="J246" s="24" t="n">
        <f aca="false">IF(AND(I239="",J239&lt;&gt;""),J239,0)</f>
        <v>0</v>
      </c>
      <c r="K246" s="24" t="n">
        <f aca="false">IF(AND(J239="",K239&lt;&gt;""),K239,0)</f>
        <v>0</v>
      </c>
      <c r="L246" s="24" t="n">
        <f aca="false">IF(AND(K239="",L239&lt;&gt;""),L239,0)</f>
        <v>0</v>
      </c>
      <c r="M246" s="24" t="n">
        <f aca="false">IF(AND(L239="",M239&lt;&gt;""),M239,0)</f>
        <v>0</v>
      </c>
    </row>
    <row r="247" customFormat="false" ht="17.15" hidden="false" customHeight="false" outlineLevel="0" collapsed="false">
      <c r="A247" s="5" t="s">
        <v>998</v>
      </c>
      <c r="B247" s="0" t="s">
        <v>1209</v>
      </c>
      <c r="C247" s="0" t="s">
        <v>52</v>
      </c>
      <c r="D247" s="23" t="n">
        <f aca="false">D$12</f>
        <v>0.238210067173108</v>
      </c>
      <c r="E247" s="23" t="n">
        <f aca="false">E$12</f>
        <v>0.238210067173108</v>
      </c>
      <c r="F247" s="23" t="n">
        <f aca="false">F$12</f>
        <v>0.238210067173108</v>
      </c>
      <c r="G247" s="23" t="n">
        <f aca="false">G$12</f>
        <v>0.238210067173108</v>
      </c>
      <c r="H247" s="23" t="n">
        <f aca="false">H$12</f>
        <v>0.273101862203342</v>
      </c>
      <c r="I247" s="23" t="n">
        <f aca="false">I$12</f>
        <v>0.269621396123668</v>
      </c>
      <c r="J247" s="23" t="n">
        <f aca="false">J$12</f>
        <v>0.272187509408712</v>
      </c>
      <c r="K247" s="23" t="n">
        <f aca="false">K$12</f>
        <v>0.272187509408712</v>
      </c>
      <c r="L247" s="23" t="n">
        <f aca="false">L$12</f>
        <v>0.272187509408712</v>
      </c>
      <c r="M247" s="23" t="n">
        <f aca="false">M$12</f>
        <v>0.272187509408712</v>
      </c>
    </row>
    <row r="249" customFormat="false" ht="17.15" hidden="false" customHeight="false" outlineLevel="0" collapsed="false">
      <c r="A249" s="21" t="s">
        <v>1210</v>
      </c>
      <c r="B249" s="20" t="s">
        <v>644</v>
      </c>
      <c r="N249" s="20" t="s">
        <v>1211</v>
      </c>
    </row>
    <row r="250" customFormat="false" ht="17.15" hidden="false" customHeight="false" outlineLevel="0" collapsed="false">
      <c r="A250" s="5" t="s">
        <v>966</v>
      </c>
      <c r="B250" s="0" t="s">
        <v>1212</v>
      </c>
      <c r="C250" s="0" t="s">
        <v>77</v>
      </c>
      <c r="D250" s="24" t="str">
        <f aca="false">IF(In!$H$120="","",IF(In!$C$120="設施",In!$H$120/1000/D$13,In!$H$120/1000))</f>
        <v/>
      </c>
      <c r="E250" s="24" t="str">
        <f aca="false">IF(In!$I$120="","",IF(In!$C$120="設施",In!$I$120/1000/E$13,In!$I$120/1000))</f>
        <v/>
      </c>
      <c r="F250" s="24" t="n">
        <f aca="false">IF(In!$J$120="","",IF(In!$C$120="設施",In!$J$120/1000/F$13,In!$J$120/1000))</f>
        <v>0</v>
      </c>
      <c r="G250" s="24" t="str">
        <f aca="false">IF(In!$K$120="","",IF(In!$C$120="設施",In!$K$120/1000/G$13,In!$K$120/1000))</f>
        <v/>
      </c>
      <c r="H250" s="24" t="str">
        <f aca="false">IF(In!$L$120="","",IF(In!$C$120="設施",In!$L$120/1000/H$13,In!$L$120/1000))</f>
        <v/>
      </c>
      <c r="I250" s="24" t="str">
        <f aca="false">IF(In!$M$120="","",IF(In!$C$120="設施",In!$M$120/1000/I$13,In!$M$120/1000))</f>
        <v/>
      </c>
      <c r="J250" s="24" t="str">
        <f aca="false">IF(In!$N$120="","",IF(In!$C$120="設施",In!$N$120/1000/J$13,In!$N$120/1000))</f>
        <v/>
      </c>
      <c r="K250" s="24" t="str">
        <f aca="false">IF(In!$O$120="","",IF(In!$C$120="設施",In!$O$120/1000/K$13,In!$O$120/1000))</f>
        <v/>
      </c>
      <c r="L250" s="24" t="str">
        <f aca="false">IF(In!$P$120="","",IF(In!$C$120="設施",In!$P$120/1000/L$13,In!$P$120/1000))</f>
        <v/>
      </c>
      <c r="M250" s="24" t="str">
        <f aca="false">IF(In!$Q$120="","",IF(In!$C$120="設施",In!$Q$120/1000/M$13,In!$Q$120/1000))</f>
        <v/>
      </c>
    </row>
    <row r="251" customFormat="false" ht="17.15" hidden="false" customHeight="false" outlineLevel="0" collapsed="false">
      <c r="A251" s="5" t="s">
        <v>968</v>
      </c>
      <c r="B251" s="0" t="s">
        <v>1213</v>
      </c>
      <c r="C251" s="0" t="s">
        <v>77</v>
      </c>
      <c r="D251" s="0" t="str">
        <f aca="false">""</f>
        <v/>
      </c>
      <c r="E251" s="0" t="str">
        <f aca="false">""</f>
        <v/>
      </c>
      <c r="F251" s="0" t="str">
        <f aca="false">""</f>
        <v/>
      </c>
      <c r="G251" s="0" t="str">
        <f aca="false">""</f>
        <v/>
      </c>
      <c r="H251" s="0" t="str">
        <f aca="false">""</f>
        <v/>
      </c>
      <c r="I251" s="0" t="str">
        <f aca="false">""</f>
        <v/>
      </c>
      <c r="J251" s="0" t="str">
        <f aca="false">""</f>
        <v/>
      </c>
      <c r="K251" s="0" t="str">
        <f aca="false">""</f>
        <v/>
      </c>
      <c r="L251" s="0" t="str">
        <f aca="false">""</f>
        <v/>
      </c>
      <c r="M251" s="0" t="str">
        <f aca="false">""</f>
        <v/>
      </c>
    </row>
    <row r="252" customFormat="false" ht="15" hidden="false" customHeight="false" outlineLevel="0" collapsed="false">
      <c r="A252" s="5" t="s">
        <v>970</v>
      </c>
      <c r="B252" s="0" t="s">
        <v>1214</v>
      </c>
      <c r="C252" s="0" t="s">
        <v>77</v>
      </c>
      <c r="D252" s="0" t="str">
        <f aca="false">IF(D250&lt;&gt;"",D250,IF(D251&lt;&gt;"",D251,""))</f>
        <v/>
      </c>
      <c r="E252" s="0" t="str">
        <f aca="false">IF(E250&lt;&gt;"",E250,IF(E251&lt;&gt;"",E251,""))</f>
        <v/>
      </c>
      <c r="F252" s="24" t="n">
        <f aca="false">IF(F250&lt;&gt;"",F250,IF(F251&lt;&gt;"",F251,""))</f>
        <v>0</v>
      </c>
      <c r="G252" s="0" t="str">
        <f aca="false">IF(G250&lt;&gt;"",G250,IF(G251&lt;&gt;"",G251,""))</f>
        <v/>
      </c>
      <c r="H252" s="0" t="str">
        <f aca="false">IF(H250&lt;&gt;"",H250,IF(H251&lt;&gt;"",H251,""))</f>
        <v/>
      </c>
      <c r="I252" s="0" t="str">
        <f aca="false">IF(I250&lt;&gt;"",I250,IF(I251&lt;&gt;"",I251,""))</f>
        <v/>
      </c>
      <c r="J252" s="0" t="str">
        <f aca="false">IF(J250&lt;&gt;"",J250,IF(J251&lt;&gt;"",J251,""))</f>
        <v/>
      </c>
      <c r="K252" s="0" t="str">
        <f aca="false">IF(K250&lt;&gt;"",K250,IF(K251&lt;&gt;"",K251,""))</f>
        <v/>
      </c>
      <c r="L252" s="0" t="str">
        <f aca="false">IF(L250&lt;&gt;"",L250,IF(L251&lt;&gt;"",L251,""))</f>
        <v/>
      </c>
      <c r="M252" s="0" t="str">
        <f aca="false">IF(M250&lt;&gt;"",M250,IF(M251&lt;&gt;"",M251,""))</f>
        <v/>
      </c>
    </row>
    <row r="253" customFormat="false" ht="15" hidden="false" customHeight="false" outlineLevel="0" collapsed="false">
      <c r="A253" s="5" t="s">
        <v>972</v>
      </c>
      <c r="B253" s="0" t="s">
        <v>1215</v>
      </c>
      <c r="C253" s="0" t="s">
        <v>77</v>
      </c>
      <c r="D253" s="0" t="str">
        <f aca="false">IF(D252&lt;&gt;"",D252,"")</f>
        <v/>
      </c>
      <c r="E253" s="0" t="str">
        <f aca="false">IF(E252&lt;&gt;"",E252,D253)</f>
        <v/>
      </c>
      <c r="F253" s="24" t="n">
        <f aca="false">IF(F252&lt;&gt;"",F252,E253)</f>
        <v>0</v>
      </c>
      <c r="G253" s="24" t="n">
        <f aca="false">IF(G252&lt;&gt;"",G252,F253)</f>
        <v>0</v>
      </c>
      <c r="H253" s="24" t="n">
        <f aca="false">IF(H252&lt;&gt;"",H252,G253)</f>
        <v>0</v>
      </c>
      <c r="I253" s="24" t="n">
        <f aca="false">IF(I252&lt;&gt;"",I252,H253)</f>
        <v>0</v>
      </c>
      <c r="J253" s="24" t="n">
        <f aca="false">IF(J252&lt;&gt;"",J252,I253)</f>
        <v>0</v>
      </c>
      <c r="K253" s="24" t="n">
        <f aca="false">IF(K252&lt;&gt;"",K252,J253)</f>
        <v>0</v>
      </c>
      <c r="L253" s="24" t="n">
        <f aca="false">IF(L252&lt;&gt;"",L252,K253)</f>
        <v>0</v>
      </c>
      <c r="M253" s="24" t="n">
        <f aca="false">IF(M252&lt;&gt;"",M252,L253)</f>
        <v>0</v>
      </c>
    </row>
    <row r="254" customFormat="false" ht="15" hidden="false" customHeight="false" outlineLevel="0" collapsed="false">
      <c r="A254" s="5" t="s">
        <v>974</v>
      </c>
      <c r="B254" s="0" t="s">
        <v>1216</v>
      </c>
      <c r="C254" s="5" t="s">
        <v>47</v>
      </c>
      <c r="D254" s="0" t="str">
        <f aca="false">IF(D252&lt;&gt;"",2023,"")</f>
        <v/>
      </c>
      <c r="E254" s="0" t="str">
        <f aca="false">IF(E252&lt;&gt;"",2024,D254)</f>
        <v/>
      </c>
      <c r="F254" s="0" t="n">
        <f aca="false">IF(F252&lt;&gt;"",2025,E254)</f>
        <v>2025</v>
      </c>
      <c r="G254" s="0" t="n">
        <f aca="false">IF(G252&lt;&gt;"",2026,F254)</f>
        <v>2025</v>
      </c>
      <c r="H254" s="0" t="n">
        <f aca="false">IF(H252&lt;&gt;"",2027,G254)</f>
        <v>2025</v>
      </c>
      <c r="I254" s="0" t="n">
        <f aca="false">IF(I252&lt;&gt;"",2028,H254)</f>
        <v>2025</v>
      </c>
      <c r="J254" s="0" t="n">
        <f aca="false">IF(J252&lt;&gt;"",2029,I254)</f>
        <v>2025</v>
      </c>
      <c r="K254" s="0" t="n">
        <f aca="false">IF(K252&lt;&gt;"",2030,J254)</f>
        <v>2025</v>
      </c>
      <c r="L254" s="0" t="n">
        <f aca="false">IF(L252&lt;&gt;"",2031,K254)</f>
        <v>2025</v>
      </c>
      <c r="M254" s="0" t="n">
        <f aca="false">IF(M252&lt;&gt;"",2032,L254)</f>
        <v>2025</v>
      </c>
    </row>
    <row r="255" customFormat="false" ht="15" hidden="false" customHeight="false" outlineLevel="0" collapsed="false">
      <c r="A255" s="5" t="s">
        <v>976</v>
      </c>
      <c r="B255" s="0" t="s">
        <v>1217</v>
      </c>
      <c r="C255" s="0" t="s">
        <v>77</v>
      </c>
      <c r="D255" s="24" t="n">
        <f aca="false">IF(D252&lt;&gt;"",D252,E255)</f>
        <v>0</v>
      </c>
      <c r="E255" s="24" t="n">
        <f aca="false">IF(E252&lt;&gt;"",E252,F255)</f>
        <v>0</v>
      </c>
      <c r="F255" s="24" t="n">
        <f aca="false">IF(F252&lt;&gt;"",F252,G255)</f>
        <v>0</v>
      </c>
      <c r="G255" s="0" t="str">
        <f aca="false">IF(G252&lt;&gt;"",G252,H255)</f>
        <v/>
      </c>
      <c r="H255" s="0" t="str">
        <f aca="false">IF(H252&lt;&gt;"",H252,I255)</f>
        <v/>
      </c>
      <c r="I255" s="0" t="str">
        <f aca="false">IF(I252&lt;&gt;"",I252,J255)</f>
        <v/>
      </c>
      <c r="J255" s="0" t="str">
        <f aca="false">IF(J252&lt;&gt;"",J252,K255)</f>
        <v/>
      </c>
      <c r="K255" s="0" t="str">
        <f aca="false">IF(K252&lt;&gt;"",K252,L255)</f>
        <v/>
      </c>
      <c r="L255" s="0" t="str">
        <f aca="false">IF(L252&lt;&gt;"",L252,M255)</f>
        <v/>
      </c>
      <c r="M255" s="0" t="str">
        <f aca="false">IF(M252&lt;&gt;"",M252,"")</f>
        <v/>
      </c>
    </row>
    <row r="256" customFormat="false" ht="15" hidden="false" customHeight="false" outlineLevel="0" collapsed="false">
      <c r="A256" s="5" t="s">
        <v>978</v>
      </c>
      <c r="B256" s="0" t="s">
        <v>1218</v>
      </c>
      <c r="C256" s="5" t="s">
        <v>47</v>
      </c>
      <c r="D256" s="0" t="n">
        <f aca="false">IF(D252&lt;&gt;"",2023,E256)</f>
        <v>2025</v>
      </c>
      <c r="E256" s="0" t="n">
        <f aca="false">IF(E252&lt;&gt;"",2024,F256)</f>
        <v>2025</v>
      </c>
      <c r="F256" s="0" t="n">
        <f aca="false">IF(F252&lt;&gt;"",2025,G256)</f>
        <v>2025</v>
      </c>
      <c r="G256" s="0" t="str">
        <f aca="false">IF(G252&lt;&gt;"",2026,H256)</f>
        <v/>
      </c>
      <c r="H256" s="0" t="str">
        <f aca="false">IF(H252&lt;&gt;"",2027,I256)</f>
        <v/>
      </c>
      <c r="I256" s="0" t="str">
        <f aca="false">IF(I252&lt;&gt;"",2028,J256)</f>
        <v/>
      </c>
      <c r="J256" s="0" t="str">
        <f aca="false">IF(J252&lt;&gt;"",2029,K256)</f>
        <v/>
      </c>
      <c r="K256" s="0" t="str">
        <f aca="false">IF(K252&lt;&gt;"",2030,L256)</f>
        <v/>
      </c>
      <c r="L256" s="0" t="str">
        <f aca="false">IF(L252&lt;&gt;"",2031,M256)</f>
        <v/>
      </c>
      <c r="M256" s="0" t="str">
        <f aca="false">IF(M252&lt;&gt;"",2032,"")</f>
        <v/>
      </c>
    </row>
    <row r="257" customFormat="false" ht="17.15" hidden="false" customHeight="false" outlineLevel="0" collapsed="false">
      <c r="A257" s="5" t="s">
        <v>980</v>
      </c>
      <c r="B257" s="0" t="s">
        <v>1219</v>
      </c>
      <c r="C257" s="0" t="s">
        <v>77</v>
      </c>
      <c r="D257" s="24" t="n">
        <f aca="false">SUMIFS(Pipeline!$L$5:$L$64,Pipeline!$C$5:$C$64,"sov",Pipeline!$Q$5:$Q$64,1,Pipeline!$P$5:$P$64,2023)</f>
        <v>0</v>
      </c>
      <c r="E257" s="24" t="n">
        <f aca="false">SUMIFS(Pipeline!$L$5:$L$64,Pipeline!$C$5:$C$64,"sov",Pipeline!$Q$5:$Q$64,1,Pipeline!$P$5:$P$64,2024)</f>
        <v>0</v>
      </c>
      <c r="F257" s="24" t="n">
        <f aca="false">SUMIFS(Pipeline!$L$5:$L$64,Pipeline!$C$5:$C$64,"sov",Pipeline!$Q$5:$Q$64,1,Pipeline!$P$5:$P$64,2025)</f>
        <v>0</v>
      </c>
      <c r="G257" s="24" t="n">
        <f aca="false">SUMIFS(Pipeline!$L$5:$L$64,Pipeline!$C$5:$C$64,"sov",Pipeline!$Q$5:$Q$64,1,Pipeline!$P$5:$P$64,2026)</f>
        <v>0.4</v>
      </c>
      <c r="H257" s="24" t="n">
        <f aca="false">SUMIFS(Pipeline!$L$5:$L$64,Pipeline!$C$5:$C$64,"sov",Pipeline!$Q$5:$Q$64,1,Pipeline!$P$5:$P$64,2027)</f>
        <v>1.5</v>
      </c>
      <c r="I257" s="24" t="n">
        <f aca="false">SUMIFS(Pipeline!$L$5:$L$64,Pipeline!$C$5:$C$64,"sov",Pipeline!$Q$5:$Q$64,1,Pipeline!$P$5:$P$64,2028)</f>
        <v>0.096</v>
      </c>
      <c r="J257" s="24" t="n">
        <f aca="false">SUMIFS(Pipeline!$L$5:$L$64,Pipeline!$C$5:$C$64,"sov",Pipeline!$Q$5:$Q$64,1,Pipeline!$P$5:$P$64,2029)</f>
        <v>0</v>
      </c>
      <c r="K257" s="24" t="n">
        <f aca="false">SUMIFS(Pipeline!$L$5:$L$64,Pipeline!$C$5:$C$64,"sov",Pipeline!$Q$5:$Q$64,1,Pipeline!$P$5:$P$64,2030)</f>
        <v>0.2</v>
      </c>
      <c r="L257" s="24" t="n">
        <f aca="false">SUMIFS(Pipeline!$L$5:$L$64,Pipeline!$C$5:$C$64,"sov",Pipeline!$Q$5:$Q$64,1,Pipeline!$P$5:$P$64,2031)</f>
        <v>0</v>
      </c>
      <c r="M257" s="24" t="n">
        <f aca="false">SUMIFS(Pipeline!$L$5:$L$64,Pipeline!$C$5:$C$64,"sov",Pipeline!$Q$5:$Q$64,1,Pipeline!$P$5:$P$64,2032)</f>
        <v>0</v>
      </c>
    </row>
    <row r="258" customFormat="false" ht="17.15" hidden="false" customHeight="false" outlineLevel="0" collapsed="false">
      <c r="A258" s="5" t="s">
        <v>982</v>
      </c>
      <c r="B258" s="0" t="s">
        <v>1220</v>
      </c>
      <c r="C258" s="0" t="s">
        <v>77</v>
      </c>
      <c r="D258" s="25" t="str">
        <f aca="false">IF(D252&lt;&gt;"",D252,IF(AND(D253&lt;&gt;"",D255&lt;&gt;""),D253+(D255-D253)*(2023-D254)/(D256-D254),""))</f>
        <v/>
      </c>
      <c r="E258" s="25" t="str">
        <f aca="false">IF(E252&lt;&gt;"",E252,IF(AND(E253&lt;&gt;"",E255&lt;&gt;""),E253+(E255-E253)*(2024-E254)/(E256-E254),IF(D258&lt;&gt;"",D258+E257,"")))</f>
        <v/>
      </c>
      <c r="F258" s="25" t="n">
        <f aca="false">IF(F252&lt;&gt;"",F252,IF(AND(F253&lt;&gt;"",F255&lt;&gt;""),F253+(F255-F253)*(2025-F254)/(F256-F254),IF(E258&lt;&gt;"",E258+F257,"")))</f>
        <v>0</v>
      </c>
      <c r="G258" s="25" t="n">
        <f aca="false">IF(G252&lt;&gt;"",G252,IF(AND(G253&lt;&gt;"",G255&lt;&gt;""),G253+(G255-G253)*(2026-G254)/(G256-G254),IF(F258&lt;&gt;"",F258+G257,"")))</f>
        <v>0.4</v>
      </c>
      <c r="H258" s="25" t="n">
        <f aca="false">IF(H252&lt;&gt;"",H252,IF(AND(H253&lt;&gt;"",H255&lt;&gt;""),H253+(H255-H253)*(2027-H254)/(H256-H254),IF(G258&lt;&gt;"",G258+H257,"")))</f>
        <v>1.9</v>
      </c>
      <c r="I258" s="25" t="n">
        <f aca="false">IF(I252&lt;&gt;"",I252,IF(AND(I253&lt;&gt;"",I255&lt;&gt;""),I253+(I255-I253)*(2028-I254)/(I256-I254),IF(H258&lt;&gt;"",H258+I257,"")))</f>
        <v>1.996</v>
      </c>
      <c r="J258" s="25" t="n">
        <f aca="false">IF(J252&lt;&gt;"",J252,IF(AND(J253&lt;&gt;"",J255&lt;&gt;""),J253+(J255-J253)*(2029-J254)/(J256-J254),IF(I258&lt;&gt;"",I258+J257,"")))</f>
        <v>1.996</v>
      </c>
      <c r="K258" s="25" t="n">
        <f aca="false">IF(K252&lt;&gt;"",K252,IF(AND(K253&lt;&gt;"",K255&lt;&gt;""),K253+(K255-K253)*(2030-K254)/(K256-K254),IF(J258&lt;&gt;"",J258+K257,"")))</f>
        <v>2.196</v>
      </c>
      <c r="L258" s="25" t="n">
        <f aca="false">IF(L252&lt;&gt;"",L252,IF(AND(L253&lt;&gt;"",L255&lt;&gt;""),L253+(L255-L253)*(2031-L254)/(L256-L254),IF(K258&lt;&gt;"",K258+L257,"")))</f>
        <v>2.196</v>
      </c>
      <c r="M258" s="25" t="n">
        <f aca="false">IF(M252&lt;&gt;"",M252,IF(AND(M253&lt;&gt;"",M255&lt;&gt;""),M253+(M255-M253)*(2032-M254)/(M256-M254),IF(L258&lt;&gt;"",L258+M257,"")))</f>
        <v>2.196</v>
      </c>
    </row>
    <row r="259" customFormat="false" ht="15" hidden="false" customHeight="false" outlineLevel="0" collapsed="false">
      <c r="A259" s="5" t="s">
        <v>984</v>
      </c>
      <c r="B259" s="0" t="s">
        <v>1221</v>
      </c>
      <c r="C259" s="0" t="s">
        <v>35</v>
      </c>
      <c r="D259" s="0" t="n">
        <f aca="false">IF(D250&lt;&gt;"",1,IF(D251&lt;&gt;"",5,IF(D252&lt;&gt;"",2,IF(AND(D253&lt;&gt;"",D255&lt;&gt;""),3,IF(D258&lt;&gt;"",4,0)))))</f>
        <v>0</v>
      </c>
      <c r="E259" s="0" t="n">
        <f aca="false">IF(E250&lt;&gt;"",1,IF(E251&lt;&gt;"",5,IF(E252&lt;&gt;"",2,IF(AND(E253&lt;&gt;"",E255&lt;&gt;""),3,IF(E258&lt;&gt;"",4,0)))))</f>
        <v>0</v>
      </c>
      <c r="F259" s="0" t="n">
        <f aca="false">IF(F250&lt;&gt;"",1,IF(F251&lt;&gt;"",5,IF(F252&lt;&gt;"",2,IF(AND(F253&lt;&gt;"",F255&lt;&gt;""),3,IF(F258&lt;&gt;"",4,0)))))</f>
        <v>1</v>
      </c>
      <c r="G259" s="0" t="n">
        <f aca="false">IF(G250&lt;&gt;"",1,IF(G251&lt;&gt;"",5,IF(G252&lt;&gt;"",2,IF(AND(G253&lt;&gt;"",G255&lt;&gt;""),3,IF(G258&lt;&gt;"",4,0)))))</f>
        <v>4</v>
      </c>
      <c r="H259" s="0" t="n">
        <f aca="false">IF(H250&lt;&gt;"",1,IF(H251&lt;&gt;"",5,IF(H252&lt;&gt;"",2,IF(AND(H253&lt;&gt;"",H255&lt;&gt;""),3,IF(H258&lt;&gt;"",4,0)))))</f>
        <v>4</v>
      </c>
      <c r="I259" s="0" t="n">
        <f aca="false">IF(I250&lt;&gt;"",1,IF(I251&lt;&gt;"",5,IF(I252&lt;&gt;"",2,IF(AND(I253&lt;&gt;"",I255&lt;&gt;""),3,IF(I258&lt;&gt;"",4,0)))))</f>
        <v>4</v>
      </c>
      <c r="J259" s="0" t="n">
        <f aca="false">IF(J250&lt;&gt;"",1,IF(J251&lt;&gt;"",5,IF(J252&lt;&gt;"",2,IF(AND(J253&lt;&gt;"",J255&lt;&gt;""),3,IF(J258&lt;&gt;"",4,0)))))</f>
        <v>4</v>
      </c>
      <c r="K259" s="0" t="n">
        <f aca="false">IF(K250&lt;&gt;"",1,IF(K251&lt;&gt;"",5,IF(K252&lt;&gt;"",2,IF(AND(K253&lt;&gt;"",K255&lt;&gt;""),3,IF(K258&lt;&gt;"",4,0)))))</f>
        <v>4</v>
      </c>
      <c r="L259" s="0" t="n">
        <f aca="false">IF(L250&lt;&gt;"",1,IF(L251&lt;&gt;"",5,IF(L252&lt;&gt;"",2,IF(AND(L253&lt;&gt;"",L255&lt;&gt;""),3,IF(L258&lt;&gt;"",4,0)))))</f>
        <v>4</v>
      </c>
      <c r="M259" s="0" t="n">
        <f aca="false">IF(M250&lt;&gt;"",1,IF(M251&lt;&gt;"",5,IF(M252&lt;&gt;"",2,IF(AND(M253&lt;&gt;"",M255&lt;&gt;""),3,IF(M258&lt;&gt;"",4,0)))))</f>
        <v>4</v>
      </c>
    </row>
    <row r="260" customFormat="false" ht="17.15" hidden="false" customHeight="false" outlineLevel="0" collapsed="false">
      <c r="A260" s="5" t="s">
        <v>986</v>
      </c>
      <c r="B260" s="0" t="s">
        <v>1222</v>
      </c>
      <c r="C260" s="0" t="s">
        <v>77</v>
      </c>
      <c r="D260" s="24" t="str">
        <f aca="false">IF(D258="","",D258)</f>
        <v/>
      </c>
      <c r="E260" s="24" t="str">
        <f aca="false">IF(E258="","",E258)</f>
        <v/>
      </c>
      <c r="F260" s="24" t="n">
        <f aca="false">IF(F258="","",F258)</f>
        <v>0</v>
      </c>
      <c r="G260" s="24" t="n">
        <f aca="false">IF(G258="","",G258)</f>
        <v>0.4</v>
      </c>
      <c r="H260" s="24" t="n">
        <f aca="false">IF(H258="","",H258)</f>
        <v>1.9</v>
      </c>
      <c r="I260" s="24" t="n">
        <f aca="false">IF(I258="","",I258)</f>
        <v>1.996</v>
      </c>
      <c r="J260" s="24" t="n">
        <f aca="false">IF(J258="","",J258)</f>
        <v>1.996</v>
      </c>
      <c r="K260" s="24" t="n">
        <f aca="false">IF(K258="","",K258)</f>
        <v>2.196</v>
      </c>
      <c r="L260" s="24" t="n">
        <f aca="false">IF(L258="","",L258)</f>
        <v>2.196</v>
      </c>
      <c r="M260" s="24" t="n">
        <f aca="false">IF(M258="","",M258)</f>
        <v>2.196</v>
      </c>
    </row>
    <row r="261" customFormat="false" ht="17.15" hidden="false" customHeight="false" outlineLevel="0" collapsed="false">
      <c r="A261" s="5" t="s">
        <v>988</v>
      </c>
      <c r="B261" s="0" t="s">
        <v>1223</v>
      </c>
      <c r="C261" s="0" t="s">
        <v>77</v>
      </c>
      <c r="D261" s="24" t="str">
        <f aca="false">IF(D258="","",D258)</f>
        <v/>
      </c>
      <c r="E261" s="24" t="str">
        <f aca="false">IF(E258="","",E258)</f>
        <v/>
      </c>
      <c r="F261" s="24" t="n">
        <f aca="false">IF(F258="","",F258)</f>
        <v>0</v>
      </c>
      <c r="G261" s="24" t="n">
        <f aca="false">IF(G258="","",G258)</f>
        <v>0.4</v>
      </c>
      <c r="H261" s="24" t="n">
        <f aca="false">IF(H258="","",H258)</f>
        <v>1.9</v>
      </c>
      <c r="I261" s="24" t="n">
        <f aca="false">IF(I258="","",I258)</f>
        <v>1.996</v>
      </c>
      <c r="J261" s="24" t="n">
        <f aca="false">IF(J258="","",J258)</f>
        <v>1.996</v>
      </c>
      <c r="K261" s="24" t="n">
        <f aca="false">IF(K258="","",K258)</f>
        <v>2.196</v>
      </c>
      <c r="L261" s="24" t="n">
        <f aca="false">IF(L258="","",L258)</f>
        <v>2.196</v>
      </c>
      <c r="M261" s="24" t="n">
        <f aca="false">IF(M258="","",M258)</f>
        <v>2.196</v>
      </c>
    </row>
    <row r="262" customFormat="false" ht="17.15" hidden="false" customHeight="false" outlineLevel="0" collapsed="false">
      <c r="A262" s="5" t="s">
        <v>990</v>
      </c>
      <c r="B262" s="0" t="s">
        <v>1224</v>
      </c>
      <c r="C262" s="0" t="s">
        <v>77</v>
      </c>
      <c r="D262" s="24" t="str">
        <f aca="false">IF(D258="","",IF(In!$C$120="未說明",D258/D$13,D258))</f>
        <v/>
      </c>
      <c r="E262" s="24" t="str">
        <f aca="false">IF(E258="","",IF(In!$C$120="未說明",E258/E$13,E258))</f>
        <v/>
      </c>
      <c r="F262" s="24" t="n">
        <f aca="false">IF(F258="","",IF(In!$C$120="未說明",F258/F$13,F258))</f>
        <v>0</v>
      </c>
      <c r="G262" s="24" t="n">
        <f aca="false">IF(G258="","",IF(In!$C$120="未說明",G258/G$13,G258))</f>
        <v>0.333333333333333</v>
      </c>
      <c r="H262" s="24" t="n">
        <f aca="false">IF(H258="","",IF(In!$C$120="未說明",H258/H$13,H258))</f>
        <v>1.58333333333333</v>
      </c>
      <c r="I262" s="24" t="n">
        <f aca="false">IF(I258="","",IF(In!$C$120="未說明",I258/I$13,I258))</f>
        <v>1.66333333333333</v>
      </c>
      <c r="J262" s="24" t="n">
        <f aca="false">IF(J258="","",IF(In!$C$120="未說明",J258/J$13,J258))</f>
        <v>1.66333333333333</v>
      </c>
      <c r="K262" s="24" t="n">
        <f aca="false">IF(K258="","",IF(In!$C$120="未說明",K258/K$13,K258))</f>
        <v>1.83</v>
      </c>
      <c r="L262" s="24" t="n">
        <f aca="false">IF(L258="","",IF(In!$C$120="未說明",L258/L$13,L258))</f>
        <v>1.83</v>
      </c>
      <c r="M262" s="24" t="n">
        <f aca="false">IF(M258="","",IF(In!$C$120="未說明",M258/M$13,M258))</f>
        <v>1.83</v>
      </c>
    </row>
    <row r="263" customFormat="false" ht="17.15" hidden="false" customHeight="false" outlineLevel="0" collapsed="false">
      <c r="A263" s="5" t="s">
        <v>992</v>
      </c>
      <c r="B263" s="0" t="s">
        <v>1225</v>
      </c>
      <c r="C263" s="0" t="s">
        <v>77</v>
      </c>
      <c r="D263" s="0" t="str">
        <f aca="false">""</f>
        <v/>
      </c>
      <c r="E263" s="24" t="str">
        <f aca="false">IF(AND(D258&lt;&gt;"",E258&lt;&gt;""),(D258+E258)/2,"")</f>
        <v/>
      </c>
      <c r="F263" s="24" t="str">
        <f aca="false">IF(AND(E258&lt;&gt;"",F258&lt;&gt;""),(E258+F258)/2,"")</f>
        <v/>
      </c>
      <c r="G263" s="24" t="n">
        <f aca="false">IF(AND(F258&lt;&gt;"",G258&lt;&gt;""),(F258+G258)/2,"")</f>
        <v>0.2</v>
      </c>
      <c r="H263" s="24" t="n">
        <f aca="false">IF(AND(G258&lt;&gt;"",H258&lt;&gt;""),(G258+H258)/2,"")</f>
        <v>1.15</v>
      </c>
      <c r="I263" s="24" t="n">
        <f aca="false">IF(AND(H258&lt;&gt;"",I258&lt;&gt;""),(H258+I258)/2,"")</f>
        <v>1.948</v>
      </c>
      <c r="J263" s="24" t="n">
        <f aca="false">IF(AND(I258&lt;&gt;"",J258&lt;&gt;""),(I258+J258)/2,"")</f>
        <v>1.996</v>
      </c>
      <c r="K263" s="24" t="n">
        <f aca="false">IF(AND(J258&lt;&gt;"",K258&lt;&gt;""),(J258+K258)/2,"")</f>
        <v>2.096</v>
      </c>
      <c r="L263" s="24" t="n">
        <f aca="false">IF(AND(K258&lt;&gt;"",L258&lt;&gt;""),(K258+L258)/2,"")</f>
        <v>2.196</v>
      </c>
      <c r="M263" s="24" t="n">
        <f aca="false">IF(AND(L258&lt;&gt;"",M258&lt;&gt;""),(L258+M258)/2,"")</f>
        <v>2.196</v>
      </c>
    </row>
    <row r="264" customFormat="false" ht="17.15" hidden="false" customHeight="false" outlineLevel="0" collapsed="false">
      <c r="A264" s="5" t="s">
        <v>994</v>
      </c>
      <c r="B264" s="0" t="s">
        <v>1226</v>
      </c>
      <c r="C264" s="0" t="s">
        <v>77</v>
      </c>
      <c r="D264" s="0" t="n">
        <v>0</v>
      </c>
      <c r="E264" s="24" t="n">
        <f aca="false">IF(AND(D258&lt;&gt;"",E258&lt;&gt;""),E258-D258,0)</f>
        <v>0</v>
      </c>
      <c r="F264" s="24" t="n">
        <f aca="false">IF(AND(E258&lt;&gt;"",F258&lt;&gt;""),F258-E258,0)</f>
        <v>0</v>
      </c>
      <c r="G264" s="24" t="n">
        <f aca="false">IF(AND(F258&lt;&gt;"",G258&lt;&gt;""),G258-F258,0)</f>
        <v>0.4</v>
      </c>
      <c r="H264" s="24" t="n">
        <f aca="false">IF(AND(G258&lt;&gt;"",H258&lt;&gt;""),H258-G258,0)</f>
        <v>1.5</v>
      </c>
      <c r="I264" s="24" t="n">
        <f aca="false">IF(AND(H258&lt;&gt;"",I258&lt;&gt;""),I258-H258,0)</f>
        <v>0.0960000000000001</v>
      </c>
      <c r="J264" s="24" t="n">
        <f aca="false">IF(AND(I258&lt;&gt;"",J258&lt;&gt;""),J258-I258,0)</f>
        <v>0</v>
      </c>
      <c r="K264" s="24" t="n">
        <f aca="false">IF(AND(J258&lt;&gt;"",K258&lt;&gt;""),K258-J258,0)</f>
        <v>0.2</v>
      </c>
      <c r="L264" s="24" t="n">
        <f aca="false">IF(AND(K258&lt;&gt;"",L258&lt;&gt;""),L258-K258,0)</f>
        <v>0</v>
      </c>
      <c r="M264" s="24" t="n">
        <f aca="false">IF(AND(L258&lt;&gt;"",M258&lt;&gt;""),M258-L258,0)</f>
        <v>0</v>
      </c>
    </row>
    <row r="265" customFormat="false" ht="17.15" hidden="false" customHeight="false" outlineLevel="0" collapsed="false">
      <c r="A265" s="5" t="s">
        <v>996</v>
      </c>
      <c r="B265" s="0" t="s">
        <v>1227</v>
      </c>
      <c r="C265" s="0" t="s">
        <v>77</v>
      </c>
      <c r="D265" s="24" t="n">
        <f aca="false">IF(D258&lt;&gt;"",D258,0)</f>
        <v>0</v>
      </c>
      <c r="E265" s="24" t="n">
        <f aca="false">IF(AND(D258="",E258&lt;&gt;""),E258,0)</f>
        <v>0</v>
      </c>
      <c r="F265" s="24" t="n">
        <f aca="false">IF(AND(E258="",F258&lt;&gt;""),F258,0)</f>
        <v>0</v>
      </c>
      <c r="G265" s="24" t="n">
        <f aca="false">IF(AND(F258="",G258&lt;&gt;""),G258,0)</f>
        <v>0</v>
      </c>
      <c r="H265" s="24" t="n">
        <f aca="false">IF(AND(G258="",H258&lt;&gt;""),H258,0)</f>
        <v>0</v>
      </c>
      <c r="I265" s="24" t="n">
        <f aca="false">IF(AND(H258="",I258&lt;&gt;""),I258,0)</f>
        <v>0</v>
      </c>
      <c r="J265" s="24" t="n">
        <f aca="false">IF(AND(I258="",J258&lt;&gt;""),J258,0)</f>
        <v>0</v>
      </c>
      <c r="K265" s="24" t="n">
        <f aca="false">IF(AND(J258="",K258&lt;&gt;""),K258,0)</f>
        <v>0</v>
      </c>
      <c r="L265" s="24" t="n">
        <f aca="false">IF(AND(K258="",L258&lt;&gt;""),L258,0)</f>
        <v>0</v>
      </c>
      <c r="M265" s="24" t="n">
        <f aca="false">IF(AND(L258="",M258&lt;&gt;""),M258,0)</f>
        <v>0</v>
      </c>
    </row>
    <row r="266" customFormat="false" ht="17.15" hidden="false" customHeight="false" outlineLevel="0" collapsed="false">
      <c r="A266" s="5" t="s">
        <v>998</v>
      </c>
      <c r="B266" s="0" t="s">
        <v>1228</v>
      </c>
      <c r="C266" s="0" t="s">
        <v>52</v>
      </c>
      <c r="D266" s="23" t="n">
        <f aca="false">D$12</f>
        <v>0.238210067173108</v>
      </c>
      <c r="E266" s="23" t="n">
        <f aca="false">E$12</f>
        <v>0.238210067173108</v>
      </c>
      <c r="F266" s="23" t="n">
        <f aca="false">F$12</f>
        <v>0.238210067173108</v>
      </c>
      <c r="G266" s="23" t="n">
        <f aca="false">G$12</f>
        <v>0.238210067173108</v>
      </c>
      <c r="H266" s="23" t="n">
        <f aca="false">H$12</f>
        <v>0.273101862203342</v>
      </c>
      <c r="I266" s="23" t="n">
        <f aca="false">I$12</f>
        <v>0.269621396123668</v>
      </c>
      <c r="J266" s="23" t="n">
        <f aca="false">J$12</f>
        <v>0.272187509408712</v>
      </c>
      <c r="K266" s="23" t="n">
        <f aca="false">K$12</f>
        <v>0.272187509408712</v>
      </c>
      <c r="L266" s="23" t="n">
        <f aca="false">L$12</f>
        <v>0.272187509408712</v>
      </c>
      <c r="M266" s="23" t="n">
        <f aca="false">M$12</f>
        <v>0.272187509408712</v>
      </c>
    </row>
    <row r="268" customFormat="false" ht="17.15" hidden="false" customHeight="false" outlineLevel="0" collapsed="false">
      <c r="A268" s="21" t="s">
        <v>1229</v>
      </c>
      <c r="B268" s="20" t="s">
        <v>552</v>
      </c>
      <c r="N268" s="20" t="s">
        <v>1230</v>
      </c>
    </row>
    <row r="269" customFormat="false" ht="17.15" hidden="false" customHeight="false" outlineLevel="0" collapsed="false">
      <c r="A269" s="5" t="s">
        <v>966</v>
      </c>
      <c r="B269" s="0" t="s">
        <v>1231</v>
      </c>
      <c r="C269" s="0" t="s">
        <v>77</v>
      </c>
      <c r="D269" s="24" t="str">
        <f aca="false">IF(In!$H$121="","",IF(In!$C$121="設施",In!$H$121/1000/D$13,In!$H$121/1000))</f>
        <v/>
      </c>
      <c r="E269" s="24" t="str">
        <f aca="false">IF(In!$I$121="","",IF(In!$C$121="設施",In!$I$121/1000/E$13,In!$I$121/1000))</f>
        <v/>
      </c>
      <c r="F269" s="24" t="n">
        <f aca="false">IF(In!$J$121="","",IF(In!$C$121="設施",In!$J$121/1000/F$13,In!$J$121/1000))</f>
        <v>8.33333333333333</v>
      </c>
      <c r="G269" s="24" t="n">
        <f aca="false">IF(In!$K$121="","",IF(In!$C$121="設施",In!$K$121/1000/G$13,In!$K$121/1000))</f>
        <v>11.6666666666667</v>
      </c>
      <c r="H269" s="24" t="str">
        <f aca="false">IF(In!$L$121="","",IF(In!$C$121="設施",In!$L$121/1000/H$13,In!$L$121/1000))</f>
        <v/>
      </c>
      <c r="I269" s="24" t="str">
        <f aca="false">IF(In!$M$121="","",IF(In!$C$121="設施",In!$M$121/1000/I$13,In!$M$121/1000))</f>
        <v/>
      </c>
      <c r="J269" s="24" t="str">
        <f aca="false">IF(In!$N$121="","",IF(In!$C$121="設施",In!$N$121/1000/J$13,In!$N$121/1000))</f>
        <v/>
      </c>
      <c r="K269" s="24" t="str">
        <f aca="false">IF(In!$O$121="","",IF(In!$C$121="設施",In!$O$121/1000/K$13,In!$O$121/1000))</f>
        <v/>
      </c>
      <c r="L269" s="24" t="str">
        <f aca="false">IF(In!$P$121="","",IF(In!$C$121="設施",In!$P$121/1000/L$13,In!$P$121/1000))</f>
        <v/>
      </c>
      <c r="M269" s="24" t="str">
        <f aca="false">IF(In!$Q$121="","",IF(In!$C$121="設施",In!$Q$121/1000/M$13,In!$Q$121/1000))</f>
        <v/>
      </c>
    </row>
    <row r="270" customFormat="false" ht="17.15" hidden="false" customHeight="false" outlineLevel="0" collapsed="false">
      <c r="A270" s="5" t="s">
        <v>968</v>
      </c>
      <c r="B270" s="0" t="s">
        <v>1232</v>
      </c>
      <c r="C270" s="0" t="s">
        <v>77</v>
      </c>
      <c r="D270" s="0" t="str">
        <f aca="false">""</f>
        <v/>
      </c>
      <c r="E270" s="0" t="str">
        <f aca="false">""</f>
        <v/>
      </c>
      <c r="F270" s="0" t="str">
        <f aca="false">""</f>
        <v/>
      </c>
      <c r="G270" s="0" t="str">
        <f aca="false">""</f>
        <v/>
      </c>
      <c r="H270" s="0" t="str">
        <f aca="false">""</f>
        <v/>
      </c>
      <c r="I270" s="0" t="str">
        <f aca="false">""</f>
        <v/>
      </c>
      <c r="J270" s="0" t="str">
        <f aca="false">""</f>
        <v/>
      </c>
      <c r="K270" s="0" t="str">
        <f aca="false">""</f>
        <v/>
      </c>
      <c r="L270" s="0" t="str">
        <f aca="false">""</f>
        <v/>
      </c>
      <c r="M270" s="0" t="str">
        <f aca="false">""</f>
        <v/>
      </c>
    </row>
    <row r="271" customFormat="false" ht="15" hidden="false" customHeight="false" outlineLevel="0" collapsed="false">
      <c r="A271" s="5" t="s">
        <v>970</v>
      </c>
      <c r="B271" s="0" t="s">
        <v>1233</v>
      </c>
      <c r="C271" s="0" t="s">
        <v>77</v>
      </c>
      <c r="D271" s="0" t="str">
        <f aca="false">IF(D269&lt;&gt;"",D269,IF(D270&lt;&gt;"",D270,""))</f>
        <v/>
      </c>
      <c r="E271" s="0" t="str">
        <f aca="false">IF(E269&lt;&gt;"",E269,IF(E270&lt;&gt;"",E270,""))</f>
        <v/>
      </c>
      <c r="F271" s="24" t="n">
        <f aca="false">IF(F269&lt;&gt;"",F269,IF(F270&lt;&gt;"",F270,""))</f>
        <v>8.33333333333333</v>
      </c>
      <c r="G271" s="24" t="n">
        <f aca="false">IF(G269&lt;&gt;"",G269,IF(G270&lt;&gt;"",G270,""))</f>
        <v>11.6666666666667</v>
      </c>
      <c r="H271" s="0" t="str">
        <f aca="false">IF(H269&lt;&gt;"",H269,IF(H270&lt;&gt;"",H270,""))</f>
        <v/>
      </c>
      <c r="I271" s="0" t="str">
        <f aca="false">IF(I269&lt;&gt;"",I269,IF(I270&lt;&gt;"",I270,""))</f>
        <v/>
      </c>
      <c r="J271" s="0" t="str">
        <f aca="false">IF(J269&lt;&gt;"",J269,IF(J270&lt;&gt;"",J270,""))</f>
        <v/>
      </c>
      <c r="K271" s="0" t="str">
        <f aca="false">IF(K269&lt;&gt;"",K269,IF(K270&lt;&gt;"",K270,""))</f>
        <v/>
      </c>
      <c r="L271" s="0" t="str">
        <f aca="false">IF(L269&lt;&gt;"",L269,IF(L270&lt;&gt;"",L270,""))</f>
        <v/>
      </c>
      <c r="M271" s="0" t="str">
        <f aca="false">IF(M269&lt;&gt;"",M269,IF(M270&lt;&gt;"",M270,""))</f>
        <v/>
      </c>
    </row>
    <row r="272" customFormat="false" ht="15" hidden="false" customHeight="false" outlineLevel="0" collapsed="false">
      <c r="A272" s="5" t="s">
        <v>972</v>
      </c>
      <c r="B272" s="0" t="s">
        <v>1234</v>
      </c>
      <c r="C272" s="0" t="s">
        <v>77</v>
      </c>
      <c r="D272" s="0" t="str">
        <f aca="false">IF(D271&lt;&gt;"",D271,"")</f>
        <v/>
      </c>
      <c r="E272" s="0" t="str">
        <f aca="false">IF(E271&lt;&gt;"",E271,D272)</f>
        <v/>
      </c>
      <c r="F272" s="24" t="n">
        <f aca="false">IF(F271&lt;&gt;"",F271,E272)</f>
        <v>8.33333333333333</v>
      </c>
      <c r="G272" s="24" t="n">
        <f aca="false">IF(G271&lt;&gt;"",G271,F272)</f>
        <v>11.6666666666667</v>
      </c>
      <c r="H272" s="24" t="n">
        <f aca="false">IF(H271&lt;&gt;"",H271,G272)</f>
        <v>11.6666666666667</v>
      </c>
      <c r="I272" s="24" t="n">
        <f aca="false">IF(I271&lt;&gt;"",I271,H272)</f>
        <v>11.6666666666667</v>
      </c>
      <c r="J272" s="24" t="n">
        <f aca="false">IF(J271&lt;&gt;"",J271,I272)</f>
        <v>11.6666666666667</v>
      </c>
      <c r="K272" s="24" t="n">
        <f aca="false">IF(K271&lt;&gt;"",K271,J272)</f>
        <v>11.6666666666667</v>
      </c>
      <c r="L272" s="24" t="n">
        <f aca="false">IF(L271&lt;&gt;"",L271,K272)</f>
        <v>11.6666666666667</v>
      </c>
      <c r="M272" s="24" t="n">
        <f aca="false">IF(M271&lt;&gt;"",M271,L272)</f>
        <v>11.6666666666667</v>
      </c>
    </row>
    <row r="273" customFormat="false" ht="15" hidden="false" customHeight="false" outlineLevel="0" collapsed="false">
      <c r="A273" s="5" t="s">
        <v>974</v>
      </c>
      <c r="B273" s="0" t="s">
        <v>1235</v>
      </c>
      <c r="C273" s="5" t="s">
        <v>47</v>
      </c>
      <c r="D273" s="0" t="str">
        <f aca="false">IF(D271&lt;&gt;"",2023,"")</f>
        <v/>
      </c>
      <c r="E273" s="0" t="str">
        <f aca="false">IF(E271&lt;&gt;"",2024,D273)</f>
        <v/>
      </c>
      <c r="F273" s="0" t="n">
        <f aca="false">IF(F271&lt;&gt;"",2025,E273)</f>
        <v>2025</v>
      </c>
      <c r="G273" s="0" t="n">
        <f aca="false">IF(G271&lt;&gt;"",2026,F273)</f>
        <v>2026</v>
      </c>
      <c r="H273" s="0" t="n">
        <f aca="false">IF(H271&lt;&gt;"",2027,G273)</f>
        <v>2026</v>
      </c>
      <c r="I273" s="0" t="n">
        <f aca="false">IF(I271&lt;&gt;"",2028,H273)</f>
        <v>2026</v>
      </c>
      <c r="J273" s="0" t="n">
        <f aca="false">IF(J271&lt;&gt;"",2029,I273)</f>
        <v>2026</v>
      </c>
      <c r="K273" s="0" t="n">
        <f aca="false">IF(K271&lt;&gt;"",2030,J273)</f>
        <v>2026</v>
      </c>
      <c r="L273" s="0" t="n">
        <f aca="false">IF(L271&lt;&gt;"",2031,K273)</f>
        <v>2026</v>
      </c>
      <c r="M273" s="0" t="n">
        <f aca="false">IF(M271&lt;&gt;"",2032,L273)</f>
        <v>2026</v>
      </c>
    </row>
    <row r="274" customFormat="false" ht="15" hidden="false" customHeight="false" outlineLevel="0" collapsed="false">
      <c r="A274" s="5" t="s">
        <v>976</v>
      </c>
      <c r="B274" s="0" t="s">
        <v>1236</v>
      </c>
      <c r="C274" s="0" t="s">
        <v>77</v>
      </c>
      <c r="D274" s="24" t="n">
        <f aca="false">IF(D271&lt;&gt;"",D271,E274)</f>
        <v>8.33333333333333</v>
      </c>
      <c r="E274" s="24" t="n">
        <f aca="false">IF(E271&lt;&gt;"",E271,F274)</f>
        <v>8.33333333333333</v>
      </c>
      <c r="F274" s="24" t="n">
        <f aca="false">IF(F271&lt;&gt;"",F271,G274)</f>
        <v>8.33333333333333</v>
      </c>
      <c r="G274" s="24" t="n">
        <f aca="false">IF(G271&lt;&gt;"",G271,H274)</f>
        <v>11.6666666666667</v>
      </c>
      <c r="H274" s="0" t="str">
        <f aca="false">IF(H271&lt;&gt;"",H271,I274)</f>
        <v/>
      </c>
      <c r="I274" s="0" t="str">
        <f aca="false">IF(I271&lt;&gt;"",I271,J274)</f>
        <v/>
      </c>
      <c r="J274" s="0" t="str">
        <f aca="false">IF(J271&lt;&gt;"",J271,K274)</f>
        <v/>
      </c>
      <c r="K274" s="0" t="str">
        <f aca="false">IF(K271&lt;&gt;"",K271,L274)</f>
        <v/>
      </c>
      <c r="L274" s="0" t="str">
        <f aca="false">IF(L271&lt;&gt;"",L271,M274)</f>
        <v/>
      </c>
      <c r="M274" s="0" t="str">
        <f aca="false">IF(M271&lt;&gt;"",M271,"")</f>
        <v/>
      </c>
    </row>
    <row r="275" customFormat="false" ht="15" hidden="false" customHeight="false" outlineLevel="0" collapsed="false">
      <c r="A275" s="5" t="s">
        <v>978</v>
      </c>
      <c r="B275" s="0" t="s">
        <v>1237</v>
      </c>
      <c r="C275" s="5" t="s">
        <v>47</v>
      </c>
      <c r="D275" s="0" t="n">
        <f aca="false">IF(D271&lt;&gt;"",2023,E275)</f>
        <v>2025</v>
      </c>
      <c r="E275" s="0" t="n">
        <f aca="false">IF(E271&lt;&gt;"",2024,F275)</f>
        <v>2025</v>
      </c>
      <c r="F275" s="0" t="n">
        <f aca="false">IF(F271&lt;&gt;"",2025,G275)</f>
        <v>2025</v>
      </c>
      <c r="G275" s="0" t="n">
        <f aca="false">IF(G271&lt;&gt;"",2026,H275)</f>
        <v>2026</v>
      </c>
      <c r="H275" s="0" t="str">
        <f aca="false">IF(H271&lt;&gt;"",2027,I275)</f>
        <v/>
      </c>
      <c r="I275" s="0" t="str">
        <f aca="false">IF(I271&lt;&gt;"",2028,J275)</f>
        <v/>
      </c>
      <c r="J275" s="0" t="str">
        <f aca="false">IF(J271&lt;&gt;"",2029,K275)</f>
        <v/>
      </c>
      <c r="K275" s="0" t="str">
        <f aca="false">IF(K271&lt;&gt;"",2030,L275)</f>
        <v/>
      </c>
      <c r="L275" s="0" t="str">
        <f aca="false">IF(L271&lt;&gt;"",2031,M275)</f>
        <v/>
      </c>
      <c r="M275" s="0" t="str">
        <f aca="false">IF(M271&lt;&gt;"",2032,"")</f>
        <v/>
      </c>
    </row>
    <row r="276" customFormat="false" ht="17.15" hidden="false" customHeight="false" outlineLevel="0" collapsed="false">
      <c r="A276" s="5" t="s">
        <v>980</v>
      </c>
      <c r="B276" s="0" t="s">
        <v>1238</v>
      </c>
      <c r="C276" s="0" t="s">
        <v>77</v>
      </c>
      <c r="D276" s="24" t="n">
        <f aca="false">SUMIFS(Pipeline!$L$5:$L$64,Pipeline!$C$5:$C$64,"cn",Pipeline!$Q$5:$Q$64,1,Pipeline!$P$5:$P$64,2023)</f>
        <v>0</v>
      </c>
      <c r="E276" s="24" t="n">
        <f aca="false">SUMIFS(Pipeline!$L$5:$L$64,Pipeline!$C$5:$C$64,"cn",Pipeline!$Q$5:$Q$64,1,Pipeline!$P$5:$P$64,2024)</f>
        <v>0</v>
      </c>
      <c r="F276" s="24" t="n">
        <f aca="false">SUMIFS(Pipeline!$L$5:$L$64,Pipeline!$C$5:$C$64,"cn",Pipeline!$Q$5:$Q$64,1,Pipeline!$P$5:$P$64,2025)</f>
        <v>0</v>
      </c>
      <c r="G276" s="24" t="n">
        <f aca="false">SUMIFS(Pipeline!$L$5:$L$64,Pipeline!$C$5:$C$64,"cn",Pipeline!$Q$5:$Q$64,1,Pipeline!$P$5:$P$64,2026)</f>
        <v>0</v>
      </c>
      <c r="H276" s="24" t="n">
        <f aca="false">SUMIFS(Pipeline!$L$5:$L$64,Pipeline!$C$5:$C$64,"cn",Pipeline!$Q$5:$Q$64,1,Pipeline!$P$5:$P$64,2027)</f>
        <v>0</v>
      </c>
      <c r="I276" s="24" t="n">
        <f aca="false">SUMIFS(Pipeline!$L$5:$L$64,Pipeline!$C$5:$C$64,"cn",Pipeline!$Q$5:$Q$64,1,Pipeline!$P$5:$P$64,2028)</f>
        <v>0</v>
      </c>
      <c r="J276" s="24" t="n">
        <f aca="false">SUMIFS(Pipeline!$L$5:$L$64,Pipeline!$C$5:$C$64,"cn",Pipeline!$Q$5:$Q$64,1,Pipeline!$P$5:$P$64,2029)</f>
        <v>0</v>
      </c>
      <c r="K276" s="24" t="n">
        <f aca="false">SUMIFS(Pipeline!$L$5:$L$64,Pipeline!$C$5:$C$64,"cn",Pipeline!$Q$5:$Q$64,1,Pipeline!$P$5:$P$64,2030)</f>
        <v>0</v>
      </c>
      <c r="L276" s="24" t="n">
        <f aca="false">SUMIFS(Pipeline!$L$5:$L$64,Pipeline!$C$5:$C$64,"cn",Pipeline!$Q$5:$Q$64,1,Pipeline!$P$5:$P$64,2031)</f>
        <v>0</v>
      </c>
      <c r="M276" s="24" t="n">
        <f aca="false">SUMIFS(Pipeline!$L$5:$L$64,Pipeline!$C$5:$C$64,"cn",Pipeline!$Q$5:$Q$64,1,Pipeline!$P$5:$P$64,2032)</f>
        <v>0</v>
      </c>
    </row>
    <row r="277" customFormat="false" ht="17.15" hidden="false" customHeight="false" outlineLevel="0" collapsed="false">
      <c r="A277" s="5" t="s">
        <v>982</v>
      </c>
      <c r="B277" s="0" t="s">
        <v>1239</v>
      </c>
      <c r="C277" s="0" t="s">
        <v>77</v>
      </c>
      <c r="D277" s="25" t="str">
        <f aca="false">IF(D271&lt;&gt;"",D271,IF(AND(D272&lt;&gt;"",D274&lt;&gt;""),D272+(D274-D272)*(2023-D273)/(D275-D273),""))</f>
        <v/>
      </c>
      <c r="E277" s="25" t="str">
        <f aca="false">IF(E271&lt;&gt;"",E271,IF(AND(E272&lt;&gt;"",E274&lt;&gt;""),E272+(E274-E272)*(2024-E273)/(E275-E273),IF(D277&lt;&gt;"",D277+E276,"")))</f>
        <v/>
      </c>
      <c r="F277" s="25" t="n">
        <f aca="false">IF(F271&lt;&gt;"",F271,IF(AND(F272&lt;&gt;"",F274&lt;&gt;""),F272+(F274-F272)*(2025-F273)/(F275-F273),IF(E277&lt;&gt;"",E277+F276,"")))</f>
        <v>8.33333333333333</v>
      </c>
      <c r="G277" s="25" t="n">
        <f aca="false">IF(G271&lt;&gt;"",G271,IF(AND(G272&lt;&gt;"",G274&lt;&gt;""),G272+(G274-G272)*(2026-G273)/(G275-G273),IF(F277&lt;&gt;"",F277+G276,"")))</f>
        <v>11.6666666666667</v>
      </c>
      <c r="H277" s="25" t="n">
        <f aca="false">IF(H271&lt;&gt;"",H271,IF(AND(H272&lt;&gt;"",H274&lt;&gt;""),H272+(H274-H272)*(2027-H273)/(H275-H273),IF(G277="","",G277*(cn_tot26*(cn_tot30/cn_tot26)^((2027-2026)/4))*(cn_sh26+(cn_sh30-cn_sh26)*(2027-2026)/4)/(cn_tot26*cn_sh26))))</f>
        <v>13.6561711245072</v>
      </c>
      <c r="I277" s="25" t="n">
        <f aca="false">IF(I271&lt;&gt;"",I271,IF(AND(I272&lt;&gt;"",I274&lt;&gt;""),I272+(I274-I272)*(2028-I273)/(I275-I273),IF(G277="","",G277*(cn_tot26*(cn_tot30/cn_tot26)^((2028-2026)/4))*(cn_sh26+(cn_sh30-cn_sh26)*(2028-2026)/4)/(cn_tot26*cn_sh26))))</f>
        <v>15.9373851854162</v>
      </c>
      <c r="J277" s="25" t="n">
        <f aca="false">IF(J271&lt;&gt;"",J271,IF(AND(J272&lt;&gt;"",J274&lt;&gt;""),J272+(J274-J272)*(2029-J273)/(J275-J273),IF(G277="","",G277*(cn_tot26*(cn_tot30/cn_tot26)^((2029-2026)/4))*(cn_sh26+(cn_sh30-cn_sh26)*(2029-2026)/4)/(cn_tot26*cn_sh26))))</f>
        <v>18.5499065164136</v>
      </c>
      <c r="K277" s="25" t="n">
        <f aca="false">IF(K271&lt;&gt;"",K271,IF(AND(K272&lt;&gt;"",K274&lt;&gt;""),K272+(K274-K272)*(2030-K273)/(K275-K273),IF(G277="","",G277*(cn_tot26*(cn_tot30/cn_tot26)^((2030-2026)/4))*(cn_sh26+(cn_sh30-cn_sh26)*(2030-2026)/4)/(cn_tot26*cn_sh26))))</f>
        <v>21.5384615384615</v>
      </c>
      <c r="L277" s="25" t="n">
        <f aca="false">IF(L271&lt;&gt;"",L271,IF(AND(L272&lt;&gt;"",L274&lt;&gt;""),L272+(L274-L272)*(2031-L273)/(L275-L273),IF(K277&lt;&gt;"",K277*(1+g_lt),"")))</f>
        <v>23.6923076923077</v>
      </c>
      <c r="M277" s="25" t="n">
        <f aca="false">IF(M271&lt;&gt;"",M271,IF(AND(M272&lt;&gt;"",M274&lt;&gt;""),M272+(M274-M272)*(2032-M273)/(M275-M273),IF(L277&lt;&gt;"",L277*(1+g_lt),"")))</f>
        <v>26.0615384615385</v>
      </c>
    </row>
    <row r="278" customFormat="false" ht="15" hidden="false" customHeight="false" outlineLevel="0" collapsed="false">
      <c r="A278" s="5" t="s">
        <v>984</v>
      </c>
      <c r="B278" s="0" t="s">
        <v>1240</v>
      </c>
      <c r="C278" s="0" t="s">
        <v>35</v>
      </c>
      <c r="D278" s="0" t="n">
        <f aca="false">IF(D269&lt;&gt;"",1,IF(D270&lt;&gt;"",5,IF(D271&lt;&gt;"",2,IF(AND(D272&lt;&gt;"",D274&lt;&gt;""),3,IF(D277&lt;&gt;"",4,0)))))</f>
        <v>0</v>
      </c>
      <c r="E278" s="0" t="n">
        <f aca="false">IF(E269&lt;&gt;"",1,IF(E270&lt;&gt;"",5,IF(E271&lt;&gt;"",2,IF(AND(E272&lt;&gt;"",E274&lt;&gt;""),3,IF(E277&lt;&gt;"",4,0)))))</f>
        <v>0</v>
      </c>
      <c r="F278" s="0" t="n">
        <f aca="false">IF(F269&lt;&gt;"",1,IF(F270&lt;&gt;"",5,IF(F271&lt;&gt;"",2,IF(AND(F272&lt;&gt;"",F274&lt;&gt;""),3,IF(F277&lt;&gt;"",4,0)))))</f>
        <v>1</v>
      </c>
      <c r="G278" s="0" t="n">
        <f aca="false">IF(G269&lt;&gt;"",1,IF(G270&lt;&gt;"",5,IF(G271&lt;&gt;"",2,IF(AND(G272&lt;&gt;"",G274&lt;&gt;""),3,IF(G277&lt;&gt;"",4,0)))))</f>
        <v>1</v>
      </c>
      <c r="H278" s="0" t="n">
        <f aca="false">IF(H269&lt;&gt;"",1,IF(H270&lt;&gt;"",5,IF(H271&lt;&gt;"",2,IF(AND(H272&lt;&gt;"",H274&lt;&gt;""),3,IF(H277&lt;&gt;"",4,0)))))</f>
        <v>4</v>
      </c>
      <c r="I278" s="0" t="n">
        <f aca="false">IF(I269&lt;&gt;"",1,IF(I270&lt;&gt;"",5,IF(I271&lt;&gt;"",2,IF(AND(I272&lt;&gt;"",I274&lt;&gt;""),3,IF(I277&lt;&gt;"",4,0)))))</f>
        <v>4</v>
      </c>
      <c r="J278" s="0" t="n">
        <f aca="false">IF(J269&lt;&gt;"",1,IF(J270&lt;&gt;"",5,IF(J271&lt;&gt;"",2,IF(AND(J272&lt;&gt;"",J274&lt;&gt;""),3,IF(J277&lt;&gt;"",4,0)))))</f>
        <v>4</v>
      </c>
      <c r="K278" s="0" t="n">
        <f aca="false">IF(K269&lt;&gt;"",1,IF(K270&lt;&gt;"",5,IF(K271&lt;&gt;"",2,IF(AND(K272&lt;&gt;"",K274&lt;&gt;""),3,IF(K277&lt;&gt;"",4,0)))))</f>
        <v>4</v>
      </c>
      <c r="L278" s="0" t="n">
        <f aca="false">IF(L269&lt;&gt;"",1,IF(L270&lt;&gt;"",5,IF(L271&lt;&gt;"",2,IF(AND(L272&lt;&gt;"",L274&lt;&gt;""),3,IF(L277&lt;&gt;"",4,0)))))</f>
        <v>4</v>
      </c>
      <c r="M278" s="0" t="n">
        <f aca="false">IF(M269&lt;&gt;"",1,IF(M270&lt;&gt;"",5,IF(M271&lt;&gt;"",2,IF(AND(M272&lt;&gt;"",M274&lt;&gt;""),3,IF(M277&lt;&gt;"",4,0)))))</f>
        <v>4</v>
      </c>
    </row>
    <row r="279" customFormat="false" ht="17.15" hidden="false" customHeight="false" outlineLevel="0" collapsed="false">
      <c r="A279" s="5" t="s">
        <v>986</v>
      </c>
      <c r="B279" s="0" t="s">
        <v>1241</v>
      </c>
      <c r="C279" s="0" t="s">
        <v>77</v>
      </c>
      <c r="D279" s="24" t="str">
        <f aca="false">IF(D277="","",D277)</f>
        <v/>
      </c>
      <c r="E279" s="24" t="str">
        <f aca="false">IF(E277="","",E277)</f>
        <v/>
      </c>
      <c r="F279" s="24" t="n">
        <f aca="false">IF(F277="","",rng25_cn_lo/1000/F$13)</f>
        <v>6.66666666666667</v>
      </c>
      <c r="G279" s="24" t="n">
        <f aca="false">IF(G277="","",rng26_cn_lo/1000/G$13)</f>
        <v>10</v>
      </c>
      <c r="H279" s="24" t="n">
        <f aca="false">IF(H277="","",H277)</f>
        <v>13.6561711245072</v>
      </c>
      <c r="I279" s="24" t="n">
        <f aca="false">IF(I277="","",I277)</f>
        <v>15.9373851854162</v>
      </c>
      <c r="J279" s="24" t="n">
        <f aca="false">IF(J277="","",J277)</f>
        <v>18.5499065164136</v>
      </c>
      <c r="K279" s="24" t="n">
        <f aca="false">IF(K277="","",K277)</f>
        <v>21.5384615384615</v>
      </c>
      <c r="L279" s="24" t="n">
        <f aca="false">IF(L277="","",L277)</f>
        <v>23.6923076923077</v>
      </c>
      <c r="M279" s="24" t="n">
        <f aca="false">IF(M277="","",M277)</f>
        <v>26.0615384615385</v>
      </c>
    </row>
    <row r="280" customFormat="false" ht="17.15" hidden="false" customHeight="false" outlineLevel="0" collapsed="false">
      <c r="A280" s="5" t="s">
        <v>988</v>
      </c>
      <c r="B280" s="0" t="s">
        <v>1242</v>
      </c>
      <c r="C280" s="0" t="s">
        <v>77</v>
      </c>
      <c r="D280" s="24" t="str">
        <f aca="false">IF(D277="","",D277)</f>
        <v/>
      </c>
      <c r="E280" s="24" t="str">
        <f aca="false">IF(E277="","",E277)</f>
        <v/>
      </c>
      <c r="F280" s="24" t="n">
        <f aca="false">IF(F277="","",rng25_cn_hi/1000/F$13)</f>
        <v>10</v>
      </c>
      <c r="G280" s="24" t="n">
        <f aca="false">IF(G277="","",rng26_cn_hi/1000/G$13)</f>
        <v>13.3333333333333</v>
      </c>
      <c r="H280" s="24" t="n">
        <f aca="false">IF(H277="","",H277)</f>
        <v>13.6561711245072</v>
      </c>
      <c r="I280" s="24" t="n">
        <f aca="false">IF(I277="","",I277)</f>
        <v>15.9373851854162</v>
      </c>
      <c r="J280" s="24" t="n">
        <f aca="false">IF(J277="","",J277)</f>
        <v>18.5499065164136</v>
      </c>
      <c r="K280" s="24" t="n">
        <f aca="false">IF(K277="","",K277)</f>
        <v>21.5384615384615</v>
      </c>
      <c r="L280" s="24" t="n">
        <f aca="false">IF(L277="","",L277)</f>
        <v>23.6923076923077</v>
      </c>
      <c r="M280" s="24" t="n">
        <f aca="false">IF(M277="","",M277)</f>
        <v>26.0615384615385</v>
      </c>
    </row>
    <row r="281" customFormat="false" ht="17.15" hidden="false" customHeight="false" outlineLevel="0" collapsed="false">
      <c r="A281" s="5" t="s">
        <v>990</v>
      </c>
      <c r="B281" s="0" t="s">
        <v>1243</v>
      </c>
      <c r="C281" s="0" t="s">
        <v>77</v>
      </c>
      <c r="D281" s="24" t="str">
        <f aca="false">IF(D277="","",IF(In!$C$121="未說明",D277/D$13,D277))</f>
        <v/>
      </c>
      <c r="E281" s="24" t="str">
        <f aca="false">IF(E277="","",IF(In!$C$121="未說明",E277/E$13,E277))</f>
        <v/>
      </c>
      <c r="F281" s="24" t="n">
        <f aca="false">IF(F277="","",IF(In!$C$121="未說明",F277/F$13,F277))</f>
        <v>8.33333333333333</v>
      </c>
      <c r="G281" s="24" t="n">
        <f aca="false">IF(G277="","",IF(In!$C$121="未說明",G277/G$13,G277))</f>
        <v>11.6666666666667</v>
      </c>
      <c r="H281" s="24" t="n">
        <f aca="false">IF(H277="","",IF(In!$C$121="未說明",H277/H$13,H277))</f>
        <v>13.6561711245072</v>
      </c>
      <c r="I281" s="24" t="n">
        <f aca="false">IF(I277="","",IF(In!$C$121="未說明",I277/I$13,I277))</f>
        <v>15.9373851854162</v>
      </c>
      <c r="J281" s="24" t="n">
        <f aca="false">IF(J277="","",IF(In!$C$121="未說明",J277/J$13,J277))</f>
        <v>18.5499065164136</v>
      </c>
      <c r="K281" s="24" t="n">
        <f aca="false">IF(K277="","",IF(In!$C$121="未說明",K277/K$13,K277))</f>
        <v>21.5384615384615</v>
      </c>
      <c r="L281" s="24" t="n">
        <f aca="false">IF(L277="","",IF(In!$C$121="未說明",L277/L$13,L277))</f>
        <v>23.6923076923077</v>
      </c>
      <c r="M281" s="24" t="n">
        <f aca="false">IF(M277="","",IF(In!$C$121="未說明",M277/M$13,M277))</f>
        <v>26.0615384615385</v>
      </c>
    </row>
    <row r="282" customFormat="false" ht="17.15" hidden="false" customHeight="false" outlineLevel="0" collapsed="false">
      <c r="A282" s="5" t="s">
        <v>992</v>
      </c>
      <c r="B282" s="0" t="s">
        <v>1244</v>
      </c>
      <c r="C282" s="0" t="s">
        <v>77</v>
      </c>
      <c r="D282" s="0" t="str">
        <f aca="false">""</f>
        <v/>
      </c>
      <c r="E282" s="24" t="str">
        <f aca="false">IF(AND(D277&lt;&gt;"",E277&lt;&gt;""),(D277+E277)/2,"")</f>
        <v/>
      </c>
      <c r="F282" s="24" t="str">
        <f aca="false">IF(AND(E277&lt;&gt;"",F277&lt;&gt;""),(E277+F277)/2,"")</f>
        <v/>
      </c>
      <c r="G282" s="24" t="n">
        <f aca="false">IF(AND(F277&lt;&gt;"",G277&lt;&gt;""),(F277+G277)/2,"")</f>
        <v>10</v>
      </c>
      <c r="H282" s="24" t="n">
        <f aca="false">IF(AND(G277&lt;&gt;"",H277&lt;&gt;""),(G277+H277)/2,"")</f>
        <v>12.6614188955869</v>
      </c>
      <c r="I282" s="24" t="n">
        <f aca="false">IF(AND(H277&lt;&gt;"",I277&lt;&gt;""),(H277+I277)/2,"")</f>
        <v>14.7967781549617</v>
      </c>
      <c r="J282" s="24" t="n">
        <f aca="false">IF(AND(I277&lt;&gt;"",J277&lt;&gt;""),(I277+J277)/2,"")</f>
        <v>17.2436458509149</v>
      </c>
      <c r="K282" s="24" t="n">
        <f aca="false">IF(AND(J277&lt;&gt;"",K277&lt;&gt;""),(J277+K277)/2,"")</f>
        <v>20.0441840274376</v>
      </c>
      <c r="L282" s="24" t="n">
        <f aca="false">IF(AND(K277&lt;&gt;"",L277&lt;&gt;""),(K277+L277)/2,"")</f>
        <v>22.6153846153846</v>
      </c>
      <c r="M282" s="24" t="n">
        <f aca="false">IF(AND(L277&lt;&gt;"",M277&lt;&gt;""),(L277+M277)/2,"")</f>
        <v>24.8769230769231</v>
      </c>
    </row>
    <row r="283" customFormat="false" ht="17.15" hidden="false" customHeight="false" outlineLevel="0" collapsed="false">
      <c r="A283" s="5" t="s">
        <v>994</v>
      </c>
      <c r="B283" s="0" t="s">
        <v>1245</v>
      </c>
      <c r="C283" s="0" t="s">
        <v>77</v>
      </c>
      <c r="D283" s="0" t="n">
        <v>0</v>
      </c>
      <c r="E283" s="24" t="n">
        <f aca="false">IF(AND(D277&lt;&gt;"",E277&lt;&gt;""),E277-D277,0)</f>
        <v>0</v>
      </c>
      <c r="F283" s="24" t="n">
        <f aca="false">IF(AND(E277&lt;&gt;"",F277&lt;&gt;""),F277-E277,0)</f>
        <v>0</v>
      </c>
      <c r="G283" s="24" t="n">
        <f aca="false">IF(AND(F277&lt;&gt;"",G277&lt;&gt;""),G277-F277,0)</f>
        <v>3.33333333333333</v>
      </c>
      <c r="H283" s="24" t="n">
        <f aca="false">IF(AND(G277&lt;&gt;"",H277&lt;&gt;""),H277-G277,0)</f>
        <v>1.9895044578405</v>
      </c>
      <c r="I283" s="24" t="n">
        <f aca="false">IF(AND(H277&lt;&gt;"",I277&lt;&gt;""),I277-H277,0)</f>
        <v>2.28121406090902</v>
      </c>
      <c r="J283" s="24" t="n">
        <f aca="false">IF(AND(I277&lt;&gt;"",J277&lt;&gt;""),J277-I277,0)</f>
        <v>2.61252133099745</v>
      </c>
      <c r="K283" s="24" t="n">
        <f aca="false">IF(AND(J277&lt;&gt;"",K277&lt;&gt;""),K277-J277,0)</f>
        <v>2.9885550220479</v>
      </c>
      <c r="L283" s="24" t="n">
        <f aca="false">IF(AND(K277&lt;&gt;"",L277&lt;&gt;""),L277-K277,0)</f>
        <v>2.15384615384616</v>
      </c>
      <c r="M283" s="24" t="n">
        <f aca="false">IF(AND(L277&lt;&gt;"",M277&lt;&gt;""),M277-L277,0)</f>
        <v>2.36923076923077</v>
      </c>
    </row>
    <row r="284" customFormat="false" ht="17.15" hidden="false" customHeight="false" outlineLevel="0" collapsed="false">
      <c r="A284" s="5" t="s">
        <v>996</v>
      </c>
      <c r="B284" s="0" t="s">
        <v>1246</v>
      </c>
      <c r="C284" s="0" t="s">
        <v>77</v>
      </c>
      <c r="D284" s="24" t="n">
        <f aca="false">IF(D277&lt;&gt;"",D277,0)</f>
        <v>0</v>
      </c>
      <c r="E284" s="24" t="n">
        <f aca="false">IF(AND(D277="",E277&lt;&gt;""),E277,0)</f>
        <v>0</v>
      </c>
      <c r="F284" s="24" t="n">
        <f aca="false">IF(AND(E277="",F277&lt;&gt;""),F277,0)</f>
        <v>8.33333333333333</v>
      </c>
      <c r="G284" s="24" t="n">
        <f aca="false">IF(AND(F277="",G277&lt;&gt;""),G277,0)</f>
        <v>0</v>
      </c>
      <c r="H284" s="24" t="n">
        <f aca="false">IF(AND(G277="",H277&lt;&gt;""),H277,0)</f>
        <v>0</v>
      </c>
      <c r="I284" s="24" t="n">
        <f aca="false">IF(AND(H277="",I277&lt;&gt;""),I277,0)</f>
        <v>0</v>
      </c>
      <c r="J284" s="24" t="n">
        <f aca="false">IF(AND(I277="",J277&lt;&gt;""),J277,0)</f>
        <v>0</v>
      </c>
      <c r="K284" s="24" t="n">
        <f aca="false">IF(AND(J277="",K277&lt;&gt;""),K277,0)</f>
        <v>0</v>
      </c>
      <c r="L284" s="24" t="n">
        <f aca="false">IF(AND(K277="",L277&lt;&gt;""),L277,0)</f>
        <v>0</v>
      </c>
      <c r="M284" s="24" t="n">
        <f aca="false">IF(AND(L277="",M277&lt;&gt;""),M277,0)</f>
        <v>0</v>
      </c>
    </row>
    <row r="285" customFormat="false" ht="17.15" hidden="false" customHeight="false" outlineLevel="0" collapsed="false">
      <c r="A285" s="5" t="s">
        <v>998</v>
      </c>
      <c r="B285" s="0" t="s">
        <v>1247</v>
      </c>
      <c r="C285" s="0" t="s">
        <v>52</v>
      </c>
      <c r="D285" s="23" t="n">
        <f aca="false">D$12</f>
        <v>0.238210067173108</v>
      </c>
      <c r="E285" s="23" t="n">
        <f aca="false">E$12</f>
        <v>0.238210067173108</v>
      </c>
      <c r="F285" s="23" t="n">
        <f aca="false">F$12</f>
        <v>0.238210067173108</v>
      </c>
      <c r="G285" s="23" t="n">
        <f aca="false">G$12</f>
        <v>0.238210067173108</v>
      </c>
      <c r="H285" s="23" t="n">
        <f aca="false">H$12</f>
        <v>0.273101862203342</v>
      </c>
      <c r="I285" s="23" t="n">
        <f aca="false">I$12</f>
        <v>0.269621396123668</v>
      </c>
      <c r="J285" s="23" t="n">
        <f aca="false">J$12</f>
        <v>0.272187509408712</v>
      </c>
      <c r="K285" s="23" t="n">
        <f aca="false">K$12</f>
        <v>0.272187509408712</v>
      </c>
      <c r="L285" s="23" t="n">
        <f aca="false">L$12</f>
        <v>0.272187509408712</v>
      </c>
      <c r="M285" s="23" t="n">
        <f aca="false">M$12</f>
        <v>0.272187509408712</v>
      </c>
    </row>
    <row r="287" customFormat="false" ht="17.15" hidden="false" customHeight="false" outlineLevel="0" collapsed="false">
      <c r="A287" s="21" t="s">
        <v>1248</v>
      </c>
      <c r="B287" s="20" t="s">
        <v>737</v>
      </c>
      <c r="N287" s="20" t="s">
        <v>1249</v>
      </c>
    </row>
    <row r="288" customFormat="false" ht="17.15" hidden="false" customHeight="false" outlineLevel="0" collapsed="false">
      <c r="A288" s="5" t="s">
        <v>966</v>
      </c>
      <c r="B288" s="0" t="s">
        <v>1250</v>
      </c>
      <c r="C288" s="0" t="s">
        <v>77</v>
      </c>
      <c r="D288" s="24" t="str">
        <f aca="false">IF(In!$H$122="","",IF(In!$C$122="設施",In!$H$122/1000/D$13,In!$H$122/1000))</f>
        <v/>
      </c>
      <c r="E288" s="24" t="str">
        <f aca="false">IF(In!$I$122="","",IF(In!$C$122="設施",In!$I$122/1000/E$13,In!$I$122/1000))</f>
        <v/>
      </c>
      <c r="F288" s="24" t="n">
        <f aca="false">IF(In!$J$122&lt;&gt;"",In!$J$122/1000,IF(other_incl_china=1,oth_excn,oth_full)/1000)</f>
        <v>1</v>
      </c>
      <c r="G288" s="24" t="str">
        <f aca="false">IF(In!$K$122="","",IF(In!$C$122="設施",In!$K$122/1000/G$13,In!$K$122/1000))</f>
        <v/>
      </c>
      <c r="H288" s="24" t="str">
        <f aca="false">IF(In!$L$122="","",IF(In!$C$122="設施",In!$L$122/1000/H$13,In!$L$122/1000))</f>
        <v/>
      </c>
      <c r="I288" s="24" t="str">
        <f aca="false">IF(In!$M$122="","",IF(In!$C$122="設施",In!$M$122/1000/I$13,In!$M$122/1000))</f>
        <v/>
      </c>
      <c r="J288" s="24" t="str">
        <f aca="false">IF(In!$N$122="","",IF(In!$C$122="設施",In!$N$122/1000/J$13,In!$N$122/1000))</f>
        <v/>
      </c>
      <c r="K288" s="24" t="str">
        <f aca="false">IF(In!$O$122="","",IF(In!$C$122="設施",In!$O$122/1000/K$13,In!$O$122/1000))</f>
        <v/>
      </c>
      <c r="L288" s="24" t="str">
        <f aca="false">IF(In!$P$122="","",IF(In!$C$122="設施",In!$P$122/1000/L$13,In!$P$122/1000))</f>
        <v/>
      </c>
      <c r="M288" s="24" t="str">
        <f aca="false">IF(In!$Q$122="","",IF(In!$C$122="設施",In!$Q$122/1000/M$13,In!$Q$122/1000))</f>
        <v/>
      </c>
    </row>
    <row r="289" customFormat="false" ht="17.15" hidden="false" customHeight="false" outlineLevel="0" collapsed="false">
      <c r="A289" s="5" t="s">
        <v>968</v>
      </c>
      <c r="B289" s="0" t="s">
        <v>1251</v>
      </c>
      <c r="C289" s="0" t="s">
        <v>77</v>
      </c>
      <c r="D289" s="0" t="str">
        <f aca="false">""</f>
        <v/>
      </c>
      <c r="E289" s="0" t="str">
        <f aca="false">""</f>
        <v/>
      </c>
      <c r="F289" s="0" t="str">
        <f aca="false">""</f>
        <v/>
      </c>
      <c r="G289" s="0" t="str">
        <f aca="false">""</f>
        <v/>
      </c>
      <c r="H289" s="0" t="str">
        <f aca="false">""</f>
        <v/>
      </c>
      <c r="I289" s="0" t="str">
        <f aca="false">""</f>
        <v/>
      </c>
      <c r="J289" s="0" t="str">
        <f aca="false">""</f>
        <v/>
      </c>
      <c r="K289" s="0" t="str">
        <f aca="false">""</f>
        <v/>
      </c>
      <c r="L289" s="0" t="str">
        <f aca="false">""</f>
        <v/>
      </c>
      <c r="M289" s="0" t="str">
        <f aca="false">""</f>
        <v/>
      </c>
    </row>
    <row r="290" customFormat="false" ht="15" hidden="false" customHeight="false" outlineLevel="0" collapsed="false">
      <c r="A290" s="5" t="s">
        <v>970</v>
      </c>
      <c r="B290" s="0" t="s">
        <v>1252</v>
      </c>
      <c r="C290" s="0" t="s">
        <v>77</v>
      </c>
      <c r="D290" s="0" t="str">
        <f aca="false">IF(D288&lt;&gt;"",D288,IF(D289&lt;&gt;"",D289,""))</f>
        <v/>
      </c>
      <c r="E290" s="0" t="str">
        <f aca="false">IF(E288&lt;&gt;"",E288,IF(E289&lt;&gt;"",E289,""))</f>
        <v/>
      </c>
      <c r="F290" s="24" t="n">
        <f aca="false">IF(F288&lt;&gt;"",F288,IF(F289&lt;&gt;"",F289,""))</f>
        <v>1</v>
      </c>
      <c r="G290" s="0" t="str">
        <f aca="false">IF(G288&lt;&gt;"",G288,IF(G289&lt;&gt;"",G289,""))</f>
        <v/>
      </c>
      <c r="H290" s="0" t="str">
        <f aca="false">IF(H288&lt;&gt;"",H288,IF(H289&lt;&gt;"",H289,""))</f>
        <v/>
      </c>
      <c r="I290" s="0" t="str">
        <f aca="false">IF(I288&lt;&gt;"",I288,IF(I289&lt;&gt;"",I289,""))</f>
        <v/>
      </c>
      <c r="J290" s="0" t="str">
        <f aca="false">IF(J288&lt;&gt;"",J288,IF(J289&lt;&gt;"",J289,""))</f>
        <v/>
      </c>
      <c r="K290" s="0" t="str">
        <f aca="false">IF(K288&lt;&gt;"",K288,IF(K289&lt;&gt;"",K289,""))</f>
        <v/>
      </c>
      <c r="L290" s="0" t="str">
        <f aca="false">IF(L288&lt;&gt;"",L288,IF(L289&lt;&gt;"",L289,""))</f>
        <v/>
      </c>
      <c r="M290" s="0" t="str">
        <f aca="false">IF(M288&lt;&gt;"",M288,IF(M289&lt;&gt;"",M289,""))</f>
        <v/>
      </c>
    </row>
    <row r="291" customFormat="false" ht="15" hidden="false" customHeight="false" outlineLevel="0" collapsed="false">
      <c r="A291" s="5" t="s">
        <v>972</v>
      </c>
      <c r="B291" s="0" t="s">
        <v>1253</v>
      </c>
      <c r="C291" s="0" t="s">
        <v>77</v>
      </c>
      <c r="D291" s="0" t="str">
        <f aca="false">IF(D290&lt;&gt;"",D290,"")</f>
        <v/>
      </c>
      <c r="E291" s="0" t="str">
        <f aca="false">IF(E290&lt;&gt;"",E290,D291)</f>
        <v/>
      </c>
      <c r="F291" s="24" t="n">
        <f aca="false">IF(F290&lt;&gt;"",F290,E291)</f>
        <v>1</v>
      </c>
      <c r="G291" s="24" t="n">
        <f aca="false">IF(G290&lt;&gt;"",G290,F291)</f>
        <v>1</v>
      </c>
      <c r="H291" s="24" t="n">
        <f aca="false">IF(H290&lt;&gt;"",H290,G291)</f>
        <v>1</v>
      </c>
      <c r="I291" s="24" t="n">
        <f aca="false">IF(I290&lt;&gt;"",I290,H291)</f>
        <v>1</v>
      </c>
      <c r="J291" s="24" t="n">
        <f aca="false">IF(J290&lt;&gt;"",J290,I291)</f>
        <v>1</v>
      </c>
      <c r="K291" s="24" t="n">
        <f aca="false">IF(K290&lt;&gt;"",K290,J291)</f>
        <v>1</v>
      </c>
      <c r="L291" s="24" t="n">
        <f aca="false">IF(L290&lt;&gt;"",L290,K291)</f>
        <v>1</v>
      </c>
      <c r="M291" s="24" t="n">
        <f aca="false">IF(M290&lt;&gt;"",M290,L291)</f>
        <v>1</v>
      </c>
    </row>
    <row r="292" customFormat="false" ht="15" hidden="false" customHeight="false" outlineLevel="0" collapsed="false">
      <c r="A292" s="5" t="s">
        <v>974</v>
      </c>
      <c r="B292" s="0" t="s">
        <v>1254</v>
      </c>
      <c r="C292" s="5" t="s">
        <v>47</v>
      </c>
      <c r="D292" s="0" t="str">
        <f aca="false">IF(D290&lt;&gt;"",2023,"")</f>
        <v/>
      </c>
      <c r="E292" s="0" t="str">
        <f aca="false">IF(E290&lt;&gt;"",2024,D292)</f>
        <v/>
      </c>
      <c r="F292" s="0" t="n">
        <f aca="false">IF(F290&lt;&gt;"",2025,E292)</f>
        <v>2025</v>
      </c>
      <c r="G292" s="0" t="n">
        <f aca="false">IF(G290&lt;&gt;"",2026,F292)</f>
        <v>2025</v>
      </c>
      <c r="H292" s="0" t="n">
        <f aca="false">IF(H290&lt;&gt;"",2027,G292)</f>
        <v>2025</v>
      </c>
      <c r="I292" s="0" t="n">
        <f aca="false">IF(I290&lt;&gt;"",2028,H292)</f>
        <v>2025</v>
      </c>
      <c r="J292" s="0" t="n">
        <f aca="false">IF(J290&lt;&gt;"",2029,I292)</f>
        <v>2025</v>
      </c>
      <c r="K292" s="0" t="n">
        <f aca="false">IF(K290&lt;&gt;"",2030,J292)</f>
        <v>2025</v>
      </c>
      <c r="L292" s="0" t="n">
        <f aca="false">IF(L290&lt;&gt;"",2031,K292)</f>
        <v>2025</v>
      </c>
      <c r="M292" s="0" t="n">
        <f aca="false">IF(M290&lt;&gt;"",2032,L292)</f>
        <v>2025</v>
      </c>
    </row>
    <row r="293" customFormat="false" ht="15" hidden="false" customHeight="false" outlineLevel="0" collapsed="false">
      <c r="A293" s="5" t="s">
        <v>976</v>
      </c>
      <c r="B293" s="0" t="s">
        <v>1255</v>
      </c>
      <c r="C293" s="0" t="s">
        <v>77</v>
      </c>
      <c r="D293" s="24" t="n">
        <f aca="false">IF(D290&lt;&gt;"",D290,E293)</f>
        <v>1</v>
      </c>
      <c r="E293" s="24" t="n">
        <f aca="false">IF(E290&lt;&gt;"",E290,F293)</f>
        <v>1</v>
      </c>
      <c r="F293" s="24" t="n">
        <f aca="false">IF(F290&lt;&gt;"",F290,G293)</f>
        <v>1</v>
      </c>
      <c r="G293" s="0" t="str">
        <f aca="false">IF(G290&lt;&gt;"",G290,H293)</f>
        <v/>
      </c>
      <c r="H293" s="0" t="str">
        <f aca="false">IF(H290&lt;&gt;"",H290,I293)</f>
        <v/>
      </c>
      <c r="I293" s="0" t="str">
        <f aca="false">IF(I290&lt;&gt;"",I290,J293)</f>
        <v/>
      </c>
      <c r="J293" s="0" t="str">
        <f aca="false">IF(J290&lt;&gt;"",J290,K293)</f>
        <v/>
      </c>
      <c r="K293" s="0" t="str">
        <f aca="false">IF(K290&lt;&gt;"",K290,L293)</f>
        <v/>
      </c>
      <c r="L293" s="0" t="str">
        <f aca="false">IF(L290&lt;&gt;"",L290,M293)</f>
        <v/>
      </c>
      <c r="M293" s="0" t="str">
        <f aca="false">IF(M290&lt;&gt;"",M290,"")</f>
        <v/>
      </c>
    </row>
    <row r="294" customFormat="false" ht="15" hidden="false" customHeight="false" outlineLevel="0" collapsed="false">
      <c r="A294" s="5" t="s">
        <v>978</v>
      </c>
      <c r="B294" s="0" t="s">
        <v>1256</v>
      </c>
      <c r="C294" s="5" t="s">
        <v>47</v>
      </c>
      <c r="D294" s="0" t="n">
        <f aca="false">IF(D290&lt;&gt;"",2023,E294)</f>
        <v>2025</v>
      </c>
      <c r="E294" s="0" t="n">
        <f aca="false">IF(E290&lt;&gt;"",2024,F294)</f>
        <v>2025</v>
      </c>
      <c r="F294" s="0" t="n">
        <f aca="false">IF(F290&lt;&gt;"",2025,G294)</f>
        <v>2025</v>
      </c>
      <c r="G294" s="0" t="str">
        <f aca="false">IF(G290&lt;&gt;"",2026,H294)</f>
        <v/>
      </c>
      <c r="H294" s="0" t="str">
        <f aca="false">IF(H290&lt;&gt;"",2027,I294)</f>
        <v/>
      </c>
      <c r="I294" s="0" t="str">
        <f aca="false">IF(I290&lt;&gt;"",2028,J294)</f>
        <v/>
      </c>
      <c r="J294" s="0" t="str">
        <f aca="false">IF(J290&lt;&gt;"",2029,K294)</f>
        <v/>
      </c>
      <c r="K294" s="0" t="str">
        <f aca="false">IF(K290&lt;&gt;"",2030,L294)</f>
        <v/>
      </c>
      <c r="L294" s="0" t="str">
        <f aca="false">IF(L290&lt;&gt;"",2031,M294)</f>
        <v/>
      </c>
      <c r="M294" s="0" t="str">
        <f aca="false">IF(M290&lt;&gt;"",2032,"")</f>
        <v/>
      </c>
    </row>
    <row r="295" customFormat="false" ht="17.15" hidden="false" customHeight="false" outlineLevel="0" collapsed="false">
      <c r="A295" s="5" t="s">
        <v>980</v>
      </c>
      <c r="B295" s="0" t="s">
        <v>1257</v>
      </c>
      <c r="C295" s="0" t="s">
        <v>77</v>
      </c>
      <c r="D295" s="24" t="n">
        <f aca="false">SUMIFS(Pipeline!$L$5:$L$64,Pipeline!$C$5:$C$64,"oth",Pipeline!$Q$5:$Q$64,1,Pipeline!$P$5:$P$64,2023)</f>
        <v>0</v>
      </c>
      <c r="E295" s="24" t="n">
        <f aca="false">SUMIFS(Pipeline!$L$5:$L$64,Pipeline!$C$5:$C$64,"oth",Pipeline!$Q$5:$Q$64,1,Pipeline!$P$5:$P$64,2024)</f>
        <v>0</v>
      </c>
      <c r="F295" s="24" t="n">
        <f aca="false">SUMIFS(Pipeline!$L$5:$L$64,Pipeline!$C$5:$C$64,"oth",Pipeline!$Q$5:$Q$64,1,Pipeline!$P$5:$P$64,2025)</f>
        <v>0</v>
      </c>
      <c r="G295" s="24" t="n">
        <f aca="false">SUMIFS(Pipeline!$L$5:$L$64,Pipeline!$C$5:$C$64,"oth",Pipeline!$Q$5:$Q$64,1,Pipeline!$P$5:$P$64,2026)</f>
        <v>0</v>
      </c>
      <c r="H295" s="24" t="n">
        <f aca="false">SUMIFS(Pipeline!$L$5:$L$64,Pipeline!$C$5:$C$64,"oth",Pipeline!$Q$5:$Q$64,1,Pipeline!$P$5:$P$64,2027)</f>
        <v>0</v>
      </c>
      <c r="I295" s="24" t="n">
        <f aca="false">SUMIFS(Pipeline!$L$5:$L$64,Pipeline!$C$5:$C$64,"oth",Pipeline!$Q$5:$Q$64,1,Pipeline!$P$5:$P$64,2028)</f>
        <v>0</v>
      </c>
      <c r="J295" s="24" t="n">
        <f aca="false">SUMIFS(Pipeline!$L$5:$L$64,Pipeline!$C$5:$C$64,"oth",Pipeline!$Q$5:$Q$64,1,Pipeline!$P$5:$P$64,2029)</f>
        <v>0</v>
      </c>
      <c r="K295" s="24" t="n">
        <f aca="false">SUMIFS(Pipeline!$L$5:$L$64,Pipeline!$C$5:$C$64,"oth",Pipeline!$Q$5:$Q$64,1,Pipeline!$P$5:$P$64,2030)</f>
        <v>0</v>
      </c>
      <c r="L295" s="24" t="n">
        <f aca="false">SUMIFS(Pipeline!$L$5:$L$64,Pipeline!$C$5:$C$64,"oth",Pipeline!$Q$5:$Q$64,1,Pipeline!$P$5:$P$64,2031)</f>
        <v>0</v>
      </c>
      <c r="M295" s="24" t="n">
        <f aca="false">SUMIFS(Pipeline!$L$5:$L$64,Pipeline!$C$5:$C$64,"oth",Pipeline!$Q$5:$Q$64,1,Pipeline!$P$5:$P$64,2032)</f>
        <v>0</v>
      </c>
    </row>
    <row r="296" customFormat="false" ht="17.15" hidden="false" customHeight="false" outlineLevel="0" collapsed="false">
      <c r="A296" s="5" t="s">
        <v>982</v>
      </c>
      <c r="B296" s="0" t="s">
        <v>1258</v>
      </c>
      <c r="C296" s="0" t="s">
        <v>77</v>
      </c>
      <c r="D296" s="25" t="str">
        <f aca="false">IF(D290&lt;&gt;"",D290,IF(AND(D291&lt;&gt;"",D293&lt;&gt;""),D291+(D293-D291)*(2023-D292)/(D294-D292),""))</f>
        <v/>
      </c>
      <c r="E296" s="25" t="str">
        <f aca="false">IF(E290&lt;&gt;"",E290,IF(AND(E291&lt;&gt;"",E293&lt;&gt;""),E291+(E293-E291)*(2024-E292)/(E294-E292),IF(D296&lt;&gt;"",D296+E295,"")))</f>
        <v/>
      </c>
      <c r="F296" s="25" t="n">
        <f aca="false">IF(F290&lt;&gt;"",F290,IF(AND(F291&lt;&gt;"",F293&lt;&gt;""),F291+(F293-F291)*(2025-F292)/(F294-F292),IF(E296&lt;&gt;"",E296+F295,"")))</f>
        <v>1</v>
      </c>
      <c r="G296" s="25" t="n">
        <f aca="false">IF(G290&lt;&gt;"",G290,IF(AND(G291&lt;&gt;"",G293&lt;&gt;""),G291+(G293-G291)*(2026-G292)/(G294-G292),IF(F296&lt;&gt;"",F296+G295,"")))</f>
        <v>1</v>
      </c>
      <c r="H296" s="25" t="n">
        <f aca="false">IF(H290&lt;&gt;"",H290,IF(AND(H291&lt;&gt;"",H293&lt;&gt;""),H291+(H293-H291)*(2027-H292)/(H294-H292),IF(G296&lt;&gt;"",G296+H295,"")))</f>
        <v>1</v>
      </c>
      <c r="I296" s="25" t="n">
        <f aca="false">IF(I290&lt;&gt;"",I290,IF(AND(I291&lt;&gt;"",I293&lt;&gt;""),I291+(I293-I291)*(2028-I292)/(I294-I292),IF(H296&lt;&gt;"",H296+I295,"")))</f>
        <v>1</v>
      </c>
      <c r="J296" s="25" t="n">
        <f aca="false">IF(J290&lt;&gt;"",J290,IF(AND(J291&lt;&gt;"",J293&lt;&gt;""),J291+(J293-J291)*(2029-J292)/(J294-J292),IF(I296&lt;&gt;"",I296+J295,"")))</f>
        <v>1</v>
      </c>
      <c r="K296" s="25" t="n">
        <f aca="false">IF(K290&lt;&gt;"",K290,IF(AND(K291&lt;&gt;"",K293&lt;&gt;""),K291+(K293-K291)*(2030-K292)/(K294-K292),IF(J296&lt;&gt;"",J296+K295,"")))</f>
        <v>1</v>
      </c>
      <c r="L296" s="25" t="n">
        <f aca="false">IF(L290&lt;&gt;"",L290,IF(AND(L291&lt;&gt;"",L293&lt;&gt;""),L291+(L293-L291)*(2031-L292)/(L294-L292),IF(K296&lt;&gt;"",K296+L295,"")))</f>
        <v>1</v>
      </c>
      <c r="M296" s="25" t="n">
        <f aca="false">IF(M290&lt;&gt;"",M290,IF(AND(M291&lt;&gt;"",M293&lt;&gt;""),M291+(M293-M291)*(2032-M292)/(M294-M292),IF(L296&lt;&gt;"",L296+M295,"")))</f>
        <v>1</v>
      </c>
    </row>
    <row r="297" customFormat="false" ht="15" hidden="false" customHeight="false" outlineLevel="0" collapsed="false">
      <c r="A297" s="5" t="s">
        <v>984</v>
      </c>
      <c r="B297" s="0" t="s">
        <v>1259</v>
      </c>
      <c r="C297" s="0" t="s">
        <v>35</v>
      </c>
      <c r="D297" s="0" t="n">
        <f aca="false">IF(D288&lt;&gt;"",1,IF(D289&lt;&gt;"",5,IF(D290&lt;&gt;"",2,IF(AND(D291&lt;&gt;"",D293&lt;&gt;""),3,IF(D296&lt;&gt;"",4,0)))))</f>
        <v>0</v>
      </c>
      <c r="E297" s="0" t="n">
        <f aca="false">IF(E288&lt;&gt;"",1,IF(E289&lt;&gt;"",5,IF(E290&lt;&gt;"",2,IF(AND(E291&lt;&gt;"",E293&lt;&gt;""),3,IF(E296&lt;&gt;"",4,0)))))</f>
        <v>0</v>
      </c>
      <c r="F297" s="0" t="n">
        <f aca="false">IF(F288&lt;&gt;"",1,IF(F289&lt;&gt;"",5,IF(F290&lt;&gt;"",2,IF(AND(F291&lt;&gt;"",F293&lt;&gt;""),3,IF(F296&lt;&gt;"",4,0)))))</f>
        <v>1</v>
      </c>
      <c r="G297" s="0" t="n">
        <f aca="false">IF(G288&lt;&gt;"",1,IF(G289&lt;&gt;"",5,IF(G290&lt;&gt;"",2,IF(AND(G291&lt;&gt;"",G293&lt;&gt;""),3,IF(G296&lt;&gt;"",4,0)))))</f>
        <v>4</v>
      </c>
      <c r="H297" s="0" t="n">
        <f aca="false">IF(H288&lt;&gt;"",1,IF(H289&lt;&gt;"",5,IF(H290&lt;&gt;"",2,IF(AND(H291&lt;&gt;"",H293&lt;&gt;""),3,IF(H296&lt;&gt;"",4,0)))))</f>
        <v>4</v>
      </c>
      <c r="I297" s="0" t="n">
        <f aca="false">IF(I288&lt;&gt;"",1,IF(I289&lt;&gt;"",5,IF(I290&lt;&gt;"",2,IF(AND(I291&lt;&gt;"",I293&lt;&gt;""),3,IF(I296&lt;&gt;"",4,0)))))</f>
        <v>4</v>
      </c>
      <c r="J297" s="0" t="n">
        <f aca="false">IF(J288&lt;&gt;"",1,IF(J289&lt;&gt;"",5,IF(J290&lt;&gt;"",2,IF(AND(J291&lt;&gt;"",J293&lt;&gt;""),3,IF(J296&lt;&gt;"",4,0)))))</f>
        <v>4</v>
      </c>
      <c r="K297" s="0" t="n">
        <f aca="false">IF(K288&lt;&gt;"",1,IF(K289&lt;&gt;"",5,IF(K290&lt;&gt;"",2,IF(AND(K291&lt;&gt;"",K293&lt;&gt;""),3,IF(K296&lt;&gt;"",4,0)))))</f>
        <v>4</v>
      </c>
      <c r="L297" s="0" t="n">
        <f aca="false">IF(L288&lt;&gt;"",1,IF(L289&lt;&gt;"",5,IF(L290&lt;&gt;"",2,IF(AND(L291&lt;&gt;"",L293&lt;&gt;""),3,IF(L296&lt;&gt;"",4,0)))))</f>
        <v>4</v>
      </c>
      <c r="M297" s="0" t="n">
        <f aca="false">IF(M288&lt;&gt;"",1,IF(M289&lt;&gt;"",5,IF(M290&lt;&gt;"",2,IF(AND(M291&lt;&gt;"",M293&lt;&gt;""),3,IF(M296&lt;&gt;"",4,0)))))</f>
        <v>4</v>
      </c>
    </row>
    <row r="298" customFormat="false" ht="17.15" hidden="false" customHeight="false" outlineLevel="0" collapsed="false">
      <c r="A298" s="5" t="s">
        <v>986</v>
      </c>
      <c r="B298" s="0" t="s">
        <v>1260</v>
      </c>
      <c r="C298" s="0" t="s">
        <v>77</v>
      </c>
      <c r="D298" s="24" t="str">
        <f aca="false">IF(D296="","",D296)</f>
        <v/>
      </c>
      <c r="E298" s="24" t="str">
        <f aca="false">IF(E296="","",E296)</f>
        <v/>
      </c>
      <c r="F298" s="24" t="n">
        <f aca="false">IF(F296="","",IF(other_incl_china=1,oth_excn_lo,oth_full_lo)/1000)</f>
        <v>0.5</v>
      </c>
      <c r="G298" s="24" t="n">
        <f aca="false">IF(G296="","",G296)</f>
        <v>1</v>
      </c>
      <c r="H298" s="24" t="n">
        <f aca="false">IF(H296="","",H296)</f>
        <v>1</v>
      </c>
      <c r="I298" s="24" t="n">
        <f aca="false">IF(I296="","",I296)</f>
        <v>1</v>
      </c>
      <c r="J298" s="24" t="n">
        <f aca="false">IF(J296="","",J296)</f>
        <v>1</v>
      </c>
      <c r="K298" s="24" t="n">
        <f aca="false">IF(K296="","",K296)</f>
        <v>1</v>
      </c>
      <c r="L298" s="24" t="n">
        <f aca="false">IF(L296="","",L296)</f>
        <v>1</v>
      </c>
      <c r="M298" s="24" t="n">
        <f aca="false">IF(M296="","",M296)</f>
        <v>1</v>
      </c>
    </row>
    <row r="299" customFormat="false" ht="17.15" hidden="false" customHeight="false" outlineLevel="0" collapsed="false">
      <c r="A299" s="5" t="s">
        <v>988</v>
      </c>
      <c r="B299" s="0" t="s">
        <v>1261</v>
      </c>
      <c r="C299" s="0" t="s">
        <v>77</v>
      </c>
      <c r="D299" s="24" t="str">
        <f aca="false">IF(D296="","",D296)</f>
        <v/>
      </c>
      <c r="E299" s="24" t="str">
        <f aca="false">IF(E296="","",E296)</f>
        <v/>
      </c>
      <c r="F299" s="24" t="n">
        <f aca="false">IF(F296="","",IF(other_incl_china=1,oth_excn_hi,oth_full_hi)/1000)</f>
        <v>2</v>
      </c>
      <c r="G299" s="24" t="n">
        <f aca="false">IF(G296="","",G296)</f>
        <v>1</v>
      </c>
      <c r="H299" s="24" t="n">
        <f aca="false">IF(H296="","",H296)</f>
        <v>1</v>
      </c>
      <c r="I299" s="24" t="n">
        <f aca="false">IF(I296="","",I296)</f>
        <v>1</v>
      </c>
      <c r="J299" s="24" t="n">
        <f aca="false">IF(J296="","",J296)</f>
        <v>1</v>
      </c>
      <c r="K299" s="24" t="n">
        <f aca="false">IF(K296="","",K296)</f>
        <v>1</v>
      </c>
      <c r="L299" s="24" t="n">
        <f aca="false">IF(L296="","",L296)</f>
        <v>1</v>
      </c>
      <c r="M299" s="24" t="n">
        <f aca="false">IF(M296="","",M296)</f>
        <v>1</v>
      </c>
    </row>
    <row r="300" customFormat="false" ht="17.15" hidden="false" customHeight="false" outlineLevel="0" collapsed="false">
      <c r="A300" s="5" t="s">
        <v>990</v>
      </c>
      <c r="B300" s="0" t="s">
        <v>1262</v>
      </c>
      <c r="C300" s="0" t="s">
        <v>77</v>
      </c>
      <c r="D300" s="24" t="str">
        <f aca="false">IF(D296="","",IF(In!$C$122="未說明",D296/D$13,D296))</f>
        <v/>
      </c>
      <c r="E300" s="24" t="str">
        <f aca="false">IF(E296="","",IF(In!$C$122="未說明",E296/E$13,E296))</f>
        <v/>
      </c>
      <c r="F300" s="24" t="n">
        <f aca="false">IF(F296="","",IF(In!$C$122="未說明",F296/F$13,F296))</f>
        <v>1</v>
      </c>
      <c r="G300" s="24" t="n">
        <f aca="false">IF(G296="","",IF(In!$C$122="未說明",G296/G$13,G296))</f>
        <v>1</v>
      </c>
      <c r="H300" s="24" t="n">
        <f aca="false">IF(H296="","",IF(In!$C$122="未說明",H296/H$13,H296))</f>
        <v>1</v>
      </c>
      <c r="I300" s="24" t="n">
        <f aca="false">IF(I296="","",IF(In!$C$122="未說明",I296/I$13,I296))</f>
        <v>1</v>
      </c>
      <c r="J300" s="24" t="n">
        <f aca="false">IF(J296="","",IF(In!$C$122="未說明",J296/J$13,J296))</f>
        <v>1</v>
      </c>
      <c r="K300" s="24" t="n">
        <f aca="false">IF(K296="","",IF(In!$C$122="未說明",K296/K$13,K296))</f>
        <v>1</v>
      </c>
      <c r="L300" s="24" t="n">
        <f aca="false">IF(L296="","",IF(In!$C$122="未說明",L296/L$13,L296))</f>
        <v>1</v>
      </c>
      <c r="M300" s="24" t="n">
        <f aca="false">IF(M296="","",IF(In!$C$122="未說明",M296/M$13,M296))</f>
        <v>1</v>
      </c>
    </row>
    <row r="301" customFormat="false" ht="17.15" hidden="false" customHeight="false" outlineLevel="0" collapsed="false">
      <c r="A301" s="5" t="s">
        <v>992</v>
      </c>
      <c r="B301" s="0" t="s">
        <v>1263</v>
      </c>
      <c r="C301" s="0" t="s">
        <v>77</v>
      </c>
      <c r="D301" s="0" t="str">
        <f aca="false">""</f>
        <v/>
      </c>
      <c r="E301" s="24" t="str">
        <f aca="false">IF(AND(D296&lt;&gt;"",E296&lt;&gt;""),(D296+E296)/2,"")</f>
        <v/>
      </c>
      <c r="F301" s="24" t="str">
        <f aca="false">IF(AND(E296&lt;&gt;"",F296&lt;&gt;""),(E296+F296)/2,"")</f>
        <v/>
      </c>
      <c r="G301" s="24" t="n">
        <f aca="false">IF(AND(F296&lt;&gt;"",G296&lt;&gt;""),(F296+G296)/2,"")</f>
        <v>1</v>
      </c>
      <c r="H301" s="24" t="n">
        <f aca="false">IF(AND(G296&lt;&gt;"",H296&lt;&gt;""),(G296+H296)/2,"")</f>
        <v>1</v>
      </c>
      <c r="I301" s="24" t="n">
        <f aca="false">IF(AND(H296&lt;&gt;"",I296&lt;&gt;""),(H296+I296)/2,"")</f>
        <v>1</v>
      </c>
      <c r="J301" s="24" t="n">
        <f aca="false">IF(AND(I296&lt;&gt;"",J296&lt;&gt;""),(I296+J296)/2,"")</f>
        <v>1</v>
      </c>
      <c r="K301" s="24" t="n">
        <f aca="false">IF(AND(J296&lt;&gt;"",K296&lt;&gt;""),(J296+K296)/2,"")</f>
        <v>1</v>
      </c>
      <c r="L301" s="24" t="n">
        <f aca="false">IF(AND(K296&lt;&gt;"",L296&lt;&gt;""),(K296+L296)/2,"")</f>
        <v>1</v>
      </c>
      <c r="M301" s="24" t="n">
        <f aca="false">IF(AND(L296&lt;&gt;"",M296&lt;&gt;""),(L296+M296)/2,"")</f>
        <v>1</v>
      </c>
    </row>
    <row r="302" customFormat="false" ht="17.15" hidden="false" customHeight="false" outlineLevel="0" collapsed="false">
      <c r="A302" s="5" t="s">
        <v>994</v>
      </c>
      <c r="B302" s="0" t="s">
        <v>1264</v>
      </c>
      <c r="C302" s="0" t="s">
        <v>77</v>
      </c>
      <c r="D302" s="0" t="n">
        <v>0</v>
      </c>
      <c r="E302" s="24" t="n">
        <f aca="false">IF(AND(D296&lt;&gt;"",E296&lt;&gt;""),E296-D296,0)</f>
        <v>0</v>
      </c>
      <c r="F302" s="24" t="n">
        <f aca="false">IF(AND(E296&lt;&gt;"",F296&lt;&gt;""),F296-E296,0)</f>
        <v>0</v>
      </c>
      <c r="G302" s="24" t="n">
        <f aca="false">IF(AND(F296&lt;&gt;"",G296&lt;&gt;""),G296-F296,0)</f>
        <v>0</v>
      </c>
      <c r="H302" s="24" t="n">
        <f aca="false">IF(AND(G296&lt;&gt;"",H296&lt;&gt;""),H296-G296,0)</f>
        <v>0</v>
      </c>
      <c r="I302" s="24" t="n">
        <f aca="false">IF(AND(H296&lt;&gt;"",I296&lt;&gt;""),I296-H296,0)</f>
        <v>0</v>
      </c>
      <c r="J302" s="24" t="n">
        <f aca="false">IF(AND(I296&lt;&gt;"",J296&lt;&gt;""),J296-I296,0)</f>
        <v>0</v>
      </c>
      <c r="K302" s="24" t="n">
        <f aca="false">IF(AND(J296&lt;&gt;"",K296&lt;&gt;""),K296-J296,0)</f>
        <v>0</v>
      </c>
      <c r="L302" s="24" t="n">
        <f aca="false">IF(AND(K296&lt;&gt;"",L296&lt;&gt;""),L296-K296,0)</f>
        <v>0</v>
      </c>
      <c r="M302" s="24" t="n">
        <f aca="false">IF(AND(L296&lt;&gt;"",M296&lt;&gt;""),M296-L296,0)</f>
        <v>0</v>
      </c>
    </row>
    <row r="303" customFormat="false" ht="17.15" hidden="false" customHeight="false" outlineLevel="0" collapsed="false">
      <c r="A303" s="5" t="s">
        <v>996</v>
      </c>
      <c r="B303" s="0" t="s">
        <v>1265</v>
      </c>
      <c r="C303" s="0" t="s">
        <v>77</v>
      </c>
      <c r="D303" s="24" t="n">
        <f aca="false">IF(D296&lt;&gt;"",D296,0)</f>
        <v>0</v>
      </c>
      <c r="E303" s="24" t="n">
        <f aca="false">IF(AND(D296="",E296&lt;&gt;""),E296,0)</f>
        <v>0</v>
      </c>
      <c r="F303" s="24" t="n">
        <f aca="false">IF(AND(E296="",F296&lt;&gt;""),F296,0)</f>
        <v>1</v>
      </c>
      <c r="G303" s="24" t="n">
        <f aca="false">IF(AND(F296="",G296&lt;&gt;""),G296,0)</f>
        <v>0</v>
      </c>
      <c r="H303" s="24" t="n">
        <f aca="false">IF(AND(G296="",H296&lt;&gt;""),H296,0)</f>
        <v>0</v>
      </c>
      <c r="I303" s="24" t="n">
        <f aca="false">IF(AND(H296="",I296&lt;&gt;""),I296,0)</f>
        <v>0</v>
      </c>
      <c r="J303" s="24" t="n">
        <f aca="false">IF(AND(I296="",J296&lt;&gt;""),J296,0)</f>
        <v>0</v>
      </c>
      <c r="K303" s="24" t="n">
        <f aca="false">IF(AND(J296="",K296&lt;&gt;""),K296,0)</f>
        <v>0</v>
      </c>
      <c r="L303" s="24" t="n">
        <f aca="false">IF(AND(K296="",L296&lt;&gt;""),L296,0)</f>
        <v>0</v>
      </c>
      <c r="M303" s="24" t="n">
        <f aca="false">IF(AND(L296="",M296&lt;&gt;""),M296,0)</f>
        <v>0</v>
      </c>
    </row>
    <row r="304" customFormat="false" ht="17.15" hidden="false" customHeight="false" outlineLevel="0" collapsed="false">
      <c r="A304" s="5" t="s">
        <v>998</v>
      </c>
      <c r="B304" s="0" t="s">
        <v>1266</v>
      </c>
      <c r="C304" s="0" t="s">
        <v>52</v>
      </c>
      <c r="D304" s="23" t="n">
        <f aca="false">D$12</f>
        <v>0.238210067173108</v>
      </c>
      <c r="E304" s="23" t="n">
        <f aca="false">E$12</f>
        <v>0.238210067173108</v>
      </c>
      <c r="F304" s="23" t="n">
        <f aca="false">F$12</f>
        <v>0.238210067173108</v>
      </c>
      <c r="G304" s="23" t="n">
        <f aca="false">G$12</f>
        <v>0.238210067173108</v>
      </c>
      <c r="H304" s="23" t="n">
        <f aca="false">H$12</f>
        <v>0.273101862203342</v>
      </c>
      <c r="I304" s="23" t="n">
        <f aca="false">I$12</f>
        <v>0.269621396123668</v>
      </c>
      <c r="J304" s="23" t="n">
        <f aca="false">J$12</f>
        <v>0.272187509408712</v>
      </c>
      <c r="K304" s="23" t="n">
        <f aca="false">K$12</f>
        <v>0.272187509408712</v>
      </c>
      <c r="L304" s="23" t="n">
        <f aca="false">L$12</f>
        <v>0.272187509408712</v>
      </c>
      <c r="M304" s="23" t="n">
        <f aca="false">M$12</f>
        <v>0.272187509408712</v>
      </c>
    </row>
    <row r="306" customFormat="false" ht="17.15" hidden="false" customHeight="false" outlineLevel="0" collapsed="false">
      <c r="A306" s="21" t="s">
        <v>1267</v>
      </c>
    </row>
    <row r="307" customFormat="false" ht="17.15" hidden="false" customHeight="false" outlineLevel="0" collapsed="false">
      <c r="A307" s="5" t="s">
        <v>1268</v>
      </c>
      <c r="B307" s="0" t="s">
        <v>1269</v>
      </c>
      <c r="D307" s="25" t="n">
        <f aca="false">SUM(D30,D49,D68,D87,D106,D125,D144,D163,D182,D201,D220,D239,D258,D277,D296)</f>
        <v>0.630578355681972</v>
      </c>
      <c r="E307" s="25" t="n">
        <f aca="false">SUM(E30,E49,E68,E87,E106,E125,E144,E163,E182,E201,E220,E239,E258,E277,E296)</f>
        <v>6.20938570515285</v>
      </c>
      <c r="F307" s="25" t="n">
        <f aca="false">SUM(F30,F49,F68,F87,F106,F125,F144,F163,F182,F201,F220,F239,F258,F277,F296)</f>
        <v>25.3371433333333</v>
      </c>
      <c r="G307" s="25" t="n">
        <f aca="false">SUM(G30,G49,G68,G87,G106,G125,G144,G163,G182,G201,G220,G239,G258,G277,G296)</f>
        <v>37.8525147943925</v>
      </c>
      <c r="H307" s="25" t="n">
        <f aca="false">SUM(H30,H49,H68,H87,H106,H125,H144,H163,H182,H201,H220,H239,H258,H277,H296)</f>
        <v>46.3211599188997</v>
      </c>
      <c r="I307" s="25" t="n">
        <f aca="false">SUM(I30,I49,I68,I87,I106,I125,I144,I163,I182,I201,I220,I239,I258,I277,I296)</f>
        <v>64.7090406464754</v>
      </c>
      <c r="J307" s="25" t="n">
        <f aca="false">SUM(J30,J49,J68,J87,J106,J125,J144,J163,J182,J201,J220,J239,J258,J277,J296)</f>
        <v>70.4380619774728</v>
      </c>
      <c r="K307" s="25" t="n">
        <f aca="false">SUM(K30,K49,K68,K87,K106,K125,K144,K163,K182,K201,K220,K239,K258,K277,K296)</f>
        <v>76.3131169995207</v>
      </c>
      <c r="L307" s="25" t="n">
        <f aca="false">SUM(L30,L49,L68,L87,L106,L125,L144,L163,L182,L201,L220,L239,L258,L277,L296)</f>
        <v>79.6169631533669</v>
      </c>
      <c r="M307" s="25" t="n">
        <f aca="false">SUM(M30,M49,M68,M87,M106,M125,M144,M163,M182,M201,M220,M239,M258,M277,M296)</f>
        <v>81.9861939225977</v>
      </c>
    </row>
    <row r="308" customFormat="false" ht="17.15" hidden="false" customHeight="false" outlineLevel="0" collapsed="false">
      <c r="A308" s="5" t="s">
        <v>1270</v>
      </c>
      <c r="B308" s="0" t="s">
        <v>1271</v>
      </c>
      <c r="D308" s="24" t="n">
        <f aca="false">SUM(D32,D51,D70,D89,D108,D127,D146,D165,D184,D203,D222,D241,D260,D279,D298)</f>
        <v>0.578431531897603</v>
      </c>
      <c r="E308" s="24" t="n">
        <f aca="false">SUM(E32,E51,E70,E89,E108,E127,E146,E165,E184,E203,E222,E241,E260,E279,E298)</f>
        <v>5.60426250610571</v>
      </c>
      <c r="F308" s="24" t="n">
        <f aca="false">SUM(F32,F51,F70,F89,F108,F127,F146,F165,F184,F203,F222,F241,F260,F279,F298)</f>
        <v>19.0820516666667</v>
      </c>
      <c r="G308" s="24" t="n">
        <f aca="false">SUM(G32,G51,G70,G89,G108,G127,G146,G165,G184,G203,G222,G241,G260,G279,G298)</f>
        <v>34.5858481277259</v>
      </c>
      <c r="H308" s="24" t="n">
        <f aca="false">SUM(H32,H51,H70,H89,H108,H127,H146,H165,H184,H203,H222,H241,H260,H279,H298)</f>
        <v>46.3211599188997</v>
      </c>
      <c r="I308" s="24" t="n">
        <f aca="false">SUM(I32,I51,I70,I89,I108,I127,I146,I165,I184,I203,I222,I241,I260,I279,I298)</f>
        <v>64.7090406464754</v>
      </c>
      <c r="J308" s="24" t="n">
        <f aca="false">SUM(J32,J51,J70,J89,J108,J127,J146,J165,J184,J203,J222,J241,J260,J279,J298)</f>
        <v>70.4380619774728</v>
      </c>
      <c r="K308" s="24" t="n">
        <f aca="false">SUM(K32,K51,K70,K89,K108,K127,K146,K165,K184,K203,K222,K241,K260,K279,K298)</f>
        <v>76.3131169995207</v>
      </c>
      <c r="L308" s="24" t="n">
        <f aca="false">SUM(L32,L51,L70,L89,L108,L127,L146,L165,L184,L203,L222,L241,L260,L279,L298)</f>
        <v>79.6169631533669</v>
      </c>
      <c r="M308" s="24" t="n">
        <f aca="false">SUM(M32,M51,M70,M89,M108,M127,M146,M165,M184,M203,M222,M241,M260,M279,M298)</f>
        <v>81.9861939225977</v>
      </c>
    </row>
    <row r="309" customFormat="false" ht="17.15" hidden="false" customHeight="false" outlineLevel="0" collapsed="false">
      <c r="A309" s="5" t="s">
        <v>1272</v>
      </c>
      <c r="B309" s="0" t="s">
        <v>1273</v>
      </c>
      <c r="D309" s="24" t="n">
        <f aca="false">SUM(D33,D52,D71,D90,D109,D128,D147,D166,D185,D204,D223,D242,D261,D280,D299)</f>
        <v>0.708798591358526</v>
      </c>
      <c r="E309" s="24" t="n">
        <f aca="false">SUM(E33,E52,E71,E90,E109,E128,E147,E166,E185,E204,E223,E242,E261,E280,E299)</f>
        <v>6.98708195813313</v>
      </c>
      <c r="F309" s="24" t="n">
        <f aca="false">SUM(F33,F52,F71,F90,F109,F128,F147,F166,F185,F204,F223,F242,F261,F280,F299)</f>
        <v>30.295708</v>
      </c>
      <c r="G309" s="24" t="n">
        <f aca="false">SUM(G33,G52,G71,G90,G109,G128,G147,G166,G185,G204,G223,G242,G261,G280,G299)</f>
        <v>41.2191814610592</v>
      </c>
      <c r="H309" s="24" t="n">
        <f aca="false">SUM(H33,H52,H71,H90,H109,H128,H147,H166,H185,H204,H223,H242,H261,H280,H299)</f>
        <v>46.3211599188997</v>
      </c>
      <c r="I309" s="24" t="n">
        <f aca="false">SUM(I33,I52,I71,I90,I109,I128,I147,I166,I185,I204,I223,I242,I261,I280,I299)</f>
        <v>64.7090406464754</v>
      </c>
      <c r="J309" s="24" t="n">
        <f aca="false">SUM(J33,J52,J71,J90,J109,J128,J147,J166,J185,J204,J223,J242,J261,J280,J299)</f>
        <v>70.4380619774728</v>
      </c>
      <c r="K309" s="24" t="n">
        <f aca="false">SUM(K33,K52,K71,K90,K109,K128,K147,K166,K185,K204,K223,K242,K261,K280,K299)</f>
        <v>76.3131169995207</v>
      </c>
      <c r="L309" s="24" t="n">
        <f aca="false">SUM(L33,L52,L71,L90,L109,L128,L147,L166,L185,L204,L223,L242,L261,L280,L299)</f>
        <v>79.6169631533669</v>
      </c>
      <c r="M309" s="24" t="n">
        <f aca="false">SUM(M33,M52,M71,M90,M109,M128,M147,M166,M185,M204,M223,M242,M261,M280,M299)</f>
        <v>81.9861939225977</v>
      </c>
    </row>
    <row r="310" customFormat="false" ht="17.15" hidden="false" customHeight="false" outlineLevel="0" collapsed="false">
      <c r="A310" s="5" t="s">
        <v>1274</v>
      </c>
      <c r="B310" s="0" t="s">
        <v>1275</v>
      </c>
      <c r="D310" s="24" t="n">
        <f aca="false">SUM(D34,D53,D72,D91,D110,D129,D148,D167,D186,D205,D224,D243,D262,D281,D300)</f>
        <v>0.630578355681972</v>
      </c>
      <c r="E310" s="24" t="n">
        <f aca="false">SUM(E34,E53,E72,E91,E110,E129,E148,E167,E186,E205,E224,E243,E262,E281,E300)</f>
        <v>6.20938570515285</v>
      </c>
      <c r="F310" s="24" t="n">
        <f aca="false">SUM(F34,F53,F72,F91,F110,F129,F148,F167,F186,F205,F224,F243,F262,F281,F300)</f>
        <v>25.2138433333333</v>
      </c>
      <c r="G310" s="24" t="n">
        <f aca="false">SUM(G34,G53,G72,G91,G110,G129,G148,G167,G186,G205,G224,G243,G262,G281,G300)</f>
        <v>37.3025147943925</v>
      </c>
      <c r="H310" s="24" t="n">
        <f aca="false">SUM(H34,H53,H72,H91,H110,H129,H148,H167,H186,H205,H224,H243,H262,H281,H300)</f>
        <v>45.4236599188997</v>
      </c>
      <c r="I310" s="24" t="n">
        <f aca="false">SUM(I34,I53,I72,I91,I110,I129,I148,I167,I186,I205,I224,I243,I262,I281,I300)</f>
        <v>63.7955406464754</v>
      </c>
      <c r="J310" s="24" t="n">
        <f aca="false">SUM(J34,J53,J72,J91,J110,J129,J148,J167,J186,J205,J224,J243,J262,J281,J300)</f>
        <v>69.5245619774728</v>
      </c>
      <c r="K310" s="24" t="n">
        <f aca="false">SUM(K34,K53,K72,K91,K110,K129,K148,K167,K186,K205,K224,K243,K262,K281,K300)</f>
        <v>75.3662836661874</v>
      </c>
      <c r="L310" s="24" t="n">
        <f aca="false">SUM(L34,L53,L72,L91,L110,L129,L148,L167,L186,L205,L224,L243,L262,L281,L300)</f>
        <v>78.6701298200336</v>
      </c>
      <c r="M310" s="24" t="n">
        <f aca="false">SUM(M34,M53,M72,M91,M110,M129,M148,M167,M186,M205,M224,M243,M262,M281,M300)</f>
        <v>81.0393605892643</v>
      </c>
    </row>
    <row r="311" customFormat="false" ht="17.15" hidden="false" customHeight="false" outlineLevel="0" collapsed="false">
      <c r="A311" s="5" t="s">
        <v>1276</v>
      </c>
      <c r="B311" s="0" t="s">
        <v>1277</v>
      </c>
      <c r="D311" s="24" t="n">
        <f aca="false">D307*D$13</f>
        <v>0.756694026818367</v>
      </c>
      <c r="E311" s="24" t="n">
        <f aca="false">E307*E$13</f>
        <v>7.45126284618342</v>
      </c>
      <c r="F311" s="24" t="n">
        <f aca="false">F307*F$13</f>
        <v>30.404572</v>
      </c>
      <c r="G311" s="24" t="n">
        <f aca="false">G307*G$13</f>
        <v>45.423017753271</v>
      </c>
      <c r="H311" s="24" t="n">
        <f aca="false">H307*H$13</f>
        <v>55.5853919026796</v>
      </c>
      <c r="I311" s="24" t="n">
        <f aca="false">I307*I$13</f>
        <v>77.6508487757705</v>
      </c>
      <c r="J311" s="24" t="n">
        <f aca="false">J307*J$13</f>
        <v>84.5256743729674</v>
      </c>
      <c r="K311" s="24" t="n">
        <f aca="false">K307*K$13</f>
        <v>91.5757403994249</v>
      </c>
      <c r="L311" s="24" t="n">
        <f aca="false">L307*L$13</f>
        <v>95.5403557840403</v>
      </c>
      <c r="M311" s="24" t="n">
        <f aca="false">M307*M$13</f>
        <v>98.3834327071172</v>
      </c>
    </row>
    <row r="312" customFormat="false" ht="17.15" hidden="false" customHeight="false" outlineLevel="0" collapsed="false">
      <c r="A312" s="5" t="s">
        <v>1278</v>
      </c>
      <c r="B312" s="0" t="s">
        <v>1279</v>
      </c>
      <c r="D312" s="24" t="str">
        <f aca="false">""</f>
        <v/>
      </c>
      <c r="E312" s="24" t="n">
        <f aca="false">(D307+E307)/2</f>
        <v>3.41998203041741</v>
      </c>
      <c r="F312" s="24" t="n">
        <f aca="false">(E307+F307)/2</f>
        <v>15.7732645192431</v>
      </c>
      <c r="G312" s="24" t="n">
        <f aca="false">(F307+G307)/2</f>
        <v>31.5948290638629</v>
      </c>
      <c r="H312" s="24" t="n">
        <f aca="false">(G307+H307)/2</f>
        <v>42.0868373566461</v>
      </c>
      <c r="I312" s="24" t="n">
        <f aca="false">(H307+I307)/2</f>
        <v>55.5151002826875</v>
      </c>
      <c r="J312" s="24" t="n">
        <f aca="false">(I307+J307)/2</f>
        <v>67.5735513119741</v>
      </c>
      <c r="K312" s="24" t="n">
        <f aca="false">(J307+K307)/2</f>
        <v>73.3755894884968</v>
      </c>
      <c r="L312" s="24" t="n">
        <f aca="false">(K307+L307)/2</f>
        <v>77.9650400764438</v>
      </c>
      <c r="M312" s="24" t="n">
        <f aca="false">(L307+M307)/2</f>
        <v>80.8015785379823</v>
      </c>
    </row>
    <row r="313" customFormat="false" ht="17.15" hidden="false" customHeight="false" outlineLevel="0" collapsed="false">
      <c r="A313" s="5" t="s">
        <v>1280</v>
      </c>
      <c r="B313" s="0" t="s">
        <v>1281</v>
      </c>
      <c r="D313" s="24" t="n">
        <f aca="false">SUM(D36,D55,D74,D93,D112,D131,D150,D169,D188,D207,D226,D245,D264,D283,D302)</f>
        <v>0</v>
      </c>
      <c r="E313" s="24" t="n">
        <f aca="false">SUM(E36,E55,E74,E93,E112,E131,E150,E169,E188,E207,E226,E245,E264,E283,E302)</f>
        <v>1.61980834349181</v>
      </c>
      <c r="F313" s="24" t="n">
        <f aca="false">SUM(F36,F55,F74,F93,F112,F131,F150,F169,F188,F207,F226,F245,F264,F283,F302)</f>
        <v>9.04912429484715</v>
      </c>
      <c r="G313" s="24" t="n">
        <f aca="false">SUM(G36,G55,G74,G93,G112,G131,G150,G169,G188,G207,G226,G245,G264,G283,G302)</f>
        <v>12.5153714610592</v>
      </c>
      <c r="H313" s="24" t="n">
        <f aca="false">SUM(H36,H55,H74,H93,H112,H131,H150,H169,H188,H207,H226,H245,H264,H283,H302)</f>
        <v>8.46864512450717</v>
      </c>
      <c r="I313" s="24" t="n">
        <f aca="false">SUM(I36,I55,I74,I93,I112,I131,I150,I169,I188,I207,I226,I245,I264,I283,I302)</f>
        <v>18.3878807275757</v>
      </c>
      <c r="J313" s="24" t="n">
        <f aca="false">SUM(J36,J55,J74,J93,J112,J131,J150,J169,J188,J207,J226,J245,J264,J283,J302)</f>
        <v>5.72902133099745</v>
      </c>
      <c r="K313" s="24" t="n">
        <f aca="false">SUM(K36,K55,K74,K93,K112,K131,K150,K169,K188,K207,K226,K245,K264,K283,K302)</f>
        <v>5.8750550220479</v>
      </c>
      <c r="L313" s="24" t="n">
        <f aca="false">SUM(L36,L55,L74,L93,L112,L131,L150,L169,L188,L207,L226,L245,L264,L283,L302)</f>
        <v>3.30384615384616</v>
      </c>
      <c r="M313" s="24" t="n">
        <f aca="false">SUM(M36,M55,M74,M93,M112,M131,M150,M169,M188,M207,M226,M245,M264,M283,M302)</f>
        <v>2.36923076923077</v>
      </c>
    </row>
    <row r="314" customFormat="false" ht="17.15" hidden="false" customHeight="false" outlineLevel="0" collapsed="false">
      <c r="A314" s="5" t="s">
        <v>1282</v>
      </c>
      <c r="B314" s="0" t="s">
        <v>1283</v>
      </c>
      <c r="D314" s="24" t="n">
        <f aca="false">SUM(D37,D56,D75,D94,D113,D132,D151,D170,D189,D208,D227,D246,D265,D284,D303)</f>
        <v>0.630578355681972</v>
      </c>
      <c r="E314" s="24" t="n">
        <f aca="false">SUM(E37,E56,E75,E94,E113,E132,E151,E170,E189,E208,E227,E246,E265,E284,E303)</f>
        <v>3.95899900597907</v>
      </c>
      <c r="F314" s="24" t="n">
        <f aca="false">SUM(F37,F56,F75,F94,F113,F132,F151,F170,F189,F208,F227,F246,F265,F284,F303)</f>
        <v>10.0786333333333</v>
      </c>
      <c r="G314" s="24" t="n">
        <f aca="false">SUM(G37,G56,G75,G94,G113,G132,G151,G170,G189,G208,G227,G246,G265,G284,G303)</f>
        <v>0</v>
      </c>
      <c r="H314" s="24" t="n">
        <f aca="false">SUM(H37,H56,H75,H94,H113,H132,H151,H170,H189,H208,H227,H246,H265,H284,H303)</f>
        <v>0</v>
      </c>
      <c r="I314" s="24" t="n">
        <f aca="false">SUM(I37,I56,I75,I94,I113,I132,I151,I170,I189,I208,I227,I246,I265,I284,I303)</f>
        <v>0</v>
      </c>
      <c r="J314" s="24" t="n">
        <f aca="false">SUM(J37,J56,J75,J94,J113,J132,J151,J170,J189,J208,J227,J246,J265,J284,J303)</f>
        <v>0</v>
      </c>
      <c r="K314" s="24" t="n">
        <f aca="false">SUM(K37,K56,K75,K94,K113,K132,K151,K170,K189,K208,K227,K246,K265,K284,K303)</f>
        <v>0</v>
      </c>
      <c r="L314" s="24" t="n">
        <f aca="false">SUM(L37,L56,L75,L94,L113,L132,L151,L170,L189,L208,L227,L246,L265,L284,L303)</f>
        <v>0</v>
      </c>
      <c r="M314" s="24" t="n">
        <f aca="false">SUM(M37,M56,M75,M94,M113,M132,M151,M170,M189,M208,M227,M246,M265,M284,M303)</f>
        <v>0</v>
      </c>
    </row>
    <row r="315" customFormat="false" ht="17.15" hidden="false" customHeight="false" outlineLevel="0" collapsed="false">
      <c r="A315" s="5" t="s">
        <v>1284</v>
      </c>
      <c r="B315" s="0" t="s">
        <v>1285</v>
      </c>
      <c r="D315" s="24" t="n">
        <f aca="false">D307-N(D277)</f>
        <v>0.630578355681972</v>
      </c>
      <c r="E315" s="24" t="n">
        <f aca="false">E307-N(E277)</f>
        <v>6.20938570515285</v>
      </c>
      <c r="F315" s="24" t="n">
        <f aca="false">F307-N(F277)</f>
        <v>17.00381</v>
      </c>
      <c r="G315" s="24" t="n">
        <f aca="false">G307-N(G277)</f>
        <v>26.1858481277259</v>
      </c>
      <c r="H315" s="24" t="n">
        <f aca="false">H307-N(H277)</f>
        <v>32.6649887943925</v>
      </c>
      <c r="I315" s="24" t="n">
        <f aca="false">I307-N(I277)</f>
        <v>48.7716554610592</v>
      </c>
      <c r="J315" s="24" t="n">
        <f aca="false">J307-N(J277)</f>
        <v>51.8881554610592</v>
      </c>
      <c r="K315" s="24" t="n">
        <f aca="false">K307-N(K277)</f>
        <v>54.7746554610592</v>
      </c>
      <c r="L315" s="24" t="n">
        <f aca="false">L307-N(L277)</f>
        <v>55.9246554610592</v>
      </c>
      <c r="M315" s="24" t="n">
        <f aca="false">M307-N(M277)</f>
        <v>55.9246554610592</v>
      </c>
    </row>
    <row r="316" customFormat="false" ht="15" hidden="false" customHeight="false" outlineLevel="0" collapsed="false">
      <c r="A316" s="5" t="s">
        <v>1286</v>
      </c>
      <c r="B316" s="0" t="s">
        <v>1287</v>
      </c>
      <c r="D316" s="26" t="n">
        <f aca="false">COUNT(D30,D49,D68,D87,D106,D125,D144,D163,D182,D201,D220,D239,D258,D277,D296)</f>
        <v>2</v>
      </c>
      <c r="E316" s="26" t="n">
        <f aca="false">COUNT(E30,E49,E68,E87,E106,E125,E144,E163,E182,E201,E220,E239,E258,E277,E296)</f>
        <v>7</v>
      </c>
      <c r="F316" s="26" t="n">
        <f aca="false">COUNT(F30,F49,F68,F87,F106,F125,F144,F163,F182,F201,F220,F239,F258,F277,F296)</f>
        <v>15</v>
      </c>
      <c r="G316" s="26" t="n">
        <f aca="false">COUNT(G30,G49,G68,G87,G106,G125,G144,G163,G182,G201,G220,G239,G258,G277,G296)</f>
        <v>15</v>
      </c>
      <c r="H316" s="26" t="n">
        <f aca="false">COUNT(H30,H49,H68,H87,H106,H125,H144,H163,H182,H201,H220,H239,H258,H277,H296)</f>
        <v>15</v>
      </c>
      <c r="I316" s="26" t="n">
        <f aca="false">COUNT(I30,I49,I68,I87,I106,I125,I144,I163,I182,I201,I220,I239,I258,I277,I296)</f>
        <v>15</v>
      </c>
      <c r="J316" s="26" t="n">
        <f aca="false">COUNT(J30,J49,J68,J87,J106,J125,J144,J163,J182,J201,J220,J239,J258,J277,J296)</f>
        <v>15</v>
      </c>
      <c r="K316" s="26" t="n">
        <f aca="false">COUNT(K30,K49,K68,K87,K106,K125,K144,K163,K182,K201,K220,K239,K258,K277,K296)</f>
        <v>15</v>
      </c>
      <c r="L316" s="26" t="n">
        <f aca="false">COUNT(L30,L49,L68,L87,L106,L125,L144,L163,L182,L201,L220,L239,L258,L277,L296)</f>
        <v>15</v>
      </c>
      <c r="M316" s="26" t="n">
        <f aca="false">COUNT(M30,M49,M68,M87,M106,M125,M144,M163,M182,M201,M220,M239,M258,M277,M296)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4" min="3" style="0" width="10"/>
  </cols>
  <sheetData>
    <row r="1" customFormat="false" ht="17.15" hidden="false" customHeight="false" outlineLevel="0" collapsed="false">
      <c r="A1" s="0" t="s">
        <v>1288</v>
      </c>
    </row>
    <row r="3" customFormat="false" ht="17.15" hidden="false" customHeight="false" outlineLevel="0" collapsed="false">
      <c r="A3" s="8" t="s">
        <v>1289</v>
      </c>
    </row>
    <row r="4" customFormat="false" ht="17.15" hidden="false" customHeight="false" outlineLevel="0" collapsed="false">
      <c r="A4" s="6" t="s">
        <v>499</v>
      </c>
      <c r="B4" s="6" t="s">
        <v>14</v>
      </c>
      <c r="C4" s="6" t="s">
        <v>1290</v>
      </c>
      <c r="D4" s="7" t="s">
        <v>1291</v>
      </c>
      <c r="E4" s="7" t="s">
        <v>1292</v>
      </c>
      <c r="F4" s="7" t="s">
        <v>1293</v>
      </c>
      <c r="G4" s="7" t="s">
        <v>1038</v>
      </c>
      <c r="H4" s="7" t="s">
        <v>1294</v>
      </c>
      <c r="I4" s="7" t="s">
        <v>1295</v>
      </c>
      <c r="J4" s="6" t="s">
        <v>1296</v>
      </c>
      <c r="K4" s="6" t="s">
        <v>1297</v>
      </c>
      <c r="L4" s="6" t="s">
        <v>1298</v>
      </c>
      <c r="M4" s="7" t="s">
        <v>1299</v>
      </c>
      <c r="N4" s="6" t="s">
        <v>1300</v>
      </c>
    </row>
    <row r="5" customFormat="false" ht="17.15" hidden="false" customHeight="false" outlineLevel="0" collapsed="false">
      <c r="A5" s="0" t="s">
        <v>1301</v>
      </c>
      <c r="B5" s="0" t="s">
        <v>506</v>
      </c>
      <c r="C5" s="24" t="n">
        <f aca="false">SUMPRODUCT((In!$H$170:$H$182="msft")*(In!$I$170:$I$182="self")*((In!$J$170:$J$182="比")*$M5+(In!$J$170:$J$182&lt;&gt;"比"))*In!K$170:K$182)</f>
        <v>1.491618</v>
      </c>
      <c r="D5" s="24" t="n">
        <f aca="false">SUMPRODUCT((In!$H$170:$H$182="msft")*(In!$I$170:$I$182="oai")*((In!$J$170:$J$182="比")*$M5+(In!$J$170:$J$182&lt;&gt;"比"))*In!K$170:K$182)</f>
        <v>0</v>
      </c>
      <c r="E5" s="24" t="n">
        <f aca="false">SUMPRODUCT((In!$H$170:$H$182="msft")*(In!$I$170:$I$182="ant")*((In!$J$170:$J$182="比")*$M5+(In!$J$170:$J$182&lt;&gt;"比"))*In!K$170:K$182)</f>
        <v>0</v>
      </c>
      <c r="F5" s="24" t="n">
        <f aca="false">SUMPRODUCT((In!$H$170:$H$182="msft")*(In!$I$170:$I$182="xai")*((In!$J$170:$J$182="比")*$M5+(In!$J$170:$J$182&lt;&gt;"比"))*In!K$170:K$182)</f>
        <v>0</v>
      </c>
      <c r="G5" s="24" t="n">
        <f aca="false">SUMPRODUCT((In!$H$170:$H$182="msft")*(In!$I$170:$I$182="meta")*((In!$J$170:$J$182="比")*$M5+(In!$J$170:$J$182&lt;&gt;"比"))*In!K$170:K$182)</f>
        <v>0</v>
      </c>
      <c r="H5" s="24" t="n">
        <f aca="false">SUMPRODUCT((In!$H$170:$H$182="msft")*(In!$I$170:$I$182="googl")*((In!$J$170:$J$182="比")*$M5+(In!$J$170:$J$182&lt;&gt;"比"))*In!K$170:K$182)</f>
        <v>0</v>
      </c>
      <c r="I5" s="24" t="n">
        <f aca="false">SUMPRODUCT((In!$H$170:$H$182="msft")*(In!$I$170:$I$182="msft")*((In!$J$170:$J$182="比")*$M5+(In!$J$170:$J$182&lt;&gt;"比"))*In!K$170:K$182)</f>
        <v>0</v>
      </c>
      <c r="J5" s="24" t="n">
        <f aca="false">SUMPRODUCT((In!$H$170:$H$182="msft")*(In!$I$170:$I$182="oth")*((In!$J$170:$J$182="比")*$M5+(In!$J$170:$J$182&lt;&gt;"比"))*In!K$170:K$182)</f>
        <v>0</v>
      </c>
      <c r="K5" s="24" t="n">
        <f aca="false">$M5-SUM(C5:J5)</f>
        <v>2.237427</v>
      </c>
      <c r="L5" s="24" t="n">
        <f aca="false">SUM(C5:K5)</f>
        <v>3.729045</v>
      </c>
      <c r="M5" s="27" t="n">
        <f aca="false">N(Players!F30)</f>
        <v>3.729045</v>
      </c>
      <c r="N5" s="28" t="n">
        <f aca="false">L5-M5</f>
        <v>0</v>
      </c>
    </row>
    <row r="6" customFormat="false" ht="17.15" hidden="false" customHeight="false" outlineLevel="0" collapsed="false">
      <c r="A6" s="0" t="s">
        <v>1302</v>
      </c>
      <c r="B6" s="0" t="s">
        <v>511</v>
      </c>
      <c r="C6" s="24" t="n">
        <f aca="false">SUMPRODUCT((In!$H$170:$H$182="googl")*(In!$I$170:$I$182="self")*((In!$J$170:$J$182="比")*$M6+(In!$J$170:$J$182&lt;&gt;"比"))*In!K$170:K$182)</f>
        <v>3.01</v>
      </c>
      <c r="D6" s="24" t="n">
        <f aca="false">SUMPRODUCT((In!$H$170:$H$182="googl")*(In!$I$170:$I$182="oai")*((In!$J$170:$J$182="比")*$M6+(In!$J$170:$J$182&lt;&gt;"比"))*In!K$170:K$182)</f>
        <v>0</v>
      </c>
      <c r="E6" s="24" t="n">
        <f aca="false">SUMPRODUCT((In!$H$170:$H$182="googl")*(In!$I$170:$I$182="ant")*((In!$J$170:$J$182="比")*$M6+(In!$J$170:$J$182&lt;&gt;"比"))*In!K$170:K$182)</f>
        <v>0</v>
      </c>
      <c r="F6" s="24" t="n">
        <f aca="false">SUMPRODUCT((In!$H$170:$H$182="googl")*(In!$I$170:$I$182="xai")*((In!$J$170:$J$182="比")*$M6+(In!$J$170:$J$182&lt;&gt;"比"))*In!K$170:K$182)</f>
        <v>0</v>
      </c>
      <c r="G6" s="24" t="n">
        <f aca="false">SUMPRODUCT((In!$H$170:$H$182="googl")*(In!$I$170:$I$182="meta")*((In!$J$170:$J$182="比")*$M6+(In!$J$170:$J$182&lt;&gt;"比"))*In!K$170:K$182)</f>
        <v>0</v>
      </c>
      <c r="H6" s="24" t="n">
        <f aca="false">SUMPRODUCT((In!$H$170:$H$182="googl")*(In!$I$170:$I$182="googl")*((In!$J$170:$J$182="比")*$M6+(In!$J$170:$J$182&lt;&gt;"比"))*In!K$170:K$182)</f>
        <v>0</v>
      </c>
      <c r="I6" s="24" t="n">
        <f aca="false">SUMPRODUCT((In!$H$170:$H$182="googl")*(In!$I$170:$I$182="msft")*((In!$J$170:$J$182="比")*$M6+(In!$J$170:$J$182&lt;&gt;"比"))*In!K$170:K$182)</f>
        <v>0</v>
      </c>
      <c r="J6" s="24" t="n">
        <f aca="false">SUMPRODUCT((In!$H$170:$H$182="googl")*(In!$I$170:$I$182="oth")*((In!$J$170:$J$182="比")*$M6+(In!$J$170:$J$182&lt;&gt;"比"))*In!K$170:K$182)</f>
        <v>0</v>
      </c>
      <c r="K6" s="24" t="n">
        <f aca="false">$M6-SUM(C6:J6)</f>
        <v>1.29</v>
      </c>
      <c r="L6" s="24" t="n">
        <f aca="false">SUM(C6:K6)</f>
        <v>4.3</v>
      </c>
      <c r="M6" s="27" t="n">
        <f aca="false">N(Players!F49)</f>
        <v>4.3</v>
      </c>
      <c r="N6" s="28" t="n">
        <f aca="false">L6-M6</f>
        <v>0</v>
      </c>
    </row>
    <row r="7" customFormat="false" ht="17.15" hidden="false" customHeight="false" outlineLevel="0" collapsed="false">
      <c r="A7" s="0" t="s">
        <v>1303</v>
      </c>
      <c r="B7" s="0" t="s">
        <v>519</v>
      </c>
      <c r="C7" s="24" t="n">
        <f aca="false">SUMPRODUCT((In!$H$170:$H$182="amzn")*(In!$I$170:$I$182="self")*((In!$J$170:$J$182="比")*$M7+(In!$J$170:$J$182&lt;&gt;"比"))*In!K$170:K$182)</f>
        <v>0.44</v>
      </c>
      <c r="D7" s="24" t="n">
        <f aca="false">SUMPRODUCT((In!$H$170:$H$182="amzn")*(In!$I$170:$I$182="oai")*((In!$J$170:$J$182="比")*$M7+(In!$J$170:$J$182&lt;&gt;"比"))*In!K$170:K$182)</f>
        <v>0</v>
      </c>
      <c r="E7" s="24" t="n">
        <f aca="false">SUMPRODUCT((In!$H$170:$H$182="amzn")*(In!$I$170:$I$182="ant")*((In!$J$170:$J$182="比")*$M7+(In!$J$170:$J$182&lt;&gt;"比"))*In!K$170:K$182)</f>
        <v>0.626</v>
      </c>
      <c r="F7" s="24" t="n">
        <f aca="false">SUMPRODUCT((In!$H$170:$H$182="amzn")*(In!$I$170:$I$182="xai")*((In!$J$170:$J$182="比")*$M7+(In!$J$170:$J$182&lt;&gt;"比"))*In!K$170:K$182)</f>
        <v>0</v>
      </c>
      <c r="G7" s="24" t="n">
        <f aca="false">SUMPRODUCT((In!$H$170:$H$182="amzn")*(In!$I$170:$I$182="meta")*((In!$J$170:$J$182="比")*$M7+(In!$J$170:$J$182&lt;&gt;"比"))*In!K$170:K$182)</f>
        <v>0</v>
      </c>
      <c r="H7" s="24" t="n">
        <f aca="false">SUMPRODUCT((In!$H$170:$H$182="amzn")*(In!$I$170:$I$182="googl")*((In!$J$170:$J$182="比")*$M7+(In!$J$170:$J$182&lt;&gt;"比"))*In!K$170:K$182)</f>
        <v>0</v>
      </c>
      <c r="I7" s="24" t="n">
        <f aca="false">SUMPRODUCT((In!$H$170:$H$182="amzn")*(In!$I$170:$I$182="msft")*((In!$J$170:$J$182="比")*$M7+(In!$J$170:$J$182&lt;&gt;"比"))*In!K$170:K$182)</f>
        <v>0</v>
      </c>
      <c r="J7" s="24" t="n">
        <f aca="false">SUMPRODUCT((In!$H$170:$H$182="amzn")*(In!$I$170:$I$182="oth")*((In!$J$170:$J$182="比")*$M7+(In!$J$170:$J$182&lt;&gt;"比"))*In!K$170:K$182)</f>
        <v>0</v>
      </c>
      <c r="K7" s="24" t="n">
        <f aca="false">$M7-SUM(C7:J7)</f>
        <v>1.134</v>
      </c>
      <c r="L7" s="24" t="n">
        <f aca="false">SUM(C7:K7)</f>
        <v>2.2</v>
      </c>
      <c r="M7" s="27" t="n">
        <f aca="false">N(Players!F68)</f>
        <v>2.2</v>
      </c>
      <c r="N7" s="28" t="n">
        <f aca="false">L7-M7</f>
        <v>0</v>
      </c>
    </row>
    <row r="8" customFormat="false" ht="15" hidden="false" customHeight="false" outlineLevel="0" collapsed="false">
      <c r="A8" s="0" t="s">
        <v>1038</v>
      </c>
      <c r="B8" s="0" t="s">
        <v>526</v>
      </c>
      <c r="C8" s="24" t="n">
        <f aca="false">SUMPRODUCT((In!$H$170:$H$182="meta")*(In!$I$170:$I$182="self")*((In!$J$170:$J$182="比")*$M8+(In!$J$170:$J$182&lt;&gt;"比"))*In!K$170:K$182)</f>
        <v>0</v>
      </c>
      <c r="D8" s="24" t="n">
        <f aca="false">SUMPRODUCT((In!$H$170:$H$182="meta")*(In!$I$170:$I$182="oai")*((In!$J$170:$J$182="比")*$M8+(In!$J$170:$J$182&lt;&gt;"比"))*In!K$170:K$182)</f>
        <v>0</v>
      </c>
      <c r="E8" s="24" t="n">
        <f aca="false">SUMPRODUCT((In!$H$170:$H$182="meta")*(In!$I$170:$I$182="ant")*((In!$J$170:$J$182="比")*$M8+(In!$J$170:$J$182&lt;&gt;"比"))*In!K$170:K$182)</f>
        <v>0</v>
      </c>
      <c r="F8" s="24" t="n">
        <f aca="false">SUMPRODUCT((In!$H$170:$H$182="meta")*(In!$I$170:$I$182="xai")*((In!$J$170:$J$182="比")*$M8+(In!$J$170:$J$182&lt;&gt;"比"))*In!K$170:K$182)</f>
        <v>0</v>
      </c>
      <c r="G8" s="24" t="n">
        <f aca="false">SUMPRODUCT((In!$H$170:$H$182="meta")*(In!$I$170:$I$182="meta")*((In!$J$170:$J$182="比")*$M8+(In!$J$170:$J$182&lt;&gt;"比"))*In!K$170:K$182)</f>
        <v>2.476595</v>
      </c>
      <c r="H8" s="24" t="n">
        <f aca="false">SUMPRODUCT((In!$H$170:$H$182="meta")*(In!$I$170:$I$182="googl")*((In!$J$170:$J$182="比")*$M8+(In!$J$170:$J$182&lt;&gt;"比"))*In!K$170:K$182)</f>
        <v>0</v>
      </c>
      <c r="I8" s="24" t="n">
        <f aca="false">SUMPRODUCT((In!$H$170:$H$182="meta")*(In!$I$170:$I$182="msft")*((In!$J$170:$J$182="比")*$M8+(In!$J$170:$J$182&lt;&gt;"比"))*In!K$170:K$182)</f>
        <v>0</v>
      </c>
      <c r="J8" s="24" t="n">
        <f aca="false">SUMPRODUCT((In!$H$170:$H$182="meta")*(In!$I$170:$I$182="oth")*((In!$J$170:$J$182="比")*$M8+(In!$J$170:$J$182&lt;&gt;"比"))*In!K$170:K$182)</f>
        <v>0</v>
      </c>
      <c r="K8" s="24" t="n">
        <f aca="false">$M8-SUM(C8:J8)</f>
        <v>0</v>
      </c>
      <c r="L8" s="24" t="n">
        <f aca="false">SUM(C8:K8)</f>
        <v>2.476595</v>
      </c>
      <c r="M8" s="27" t="n">
        <f aca="false">N(Players!F87)</f>
        <v>2.476595</v>
      </c>
      <c r="N8" s="28" t="n">
        <f aca="false">L8-M8</f>
        <v>0</v>
      </c>
    </row>
    <row r="9" customFormat="false" ht="17.15" hidden="false" customHeight="false" outlineLevel="0" collapsed="false">
      <c r="A9" s="0" t="s">
        <v>1304</v>
      </c>
      <c r="B9" s="0" t="s">
        <v>530</v>
      </c>
      <c r="C9" s="24" t="n">
        <f aca="false">SUMPRODUCT((In!$H$170:$H$182="orcl")*(In!$I$170:$I$182="self")*((In!$J$170:$J$182="比")*$M9+(In!$J$170:$J$182&lt;&gt;"比"))*In!K$170:K$182)</f>
        <v>0</v>
      </c>
      <c r="D9" s="24" t="n">
        <f aca="false">SUMPRODUCT((In!$H$170:$H$182="orcl")*(In!$I$170:$I$182="oai")*((In!$J$170:$J$182="比")*$M9+(In!$J$170:$J$182&lt;&gt;"比"))*In!K$170:K$182)</f>
        <v>0</v>
      </c>
      <c r="E9" s="24" t="n">
        <f aca="false">SUMPRODUCT((In!$H$170:$H$182="orcl")*(In!$I$170:$I$182="ant")*((In!$J$170:$J$182="比")*$M9+(In!$J$170:$J$182&lt;&gt;"比"))*In!K$170:K$182)</f>
        <v>0</v>
      </c>
      <c r="F9" s="24" t="n">
        <f aca="false">SUMPRODUCT((In!$H$170:$H$182="orcl")*(In!$I$170:$I$182="xai")*((In!$J$170:$J$182="比")*$M9+(In!$J$170:$J$182&lt;&gt;"比"))*In!K$170:K$182)</f>
        <v>0</v>
      </c>
      <c r="G9" s="24" t="n">
        <f aca="false">SUMPRODUCT((In!$H$170:$H$182="orcl")*(In!$I$170:$I$182="meta")*((In!$J$170:$J$182="比")*$M9+(In!$J$170:$J$182&lt;&gt;"比"))*In!K$170:K$182)</f>
        <v>0</v>
      </c>
      <c r="H9" s="24" t="n">
        <f aca="false">SUMPRODUCT((In!$H$170:$H$182="orcl")*(In!$I$170:$I$182="googl")*((In!$J$170:$J$182="比")*$M9+(In!$J$170:$J$182&lt;&gt;"比"))*In!K$170:K$182)</f>
        <v>0</v>
      </c>
      <c r="I9" s="24" t="n">
        <f aca="false">SUMPRODUCT((In!$H$170:$H$182="orcl")*(In!$I$170:$I$182="msft")*((In!$J$170:$J$182="比")*$M9+(In!$J$170:$J$182&lt;&gt;"比"))*In!K$170:K$182)</f>
        <v>0</v>
      </c>
      <c r="J9" s="24" t="n">
        <f aca="false">SUMPRODUCT((In!$H$170:$H$182="orcl")*(In!$I$170:$I$182="oth")*((In!$J$170:$J$182="比")*$M9+(In!$J$170:$J$182&lt;&gt;"比"))*In!K$170:K$182)</f>
        <v>0</v>
      </c>
      <c r="K9" s="24" t="n">
        <f aca="false">$M9-SUM(C9:J9)</f>
        <v>1.20287</v>
      </c>
      <c r="L9" s="24" t="n">
        <f aca="false">SUM(C9:K9)</f>
        <v>1.20287</v>
      </c>
      <c r="M9" s="27" t="n">
        <f aca="false">N(Players!F106)</f>
        <v>1.20287</v>
      </c>
      <c r="N9" s="28" t="n">
        <f aca="false">L9-M9</f>
        <v>0</v>
      </c>
    </row>
    <row r="10" customFormat="false" ht="15" hidden="false" customHeight="false" outlineLevel="0" collapsed="false">
      <c r="A10" s="0" t="s">
        <v>1076</v>
      </c>
      <c r="B10" s="0" t="s">
        <v>620</v>
      </c>
      <c r="C10" s="24" t="n">
        <f aca="false">SUMPRODUCT((In!$H$170:$H$182="crwv")*(In!$I$170:$I$182="self")*((In!$J$170:$J$182="比")*$M10+(In!$J$170:$J$182&lt;&gt;"比"))*In!K$170:K$182)</f>
        <v>0</v>
      </c>
      <c r="D10" s="24" t="n">
        <f aca="false">SUMPRODUCT((In!$H$170:$H$182="crwv")*(In!$I$170:$I$182="oai")*((In!$J$170:$J$182="比")*$M10+(In!$J$170:$J$182&lt;&gt;"比"))*In!K$170:K$182)</f>
        <v>0</v>
      </c>
      <c r="E10" s="24" t="n">
        <f aca="false">SUMPRODUCT((In!$H$170:$H$182="crwv")*(In!$I$170:$I$182="ant")*((In!$J$170:$J$182="比")*$M10+(In!$J$170:$J$182&lt;&gt;"比"))*In!K$170:K$182)</f>
        <v>0</v>
      </c>
      <c r="F10" s="24" t="n">
        <f aca="false">SUMPRODUCT((In!$H$170:$H$182="crwv")*(In!$I$170:$I$182="xai")*((In!$J$170:$J$182="比")*$M10+(In!$J$170:$J$182&lt;&gt;"比"))*In!K$170:K$182)</f>
        <v>0</v>
      </c>
      <c r="G10" s="24" t="n">
        <f aca="false">SUMPRODUCT((In!$H$170:$H$182="crwv")*(In!$I$170:$I$182="meta")*((In!$J$170:$J$182="比")*$M10+(In!$J$170:$J$182&lt;&gt;"比"))*In!K$170:K$182)</f>
        <v>0</v>
      </c>
      <c r="H10" s="24" t="n">
        <f aca="false">SUMPRODUCT((In!$H$170:$H$182="crwv")*(In!$I$170:$I$182="googl")*((In!$J$170:$J$182="比")*$M10+(In!$J$170:$J$182&lt;&gt;"比"))*In!K$170:K$182)</f>
        <v>0</v>
      </c>
      <c r="I10" s="24" t="n">
        <f aca="false">SUMPRODUCT((In!$H$170:$H$182="crwv")*(In!$I$170:$I$182="msft")*((In!$J$170:$J$182="比")*$M10+(In!$J$170:$J$182&lt;&gt;"比"))*In!K$170:K$182)</f>
        <v>0</v>
      </c>
      <c r="J10" s="24" t="n">
        <f aca="false">SUMPRODUCT((In!$H$170:$H$182="crwv")*(In!$I$170:$I$182="oth")*((In!$J$170:$J$182="比")*$M10+(In!$J$170:$J$182&lt;&gt;"比"))*In!K$170:K$182)</f>
        <v>0</v>
      </c>
      <c r="K10" s="24" t="n">
        <f aca="false">$M10-SUM(C10:J10)</f>
        <v>0.85</v>
      </c>
      <c r="L10" s="24" t="n">
        <f aca="false">SUM(C10:K10)</f>
        <v>0.85</v>
      </c>
      <c r="M10" s="27" t="n">
        <f aca="false">N(Players!F125)</f>
        <v>0.85</v>
      </c>
      <c r="N10" s="28" t="n">
        <f aca="false">L10-M10</f>
        <v>0</v>
      </c>
    </row>
    <row r="11" customFormat="false" ht="15" hidden="false" customHeight="false" outlineLevel="0" collapsed="false">
      <c r="A11" s="0" t="s">
        <v>1095</v>
      </c>
      <c r="B11" s="0" t="s">
        <v>651</v>
      </c>
      <c r="C11" s="24" t="n">
        <f aca="false">SUMPRODUCT((In!$H$170:$H$182="nbis")*(In!$I$170:$I$182="self")*((In!$J$170:$J$182="比")*$M11+(In!$J$170:$J$182&lt;&gt;"比"))*In!K$170:K$182)</f>
        <v>0</v>
      </c>
      <c r="D11" s="24" t="n">
        <f aca="false">SUMPRODUCT((In!$H$170:$H$182="nbis")*(In!$I$170:$I$182="oai")*((In!$J$170:$J$182="比")*$M11+(In!$J$170:$J$182&lt;&gt;"比"))*In!K$170:K$182)</f>
        <v>0</v>
      </c>
      <c r="E11" s="24" t="n">
        <f aca="false">SUMPRODUCT((In!$H$170:$H$182="nbis")*(In!$I$170:$I$182="ant")*((In!$J$170:$J$182="比")*$M11+(In!$J$170:$J$182&lt;&gt;"比"))*In!K$170:K$182)</f>
        <v>0</v>
      </c>
      <c r="F11" s="24" t="n">
        <f aca="false">SUMPRODUCT((In!$H$170:$H$182="nbis")*(In!$I$170:$I$182="xai")*((In!$J$170:$J$182="比")*$M11+(In!$J$170:$J$182&lt;&gt;"比"))*In!K$170:K$182)</f>
        <v>0</v>
      </c>
      <c r="G11" s="24" t="n">
        <f aca="false">SUMPRODUCT((In!$H$170:$H$182="nbis")*(In!$I$170:$I$182="meta")*((In!$J$170:$J$182="比")*$M11+(In!$J$170:$J$182&lt;&gt;"比"))*In!K$170:K$182)</f>
        <v>0</v>
      </c>
      <c r="H11" s="24" t="n">
        <f aca="false">SUMPRODUCT((In!$H$170:$H$182="nbis")*(In!$I$170:$I$182="googl")*((In!$J$170:$J$182="比")*$M11+(In!$J$170:$J$182&lt;&gt;"比"))*In!K$170:K$182)</f>
        <v>0</v>
      </c>
      <c r="I11" s="24" t="n">
        <f aca="false">SUMPRODUCT((In!$H$170:$H$182="nbis")*(In!$I$170:$I$182="msft")*((In!$J$170:$J$182="比")*$M11+(In!$J$170:$J$182&lt;&gt;"比"))*In!K$170:K$182)</f>
        <v>0</v>
      </c>
      <c r="J11" s="24" t="n">
        <f aca="false">SUMPRODUCT((In!$H$170:$H$182="nbis")*(In!$I$170:$I$182="oth")*((In!$J$170:$J$182="比")*$M11+(In!$J$170:$J$182&lt;&gt;"比"))*In!K$170:K$182)</f>
        <v>0</v>
      </c>
      <c r="K11" s="24" t="n">
        <f aca="false">$M11-SUM(C11:J11)</f>
        <v>0.17</v>
      </c>
      <c r="L11" s="24" t="n">
        <f aca="false">SUM(C11:K11)</f>
        <v>0.17</v>
      </c>
      <c r="M11" s="27" t="n">
        <f aca="false">N(Players!F144)</f>
        <v>0.17</v>
      </c>
      <c r="N11" s="28" t="n">
        <f aca="false">L11-M11</f>
        <v>0</v>
      </c>
    </row>
    <row r="12" customFormat="false" ht="17.15" hidden="false" customHeight="false" outlineLevel="0" collapsed="false">
      <c r="A12" s="0" t="s">
        <v>1305</v>
      </c>
      <c r="B12" s="0" t="s">
        <v>1115</v>
      </c>
      <c r="C12" s="24" t="n">
        <f aca="false">SUMPRODUCT((In!$H$170:$H$182="wyfi")*(In!$I$170:$I$182="self")*((In!$J$170:$J$182="比")*$M12+(In!$J$170:$J$182&lt;&gt;"比"))*In!K$170:K$182)</f>
        <v>0</v>
      </c>
      <c r="D12" s="24" t="n">
        <f aca="false">SUMPRODUCT((In!$H$170:$H$182="wyfi")*(In!$I$170:$I$182="oai")*((In!$J$170:$J$182="比")*$M12+(In!$J$170:$J$182&lt;&gt;"比"))*In!K$170:K$182)</f>
        <v>0</v>
      </c>
      <c r="E12" s="24" t="n">
        <f aca="false">SUMPRODUCT((In!$H$170:$H$182="wyfi")*(In!$I$170:$I$182="ant")*((In!$J$170:$J$182="比")*$M12+(In!$J$170:$J$182&lt;&gt;"比"))*In!K$170:K$182)</f>
        <v>0</v>
      </c>
      <c r="F12" s="24" t="n">
        <f aca="false">SUMPRODUCT((In!$H$170:$H$182="wyfi")*(In!$I$170:$I$182="xai")*((In!$J$170:$J$182="比")*$M12+(In!$J$170:$J$182&lt;&gt;"比"))*In!K$170:K$182)</f>
        <v>0</v>
      </c>
      <c r="G12" s="24" t="n">
        <f aca="false">SUMPRODUCT((In!$H$170:$H$182="wyfi")*(In!$I$170:$I$182="meta")*((In!$J$170:$J$182="比")*$M12+(In!$J$170:$J$182&lt;&gt;"比"))*In!K$170:K$182)</f>
        <v>0</v>
      </c>
      <c r="H12" s="24" t="n">
        <f aca="false">SUMPRODUCT((In!$H$170:$H$182="wyfi")*(In!$I$170:$I$182="googl")*((In!$J$170:$J$182="比")*$M12+(In!$J$170:$J$182&lt;&gt;"比"))*In!K$170:K$182)</f>
        <v>0</v>
      </c>
      <c r="I12" s="24" t="n">
        <f aca="false">SUMPRODUCT((In!$H$170:$H$182="wyfi")*(In!$I$170:$I$182="msft")*((In!$J$170:$J$182="比")*$M12+(In!$J$170:$J$182&lt;&gt;"比"))*In!K$170:K$182)</f>
        <v>0</v>
      </c>
      <c r="J12" s="24" t="n">
        <f aca="false">SUMPRODUCT((In!$H$170:$H$182="wyfi")*(In!$I$170:$I$182="oth")*((In!$J$170:$J$182="比")*$M12+(In!$J$170:$J$182&lt;&gt;"比"))*In!K$170:K$182)</f>
        <v>0</v>
      </c>
      <c r="K12" s="24" t="n">
        <f aca="false">$M12-SUM(C12:J12)</f>
        <v>0.0055</v>
      </c>
      <c r="L12" s="24" t="n">
        <f aca="false">SUM(C12:K12)</f>
        <v>0.0055</v>
      </c>
      <c r="M12" s="27" t="n">
        <f aca="false">N(Players!F163)</f>
        <v>0.0055</v>
      </c>
      <c r="N12" s="28" t="n">
        <f aca="false">L12-M12</f>
        <v>0</v>
      </c>
    </row>
    <row r="13" customFormat="false" ht="17.15" hidden="false" customHeight="false" outlineLevel="0" collapsed="false">
      <c r="A13" s="0" t="s">
        <v>1306</v>
      </c>
      <c r="B13" s="0" t="s">
        <v>535</v>
      </c>
      <c r="C13" s="24" t="n">
        <f aca="false">SUMPRODUCT((In!$H$170:$H$182="xai")*(In!$I$170:$I$182="self")*((In!$J$170:$J$182="比")*$M13+(In!$J$170:$J$182&lt;&gt;"比"))*In!K$170:K$182)</f>
        <v>0</v>
      </c>
      <c r="D13" s="24" t="n">
        <f aca="false">SUMPRODUCT((In!$H$170:$H$182="xai")*(In!$I$170:$I$182="oai")*((In!$J$170:$J$182="比")*$M13+(In!$J$170:$J$182&lt;&gt;"比"))*In!K$170:K$182)</f>
        <v>0</v>
      </c>
      <c r="E13" s="24" t="n">
        <f aca="false">SUMPRODUCT((In!$H$170:$H$182="xai")*(In!$I$170:$I$182="ant")*((In!$J$170:$J$182="比")*$M13+(In!$J$170:$J$182&lt;&gt;"比"))*In!K$170:K$182)</f>
        <v>0</v>
      </c>
      <c r="F13" s="24" t="n">
        <f aca="false">SUMPRODUCT((In!$H$170:$H$182="xai")*(In!$I$170:$I$182="xai")*((In!$J$170:$J$182="比")*$M13+(In!$J$170:$J$182&lt;&gt;"比"))*In!K$170:K$182)</f>
        <v>0</v>
      </c>
      <c r="G13" s="24" t="n">
        <f aca="false">SUMPRODUCT((In!$H$170:$H$182="xai")*(In!$I$170:$I$182="meta")*((In!$J$170:$J$182="比")*$M13+(In!$J$170:$J$182&lt;&gt;"比"))*In!K$170:K$182)</f>
        <v>0</v>
      </c>
      <c r="H13" s="24" t="n">
        <f aca="false">SUMPRODUCT((In!$H$170:$H$182="xai")*(In!$I$170:$I$182="googl")*((In!$J$170:$J$182="比")*$M13+(In!$J$170:$J$182&lt;&gt;"比"))*In!K$170:K$182)</f>
        <v>0</v>
      </c>
      <c r="I13" s="24" t="n">
        <f aca="false">SUMPRODUCT((In!$H$170:$H$182="xai")*(In!$I$170:$I$182="msft")*((In!$J$170:$J$182="比")*$M13+(In!$J$170:$J$182&lt;&gt;"比"))*In!K$170:K$182)</f>
        <v>0</v>
      </c>
      <c r="J13" s="24" t="n">
        <f aca="false">SUMPRODUCT((In!$H$170:$H$182="xai")*(In!$I$170:$I$182="oth")*((In!$J$170:$J$182="比")*$M13+(In!$J$170:$J$182&lt;&gt;"比"))*In!K$170:K$182)</f>
        <v>0</v>
      </c>
      <c r="K13" s="24" t="n">
        <f aca="false">$M13-SUM(C13:J13)</f>
        <v>0.5698</v>
      </c>
      <c r="L13" s="24" t="n">
        <f aca="false">SUM(C13:K13)</f>
        <v>0.5698</v>
      </c>
      <c r="M13" s="27" t="n">
        <f aca="false">N(Players!F182)</f>
        <v>0.5698</v>
      </c>
      <c r="N13" s="28" t="n">
        <f aca="false">L13-M13</f>
        <v>0</v>
      </c>
    </row>
    <row r="14" customFormat="false" ht="17.15" hidden="false" customHeight="false" outlineLevel="0" collapsed="false">
      <c r="A14" s="0" t="s">
        <v>1307</v>
      </c>
      <c r="B14" s="0" t="s">
        <v>531</v>
      </c>
      <c r="C14" s="24" t="n">
        <f aca="false">SUMPRODUCT((In!$H$170:$H$182="oai")*(In!$I$170:$I$182="self")*((In!$J$170:$J$182="比")*$M14+(In!$J$170:$J$182&lt;&gt;"比"))*In!K$170:K$182)</f>
        <v>0</v>
      </c>
      <c r="D14" s="24" t="n">
        <f aca="false">SUMPRODUCT((In!$H$170:$H$182="oai")*(In!$I$170:$I$182="oai")*((In!$J$170:$J$182="比")*$M14+(In!$J$170:$J$182&lt;&gt;"比"))*In!K$170:K$182)</f>
        <v>0</v>
      </c>
      <c r="E14" s="24" t="n">
        <f aca="false">SUMPRODUCT((In!$H$170:$H$182="oai")*(In!$I$170:$I$182="ant")*((In!$J$170:$J$182="比")*$M14+(In!$J$170:$J$182&lt;&gt;"比"))*In!K$170:K$182)</f>
        <v>0</v>
      </c>
      <c r="F14" s="24" t="n">
        <f aca="false">SUMPRODUCT((In!$H$170:$H$182="oai")*(In!$I$170:$I$182="xai")*((In!$J$170:$J$182="比")*$M14+(In!$J$170:$J$182&lt;&gt;"比"))*In!K$170:K$182)</f>
        <v>0</v>
      </c>
      <c r="G14" s="24" t="n">
        <f aca="false">SUMPRODUCT((In!$H$170:$H$182="oai")*(In!$I$170:$I$182="meta")*((In!$J$170:$J$182="比")*$M14+(In!$J$170:$J$182&lt;&gt;"比"))*In!K$170:K$182)</f>
        <v>0</v>
      </c>
      <c r="H14" s="24" t="n">
        <f aca="false">SUMPRODUCT((In!$H$170:$H$182="oai")*(In!$I$170:$I$182="googl")*((In!$J$170:$J$182="比")*$M14+(In!$J$170:$J$182&lt;&gt;"比"))*In!K$170:K$182)</f>
        <v>0</v>
      </c>
      <c r="I14" s="24" t="n">
        <f aca="false">SUMPRODUCT((In!$H$170:$H$182="oai")*(In!$I$170:$I$182="msft")*((In!$J$170:$J$182="比")*$M14+(In!$J$170:$J$182&lt;&gt;"比"))*In!K$170:K$182)</f>
        <v>0</v>
      </c>
      <c r="J14" s="24" t="n">
        <f aca="false">SUMPRODUCT((In!$H$170:$H$182="oai")*(In!$I$170:$I$182="oth")*((In!$J$170:$J$182="比")*$M14+(In!$J$170:$J$182&lt;&gt;"比"))*In!K$170:K$182)</f>
        <v>0</v>
      </c>
      <c r="K14" s="24" t="n">
        <f aca="false">$M14-SUM(C14:J14)</f>
        <v>0</v>
      </c>
      <c r="L14" s="24" t="n">
        <f aca="false">SUM(C14:K14)</f>
        <v>0</v>
      </c>
      <c r="M14" s="27" t="n">
        <f aca="false">N(Players!F201)</f>
        <v>0</v>
      </c>
      <c r="N14" s="28" t="n">
        <f aca="false">L14-M14</f>
        <v>0</v>
      </c>
    </row>
    <row r="15" customFormat="false" ht="17.15" hidden="false" customHeight="false" outlineLevel="0" collapsed="false">
      <c r="A15" s="0" t="s">
        <v>1308</v>
      </c>
      <c r="B15" s="0" t="s">
        <v>515</v>
      </c>
      <c r="C15" s="24" t="n">
        <f aca="false">SUMPRODUCT((In!$H$170:$H$182="ant")*(In!$I$170:$I$182="self")*((In!$J$170:$J$182="比")*$M15+(In!$J$170:$J$182&lt;&gt;"比"))*In!K$170:K$182)</f>
        <v>0</v>
      </c>
      <c r="D15" s="24" t="n">
        <f aca="false">SUMPRODUCT((In!$H$170:$H$182="ant")*(In!$I$170:$I$182="oai")*((In!$J$170:$J$182="比")*$M15+(In!$J$170:$J$182&lt;&gt;"比"))*In!K$170:K$182)</f>
        <v>0</v>
      </c>
      <c r="E15" s="24" t="n">
        <f aca="false">SUMPRODUCT((In!$H$170:$H$182="ant")*(In!$I$170:$I$182="ant")*((In!$J$170:$J$182="比")*$M15+(In!$J$170:$J$182&lt;&gt;"比"))*In!K$170:K$182)</f>
        <v>0</v>
      </c>
      <c r="F15" s="24" t="n">
        <f aca="false">SUMPRODUCT((In!$H$170:$H$182="ant")*(In!$I$170:$I$182="xai")*((In!$J$170:$J$182="比")*$M15+(In!$J$170:$J$182&lt;&gt;"比"))*In!K$170:K$182)</f>
        <v>0</v>
      </c>
      <c r="G15" s="24" t="n">
        <f aca="false">SUMPRODUCT((In!$H$170:$H$182="ant")*(In!$I$170:$I$182="meta")*((In!$J$170:$J$182="比")*$M15+(In!$J$170:$J$182&lt;&gt;"比"))*In!K$170:K$182)</f>
        <v>0</v>
      </c>
      <c r="H15" s="24" t="n">
        <f aca="false">SUMPRODUCT((In!$H$170:$H$182="ant")*(In!$I$170:$I$182="googl")*((In!$J$170:$J$182="比")*$M15+(In!$J$170:$J$182&lt;&gt;"比"))*In!K$170:K$182)</f>
        <v>0</v>
      </c>
      <c r="I15" s="24" t="n">
        <f aca="false">SUMPRODUCT((In!$H$170:$H$182="ant")*(In!$I$170:$I$182="msft")*((In!$J$170:$J$182="比")*$M15+(In!$J$170:$J$182&lt;&gt;"比"))*In!K$170:K$182)</f>
        <v>0</v>
      </c>
      <c r="J15" s="24" t="n">
        <f aca="false">SUMPRODUCT((In!$H$170:$H$182="ant")*(In!$I$170:$I$182="oth")*((In!$J$170:$J$182="比")*$M15+(In!$J$170:$J$182&lt;&gt;"比"))*In!K$170:K$182)</f>
        <v>0</v>
      </c>
      <c r="K15" s="24" t="n">
        <f aca="false">$M15-SUM(C15:J15)</f>
        <v>0</v>
      </c>
      <c r="L15" s="24" t="n">
        <f aca="false">SUM(C15:K15)</f>
        <v>0</v>
      </c>
      <c r="M15" s="27" t="n">
        <f aca="false">N(Players!F220)</f>
        <v>0</v>
      </c>
      <c r="N15" s="28" t="n">
        <f aca="false">L15-M15</f>
        <v>0</v>
      </c>
    </row>
    <row r="16" customFormat="false" ht="17.15" hidden="false" customHeight="false" outlineLevel="0" collapsed="false">
      <c r="A16" s="5" t="s">
        <v>1309</v>
      </c>
      <c r="B16" s="0" t="s">
        <v>545</v>
      </c>
      <c r="C16" s="24" t="n">
        <f aca="false">SUMPRODUCT((In!$H$170:$H$182="neo")*(In!$I$170:$I$182="self")*((In!$J$170:$J$182="比")*$M16+(In!$J$170:$J$182&lt;&gt;"比"))*In!K$170:K$182)</f>
        <v>0</v>
      </c>
      <c r="D16" s="24" t="n">
        <f aca="false">SUMPRODUCT((In!$H$170:$H$182="neo")*(In!$I$170:$I$182="oai")*((In!$J$170:$J$182="比")*$M16+(In!$J$170:$J$182&lt;&gt;"比"))*In!K$170:K$182)</f>
        <v>0</v>
      </c>
      <c r="E16" s="24" t="n">
        <f aca="false">SUMPRODUCT((In!$H$170:$H$182="neo")*(In!$I$170:$I$182="ant")*((In!$J$170:$J$182="比")*$M16+(In!$J$170:$J$182&lt;&gt;"比"))*In!K$170:K$182)</f>
        <v>0</v>
      </c>
      <c r="F16" s="24" t="n">
        <f aca="false">SUMPRODUCT((In!$H$170:$H$182="neo")*(In!$I$170:$I$182="xai")*((In!$J$170:$J$182="比")*$M16+(In!$J$170:$J$182&lt;&gt;"比"))*In!K$170:K$182)</f>
        <v>0</v>
      </c>
      <c r="G16" s="24" t="n">
        <f aca="false">SUMPRODUCT((In!$H$170:$H$182="neo")*(In!$I$170:$I$182="meta")*((In!$J$170:$J$182="比")*$M16+(In!$J$170:$J$182&lt;&gt;"比"))*In!K$170:K$182)</f>
        <v>0</v>
      </c>
      <c r="H16" s="24" t="n">
        <f aca="false">SUMPRODUCT((In!$H$170:$H$182="neo")*(In!$I$170:$I$182="googl")*((In!$J$170:$J$182="比")*$M16+(In!$J$170:$J$182&lt;&gt;"比"))*In!K$170:K$182)</f>
        <v>0</v>
      </c>
      <c r="I16" s="24" t="n">
        <f aca="false">SUMPRODUCT((In!$H$170:$H$182="neo")*(In!$I$170:$I$182="msft")*((In!$J$170:$J$182="比")*$M16+(In!$J$170:$J$182&lt;&gt;"比"))*In!K$170:K$182)</f>
        <v>0</v>
      </c>
      <c r="J16" s="24" t="n">
        <f aca="false">SUMPRODUCT((In!$H$170:$H$182="neo")*(In!$I$170:$I$182="oth")*((In!$J$170:$J$182="比")*$M16+(In!$J$170:$J$182&lt;&gt;"比"))*In!K$170:K$182)</f>
        <v>0</v>
      </c>
      <c r="K16" s="24" t="n">
        <f aca="false">$M16-SUM(C16:J16)</f>
        <v>0.5</v>
      </c>
      <c r="L16" s="24" t="n">
        <f aca="false">SUM(C16:K16)</f>
        <v>0.5</v>
      </c>
      <c r="M16" s="27" t="n">
        <f aca="false">N(Players!F239)</f>
        <v>0.5</v>
      </c>
      <c r="N16" s="28" t="n">
        <f aca="false">L16-M16</f>
        <v>0</v>
      </c>
    </row>
    <row r="17" customFormat="false" ht="17.15" hidden="false" customHeight="false" outlineLevel="0" collapsed="false">
      <c r="A17" s="5" t="s">
        <v>1310</v>
      </c>
      <c r="B17" s="0" t="s">
        <v>644</v>
      </c>
      <c r="C17" s="24" t="n">
        <f aca="false">SUMPRODUCT((In!$H$170:$H$182="sov")*(In!$I$170:$I$182="self")*((In!$J$170:$J$182="比")*$M17+(In!$J$170:$J$182&lt;&gt;"比"))*In!K$170:K$182)</f>
        <v>0</v>
      </c>
      <c r="D17" s="24" t="n">
        <f aca="false">SUMPRODUCT((In!$H$170:$H$182="sov")*(In!$I$170:$I$182="oai")*((In!$J$170:$J$182="比")*$M17+(In!$J$170:$J$182&lt;&gt;"比"))*In!K$170:K$182)</f>
        <v>0</v>
      </c>
      <c r="E17" s="24" t="n">
        <f aca="false">SUMPRODUCT((In!$H$170:$H$182="sov")*(In!$I$170:$I$182="ant")*((In!$J$170:$J$182="比")*$M17+(In!$J$170:$J$182&lt;&gt;"比"))*In!K$170:K$182)</f>
        <v>0</v>
      </c>
      <c r="F17" s="24" t="n">
        <f aca="false">SUMPRODUCT((In!$H$170:$H$182="sov")*(In!$I$170:$I$182="xai")*((In!$J$170:$J$182="比")*$M17+(In!$J$170:$J$182&lt;&gt;"比"))*In!K$170:K$182)</f>
        <v>0</v>
      </c>
      <c r="G17" s="24" t="n">
        <f aca="false">SUMPRODUCT((In!$H$170:$H$182="sov")*(In!$I$170:$I$182="meta")*((In!$J$170:$J$182="比")*$M17+(In!$J$170:$J$182&lt;&gt;"比"))*In!K$170:K$182)</f>
        <v>0</v>
      </c>
      <c r="H17" s="24" t="n">
        <f aca="false">SUMPRODUCT((In!$H$170:$H$182="sov")*(In!$I$170:$I$182="googl")*((In!$J$170:$J$182="比")*$M17+(In!$J$170:$J$182&lt;&gt;"比"))*In!K$170:K$182)</f>
        <v>0</v>
      </c>
      <c r="I17" s="24" t="n">
        <f aca="false">SUMPRODUCT((In!$H$170:$H$182="sov")*(In!$I$170:$I$182="msft")*((In!$J$170:$J$182="比")*$M17+(In!$J$170:$J$182&lt;&gt;"比"))*In!K$170:K$182)</f>
        <v>0</v>
      </c>
      <c r="J17" s="24" t="n">
        <f aca="false">SUMPRODUCT((In!$H$170:$H$182="sov")*(In!$I$170:$I$182="oth")*((In!$J$170:$J$182="比")*$M17+(In!$J$170:$J$182&lt;&gt;"比"))*In!K$170:K$182)</f>
        <v>0</v>
      </c>
      <c r="K17" s="24" t="n">
        <f aca="false">$M17-SUM(C17:J17)</f>
        <v>0</v>
      </c>
      <c r="L17" s="24" t="n">
        <f aca="false">SUM(C17:K17)</f>
        <v>0</v>
      </c>
      <c r="M17" s="27" t="n">
        <f aca="false">N(Players!F258)</f>
        <v>0</v>
      </c>
      <c r="N17" s="28" t="n">
        <f aca="false">L17-M17</f>
        <v>0</v>
      </c>
    </row>
    <row r="18" customFormat="false" ht="17.15" hidden="false" customHeight="false" outlineLevel="0" collapsed="false">
      <c r="A18" s="5" t="s">
        <v>1311</v>
      </c>
      <c r="B18" s="0" t="s">
        <v>552</v>
      </c>
      <c r="C18" s="24" t="n">
        <f aca="false">SUMPRODUCT((In!$H$170:$H$182="cn")*(In!$I$170:$I$182="self")*((In!$J$170:$J$182="比")*$M18+(In!$J$170:$J$182&lt;&gt;"比"))*In!K$170:K$182)</f>
        <v>8.33333333333333</v>
      </c>
      <c r="D18" s="24" t="n">
        <f aca="false">SUMPRODUCT((In!$H$170:$H$182="cn")*(In!$I$170:$I$182="oai")*((In!$J$170:$J$182="比")*$M18+(In!$J$170:$J$182&lt;&gt;"比"))*In!K$170:K$182)</f>
        <v>0</v>
      </c>
      <c r="E18" s="24" t="n">
        <f aca="false">SUMPRODUCT((In!$H$170:$H$182="cn")*(In!$I$170:$I$182="ant")*((In!$J$170:$J$182="比")*$M18+(In!$J$170:$J$182&lt;&gt;"比"))*In!K$170:K$182)</f>
        <v>0</v>
      </c>
      <c r="F18" s="24" t="n">
        <f aca="false">SUMPRODUCT((In!$H$170:$H$182="cn")*(In!$I$170:$I$182="xai")*((In!$J$170:$J$182="比")*$M18+(In!$J$170:$J$182&lt;&gt;"比"))*In!K$170:K$182)</f>
        <v>0</v>
      </c>
      <c r="G18" s="24" t="n">
        <f aca="false">SUMPRODUCT((In!$H$170:$H$182="cn")*(In!$I$170:$I$182="meta")*((In!$J$170:$J$182="比")*$M18+(In!$J$170:$J$182&lt;&gt;"比"))*In!K$170:K$182)</f>
        <v>0</v>
      </c>
      <c r="H18" s="24" t="n">
        <f aca="false">SUMPRODUCT((In!$H$170:$H$182="cn")*(In!$I$170:$I$182="googl")*((In!$J$170:$J$182="比")*$M18+(In!$J$170:$J$182&lt;&gt;"比"))*In!K$170:K$182)</f>
        <v>0</v>
      </c>
      <c r="I18" s="24" t="n">
        <f aca="false">SUMPRODUCT((In!$H$170:$H$182="cn")*(In!$I$170:$I$182="msft")*((In!$J$170:$J$182="比")*$M18+(In!$J$170:$J$182&lt;&gt;"比"))*In!K$170:K$182)</f>
        <v>0</v>
      </c>
      <c r="J18" s="24" t="n">
        <f aca="false">SUMPRODUCT((In!$H$170:$H$182="cn")*(In!$I$170:$I$182="oth")*((In!$J$170:$J$182="比")*$M18+(In!$J$170:$J$182&lt;&gt;"比"))*In!K$170:K$182)</f>
        <v>0</v>
      </c>
      <c r="K18" s="24" t="n">
        <f aca="false">$M18-SUM(C18:J18)</f>
        <v>0</v>
      </c>
      <c r="L18" s="24" t="n">
        <f aca="false">SUM(C18:K18)</f>
        <v>8.33333333333333</v>
      </c>
      <c r="M18" s="27" t="n">
        <f aca="false">N(Players!F277)</f>
        <v>8.33333333333333</v>
      </c>
      <c r="N18" s="28" t="n">
        <f aca="false">L18-M18</f>
        <v>0</v>
      </c>
    </row>
    <row r="19" customFormat="false" ht="17.15" hidden="false" customHeight="false" outlineLevel="0" collapsed="false">
      <c r="A19" s="5" t="s">
        <v>1312</v>
      </c>
      <c r="B19" s="0" t="s">
        <v>737</v>
      </c>
      <c r="C19" s="24" t="n">
        <f aca="false">SUMPRODUCT((In!$H$170:$H$182="oth")*(In!$I$170:$I$182="self")*((In!$J$170:$J$182="比")*$M19+(In!$J$170:$J$182&lt;&gt;"比"))*In!K$170:K$182)</f>
        <v>0</v>
      </c>
      <c r="D19" s="24" t="n">
        <f aca="false">SUMPRODUCT((In!$H$170:$H$182="oth")*(In!$I$170:$I$182="oai")*((In!$J$170:$J$182="比")*$M19+(In!$J$170:$J$182&lt;&gt;"比"))*In!K$170:K$182)</f>
        <v>0</v>
      </c>
      <c r="E19" s="24" t="n">
        <f aca="false">SUMPRODUCT((In!$H$170:$H$182="oth")*(In!$I$170:$I$182="ant")*((In!$J$170:$J$182="比")*$M19+(In!$J$170:$J$182&lt;&gt;"比"))*In!K$170:K$182)</f>
        <v>0</v>
      </c>
      <c r="F19" s="24" t="n">
        <f aca="false">SUMPRODUCT((In!$H$170:$H$182="oth")*(In!$I$170:$I$182="xai")*((In!$J$170:$J$182="比")*$M19+(In!$J$170:$J$182&lt;&gt;"比"))*In!K$170:K$182)</f>
        <v>0</v>
      </c>
      <c r="G19" s="24" t="n">
        <f aca="false">SUMPRODUCT((In!$H$170:$H$182="oth")*(In!$I$170:$I$182="meta")*((In!$J$170:$J$182="比")*$M19+(In!$J$170:$J$182&lt;&gt;"比"))*In!K$170:K$182)</f>
        <v>0</v>
      </c>
      <c r="H19" s="24" t="n">
        <f aca="false">SUMPRODUCT((In!$H$170:$H$182="oth")*(In!$I$170:$I$182="googl")*((In!$J$170:$J$182="比")*$M19+(In!$J$170:$J$182&lt;&gt;"比"))*In!K$170:K$182)</f>
        <v>0</v>
      </c>
      <c r="I19" s="24" t="n">
        <f aca="false">SUMPRODUCT((In!$H$170:$H$182="oth")*(In!$I$170:$I$182="msft")*((In!$J$170:$J$182="比")*$M19+(In!$J$170:$J$182&lt;&gt;"比"))*In!K$170:K$182)</f>
        <v>0</v>
      </c>
      <c r="J19" s="24" t="n">
        <f aca="false">SUMPRODUCT((In!$H$170:$H$182="oth")*(In!$I$170:$I$182="oth")*((In!$J$170:$J$182="比")*$M19+(In!$J$170:$J$182&lt;&gt;"比"))*In!K$170:K$182)</f>
        <v>0</v>
      </c>
      <c r="K19" s="24" t="n">
        <f aca="false">$M19-SUM(C19:J19)</f>
        <v>1</v>
      </c>
      <c r="L19" s="24" t="n">
        <f aca="false">SUM(C19:K19)</f>
        <v>1</v>
      </c>
      <c r="M19" s="27" t="n">
        <f aca="false">N(Players!F296)</f>
        <v>1</v>
      </c>
      <c r="N19" s="28" t="n">
        <f aca="false">L19-M19</f>
        <v>0</v>
      </c>
    </row>
    <row r="20" customFormat="false" ht="15" hidden="false" customHeight="false" outlineLevel="0" collapsed="false">
      <c r="A20" s="21" t="s">
        <v>1313</v>
      </c>
      <c r="C20" s="24" t="n">
        <f aca="false">SUM(C5:C19)</f>
        <v>13.2749513333333</v>
      </c>
      <c r="D20" s="24" t="n">
        <f aca="false">SUM(D5:D19)</f>
        <v>0</v>
      </c>
      <c r="E20" s="24" t="n">
        <f aca="false">SUM(E5:E19)</f>
        <v>0.626</v>
      </c>
      <c r="F20" s="24" t="n">
        <f aca="false">SUM(F5:F19)</f>
        <v>0</v>
      </c>
      <c r="G20" s="24" t="n">
        <f aca="false">SUM(G5:G19)</f>
        <v>2.476595</v>
      </c>
      <c r="H20" s="24" t="n">
        <f aca="false">SUM(H5:H19)</f>
        <v>0</v>
      </c>
      <c r="I20" s="24" t="n">
        <f aca="false">SUM(I5:I19)</f>
        <v>0</v>
      </c>
      <c r="J20" s="24" t="n">
        <f aca="false">SUM(J5:J19)</f>
        <v>0</v>
      </c>
      <c r="K20" s="24" t="n">
        <f aca="false">SUM(K5:K19)</f>
        <v>8.959597</v>
      </c>
      <c r="L20" s="24" t="n">
        <f aca="false">SUM(L5:L19)</f>
        <v>25.3371433333333</v>
      </c>
      <c r="M20" s="24" t="n">
        <f aca="false">SUM(M5:M19)</f>
        <v>25.3371433333333</v>
      </c>
      <c r="N20" s="24" t="n">
        <f aca="false">SUM(N5:N19)</f>
        <v>0</v>
      </c>
    </row>
    <row r="21" customFormat="false" ht="17.15" hidden="false" customHeight="false" outlineLevel="0" collapsed="false">
      <c r="A21" s="5" t="s">
        <v>1314</v>
      </c>
      <c r="D21" s="24" t="n">
        <f aca="false">IF(In!J156="","",IF(In!$C$156="設施",In!J156/Players!F$13,In!J156))</f>
        <v>1.9</v>
      </c>
      <c r="L21" s="29" t="n">
        <f aca="false">IF(OR(D21="",N(D21)=0),"",D20/D21)</f>
        <v>0</v>
      </c>
      <c r="M21" s="5" t="s">
        <v>1315</v>
      </c>
    </row>
    <row r="22" customFormat="false" ht="17.15" hidden="false" customHeight="false" outlineLevel="0" collapsed="false">
      <c r="A22" s="5" t="s">
        <v>1316</v>
      </c>
      <c r="E22" s="24" t="n">
        <f aca="false">IF(In!J157="","",IF(In!$C$157="設施",In!J157/Players!F$13,In!J157))</f>
        <v>1.4</v>
      </c>
      <c r="L22" s="29" t="n">
        <f aca="false">IF(OR(E22="",N(E22)=0),"",E20/E22)</f>
        <v>0.447142857142857</v>
      </c>
      <c r="M22" s="5" t="s">
        <v>1315</v>
      </c>
    </row>
    <row r="24" customFormat="false" ht="17.15" hidden="false" customHeight="false" outlineLevel="0" collapsed="false">
      <c r="A24" s="8" t="s">
        <v>1317</v>
      </c>
    </row>
    <row r="25" customFormat="false" ht="17.15" hidden="false" customHeight="false" outlineLevel="0" collapsed="false">
      <c r="A25" s="6" t="s">
        <v>499</v>
      </c>
      <c r="B25" s="6" t="s">
        <v>14</v>
      </c>
      <c r="C25" s="6" t="s">
        <v>1290</v>
      </c>
      <c r="D25" s="7" t="s">
        <v>1291</v>
      </c>
      <c r="E25" s="7" t="s">
        <v>1292</v>
      </c>
      <c r="F25" s="7" t="s">
        <v>1293</v>
      </c>
      <c r="G25" s="7" t="s">
        <v>1038</v>
      </c>
      <c r="H25" s="7" t="s">
        <v>1294</v>
      </c>
      <c r="I25" s="7" t="s">
        <v>1295</v>
      </c>
      <c r="J25" s="6" t="s">
        <v>1296</v>
      </c>
      <c r="K25" s="6" t="s">
        <v>1297</v>
      </c>
      <c r="L25" s="6" t="s">
        <v>1298</v>
      </c>
      <c r="M25" s="7" t="s">
        <v>1299</v>
      </c>
      <c r="N25" s="6" t="s">
        <v>1300</v>
      </c>
    </row>
    <row r="26" customFormat="false" ht="17.15" hidden="false" customHeight="false" outlineLevel="0" collapsed="false">
      <c r="A26" s="0" t="s">
        <v>1301</v>
      </c>
      <c r="B26" s="0" t="s">
        <v>506</v>
      </c>
      <c r="C26" s="24" t="n">
        <f aca="false">SUMPRODUCT((In!$H$170:$H$182="msft")*(In!$I$170:$I$182="self")*((In!$J$170:$J$182="比")*$M26+(In!$J$170:$J$182&lt;&gt;"比"))*In!L$170:L$182)</f>
        <v>1.8</v>
      </c>
      <c r="D26" s="24" t="n">
        <f aca="false">SUMPRODUCT((In!$H$170:$H$182="msft")*(In!$I$170:$I$182="oai")*((In!$J$170:$J$182="比")*$M26+(In!$J$170:$J$182&lt;&gt;"比"))*In!L$170:L$182)</f>
        <v>0</v>
      </c>
      <c r="E26" s="24" t="n">
        <f aca="false">SUMPRODUCT((In!$H$170:$H$182="msft")*(In!$I$170:$I$182="ant")*((In!$J$170:$J$182="比")*$M26+(In!$J$170:$J$182&lt;&gt;"比"))*In!L$170:L$182)</f>
        <v>0</v>
      </c>
      <c r="F26" s="24" t="n">
        <f aca="false">SUMPRODUCT((In!$H$170:$H$182="msft")*(In!$I$170:$I$182="xai")*((In!$J$170:$J$182="比")*$M26+(In!$J$170:$J$182&lt;&gt;"比"))*In!L$170:L$182)</f>
        <v>0</v>
      </c>
      <c r="G26" s="24" t="n">
        <f aca="false">SUMPRODUCT((In!$H$170:$H$182="msft")*(In!$I$170:$I$182="meta")*((In!$J$170:$J$182="比")*$M26+(In!$J$170:$J$182&lt;&gt;"比"))*In!L$170:L$182)</f>
        <v>0</v>
      </c>
      <c r="H26" s="24" t="n">
        <f aca="false">SUMPRODUCT((In!$H$170:$H$182="msft")*(In!$I$170:$I$182="googl")*((In!$J$170:$J$182="比")*$M26+(In!$J$170:$J$182&lt;&gt;"比"))*In!L$170:L$182)</f>
        <v>0</v>
      </c>
      <c r="I26" s="24" t="n">
        <f aca="false">SUMPRODUCT((In!$H$170:$H$182="msft")*(In!$I$170:$I$182="msft")*((In!$J$170:$J$182="比")*$M26+(In!$J$170:$J$182&lt;&gt;"比"))*In!L$170:L$182)</f>
        <v>0</v>
      </c>
      <c r="J26" s="24" t="n">
        <f aca="false">SUMPRODUCT((In!$H$170:$H$182="msft")*(In!$I$170:$I$182="oth")*((In!$J$170:$J$182="比")*$M26+(In!$J$170:$J$182&lt;&gt;"比"))*In!L$170:L$182)</f>
        <v>0</v>
      </c>
      <c r="K26" s="24" t="n">
        <f aca="false">$M26-SUM(C26:J26)</f>
        <v>2.7</v>
      </c>
      <c r="L26" s="24" t="n">
        <f aca="false">SUM(C26:K26)</f>
        <v>4.5</v>
      </c>
      <c r="M26" s="27" t="n">
        <f aca="false">N(Players!G30)</f>
        <v>4.5</v>
      </c>
      <c r="N26" s="28" t="n">
        <f aca="false">L26-M26</f>
        <v>0</v>
      </c>
    </row>
    <row r="27" customFormat="false" ht="17.15" hidden="false" customHeight="false" outlineLevel="0" collapsed="false">
      <c r="A27" s="0" t="s">
        <v>1302</v>
      </c>
      <c r="B27" s="0" t="s">
        <v>511</v>
      </c>
      <c r="C27" s="24" t="n">
        <f aca="false">SUMPRODUCT((In!$H$170:$H$182="googl")*(In!$I$170:$I$182="self")*((In!$J$170:$J$182="比")*$M27+(In!$J$170:$J$182&lt;&gt;"比"))*In!L$170:L$182)</f>
        <v>3.9148753894081</v>
      </c>
      <c r="D27" s="24" t="n">
        <f aca="false">SUMPRODUCT((In!$H$170:$H$182="googl")*(In!$I$170:$I$182="oai")*((In!$J$170:$J$182="比")*$M27+(In!$J$170:$J$182&lt;&gt;"比"))*In!L$170:L$182)</f>
        <v>0</v>
      </c>
      <c r="E27" s="24" t="n">
        <f aca="false">SUMPRODUCT((In!$H$170:$H$182="googl")*(In!$I$170:$I$182="ant")*((In!$J$170:$J$182="比")*$M27+(In!$J$170:$J$182&lt;&gt;"比"))*In!L$170:L$182)</f>
        <v>1</v>
      </c>
      <c r="F27" s="24" t="n">
        <f aca="false">SUMPRODUCT((In!$H$170:$H$182="googl")*(In!$I$170:$I$182="xai")*((In!$J$170:$J$182="比")*$M27+(In!$J$170:$J$182&lt;&gt;"比"))*In!L$170:L$182)</f>
        <v>0</v>
      </c>
      <c r="G27" s="24" t="n">
        <f aca="false">SUMPRODUCT((In!$H$170:$H$182="googl")*(In!$I$170:$I$182="meta")*((In!$J$170:$J$182="比")*$M27+(In!$J$170:$J$182&lt;&gt;"比"))*In!L$170:L$182)</f>
        <v>0</v>
      </c>
      <c r="H27" s="24" t="n">
        <f aca="false">SUMPRODUCT((In!$H$170:$H$182="googl")*(In!$I$170:$I$182="googl")*((In!$J$170:$J$182="比")*$M27+(In!$J$170:$J$182&lt;&gt;"比"))*In!L$170:L$182)</f>
        <v>0</v>
      </c>
      <c r="I27" s="24" t="n">
        <f aca="false">SUMPRODUCT((In!$H$170:$H$182="googl")*(In!$I$170:$I$182="msft")*((In!$J$170:$J$182="比")*$M27+(In!$J$170:$J$182&lt;&gt;"比"))*In!L$170:L$182)</f>
        <v>0</v>
      </c>
      <c r="J27" s="24" t="n">
        <f aca="false">SUMPRODUCT((In!$H$170:$H$182="googl")*(In!$I$170:$I$182="oth")*((In!$J$170:$J$182="比")*$M27+(In!$J$170:$J$182&lt;&gt;"比"))*In!L$170:L$182)</f>
        <v>0</v>
      </c>
      <c r="K27" s="24" t="n">
        <f aca="false">$M27-SUM(C27:J27)</f>
        <v>0.677803738317758</v>
      </c>
      <c r="L27" s="24" t="n">
        <f aca="false">SUM(C27:K27)</f>
        <v>5.59267912772586</v>
      </c>
      <c r="M27" s="27" t="n">
        <f aca="false">N(Players!G49)</f>
        <v>5.59267912772586</v>
      </c>
      <c r="N27" s="28" t="n">
        <f aca="false">L27-M27</f>
        <v>0</v>
      </c>
    </row>
    <row r="28" customFormat="false" ht="17.15" hidden="false" customHeight="false" outlineLevel="0" collapsed="false">
      <c r="A28" s="0" t="s">
        <v>1303</v>
      </c>
      <c r="B28" s="0" t="s">
        <v>519</v>
      </c>
      <c r="C28" s="24" t="n">
        <f aca="false">SUMPRODUCT((In!$H$170:$H$182="amzn")*(In!$I$170:$I$182="self")*((In!$J$170:$J$182="比")*$M28+(In!$J$170:$J$182&lt;&gt;"比"))*In!L$170:L$182)</f>
        <v>0.5454</v>
      </c>
      <c r="D28" s="24" t="n">
        <f aca="false">SUMPRODUCT((In!$H$170:$H$182="amzn")*(In!$I$170:$I$182="oai")*((In!$J$170:$J$182="比")*$M28+(In!$J$170:$J$182&lt;&gt;"比"))*In!L$170:L$182)</f>
        <v>0</v>
      </c>
      <c r="E28" s="24" t="n">
        <f aca="false">SUMPRODUCT((In!$H$170:$H$182="amzn")*(In!$I$170:$I$182="ant")*((In!$J$170:$J$182="比")*$M28+(In!$J$170:$J$182&lt;&gt;"比"))*In!L$170:L$182)</f>
        <v>1.037</v>
      </c>
      <c r="F28" s="24" t="n">
        <f aca="false">SUMPRODUCT((In!$H$170:$H$182="amzn")*(In!$I$170:$I$182="xai")*((In!$J$170:$J$182="比")*$M28+(In!$J$170:$J$182&lt;&gt;"比"))*In!L$170:L$182)</f>
        <v>0</v>
      </c>
      <c r="G28" s="24" t="n">
        <f aca="false">SUMPRODUCT((In!$H$170:$H$182="amzn")*(In!$I$170:$I$182="meta")*((In!$J$170:$J$182="比")*$M28+(In!$J$170:$J$182&lt;&gt;"比"))*In!L$170:L$182)</f>
        <v>0</v>
      </c>
      <c r="H28" s="24" t="n">
        <f aca="false">SUMPRODUCT((In!$H$170:$H$182="amzn")*(In!$I$170:$I$182="googl")*((In!$J$170:$J$182="比")*$M28+(In!$J$170:$J$182&lt;&gt;"比"))*In!L$170:L$182)</f>
        <v>0</v>
      </c>
      <c r="I28" s="24" t="n">
        <f aca="false">SUMPRODUCT((In!$H$170:$H$182="amzn")*(In!$I$170:$I$182="msft")*((In!$J$170:$J$182="比")*$M28+(In!$J$170:$J$182&lt;&gt;"比"))*In!L$170:L$182)</f>
        <v>0</v>
      </c>
      <c r="J28" s="24" t="n">
        <f aca="false">SUMPRODUCT((In!$H$170:$H$182="amzn")*(In!$I$170:$I$182="oth")*((In!$J$170:$J$182="比")*$M28+(In!$J$170:$J$182&lt;&gt;"比"))*In!L$170:L$182)</f>
        <v>0</v>
      </c>
      <c r="K28" s="24" t="n">
        <f aca="false">$M28-SUM(C28:J28)</f>
        <v>1.1446</v>
      </c>
      <c r="L28" s="24" t="n">
        <f aca="false">SUM(C28:K28)</f>
        <v>2.727</v>
      </c>
      <c r="M28" s="27" t="n">
        <f aca="false">N(Players!G68)</f>
        <v>2.727</v>
      </c>
      <c r="N28" s="28" t="n">
        <f aca="false">L28-M28</f>
        <v>0</v>
      </c>
    </row>
    <row r="29" customFormat="false" ht="15" hidden="false" customHeight="false" outlineLevel="0" collapsed="false">
      <c r="A29" s="0" t="s">
        <v>1038</v>
      </c>
      <c r="B29" s="0" t="s">
        <v>526</v>
      </c>
      <c r="C29" s="24" t="n">
        <f aca="false">SUMPRODUCT((In!$H$170:$H$182="meta")*(In!$I$170:$I$182="self")*((In!$J$170:$J$182="比")*$M29+(In!$J$170:$J$182&lt;&gt;"比"))*In!L$170:L$182)</f>
        <v>0</v>
      </c>
      <c r="D29" s="24" t="n">
        <f aca="false">SUMPRODUCT((In!$H$170:$H$182="meta")*(In!$I$170:$I$182="oai")*((In!$J$170:$J$182="比")*$M29+(In!$J$170:$J$182&lt;&gt;"比"))*In!L$170:L$182)</f>
        <v>0</v>
      </c>
      <c r="E29" s="24" t="n">
        <f aca="false">SUMPRODUCT((In!$H$170:$H$182="meta")*(In!$I$170:$I$182="ant")*((In!$J$170:$J$182="比")*$M29+(In!$J$170:$J$182&lt;&gt;"比"))*In!L$170:L$182)</f>
        <v>0</v>
      </c>
      <c r="F29" s="24" t="n">
        <f aca="false">SUMPRODUCT((In!$H$170:$H$182="meta")*(In!$I$170:$I$182="xai")*((In!$J$170:$J$182="比")*$M29+(In!$J$170:$J$182&lt;&gt;"比"))*In!L$170:L$182)</f>
        <v>0</v>
      </c>
      <c r="G29" s="24" t="n">
        <f aca="false">SUMPRODUCT((In!$H$170:$H$182="meta")*(In!$I$170:$I$182="meta")*((In!$J$170:$J$182="比")*$M29+(In!$J$170:$J$182&lt;&gt;"比"))*In!L$170:L$182)</f>
        <v>3.152595</v>
      </c>
      <c r="H29" s="24" t="n">
        <f aca="false">SUMPRODUCT((In!$H$170:$H$182="meta")*(In!$I$170:$I$182="googl")*((In!$J$170:$J$182="比")*$M29+(In!$J$170:$J$182&lt;&gt;"比"))*In!L$170:L$182)</f>
        <v>0</v>
      </c>
      <c r="I29" s="24" t="n">
        <f aca="false">SUMPRODUCT((In!$H$170:$H$182="meta")*(In!$I$170:$I$182="msft")*((In!$J$170:$J$182="比")*$M29+(In!$J$170:$J$182&lt;&gt;"比"))*In!L$170:L$182)</f>
        <v>0</v>
      </c>
      <c r="J29" s="24" t="n">
        <f aca="false">SUMPRODUCT((In!$H$170:$H$182="meta")*(In!$I$170:$I$182="oth")*((In!$J$170:$J$182="比")*$M29+(In!$J$170:$J$182&lt;&gt;"比"))*In!L$170:L$182)</f>
        <v>0</v>
      </c>
      <c r="K29" s="24" t="n">
        <f aca="false">$M29-SUM(C29:J29)</f>
        <v>0</v>
      </c>
      <c r="L29" s="24" t="n">
        <f aca="false">SUM(C29:K29)</f>
        <v>3.152595</v>
      </c>
      <c r="M29" s="27" t="n">
        <f aca="false">N(Players!G87)</f>
        <v>3.152595</v>
      </c>
      <c r="N29" s="28" t="n">
        <f aca="false">L29-M29</f>
        <v>0</v>
      </c>
    </row>
    <row r="30" customFormat="false" ht="17.15" hidden="false" customHeight="false" outlineLevel="0" collapsed="false">
      <c r="A30" s="0" t="s">
        <v>1304</v>
      </c>
      <c r="B30" s="0" t="s">
        <v>530</v>
      </c>
      <c r="C30" s="24" t="n">
        <f aca="false">SUMPRODUCT((In!$H$170:$H$182="orcl")*(In!$I$170:$I$182="self")*((In!$J$170:$J$182="比")*$M30+(In!$J$170:$J$182&lt;&gt;"比"))*In!L$170:L$182)</f>
        <v>0</v>
      </c>
      <c r="D30" s="24" t="n">
        <f aca="false">SUMPRODUCT((In!$H$170:$H$182="orcl")*(In!$I$170:$I$182="oai")*((In!$J$170:$J$182="比")*$M30+(In!$J$170:$J$182&lt;&gt;"比"))*In!L$170:L$182)</f>
        <v>0.824</v>
      </c>
      <c r="E30" s="24" t="n">
        <f aca="false">SUMPRODUCT((In!$H$170:$H$182="orcl")*(In!$I$170:$I$182="ant")*((In!$J$170:$J$182="比")*$M30+(In!$J$170:$J$182&lt;&gt;"比"))*In!L$170:L$182)</f>
        <v>0</v>
      </c>
      <c r="F30" s="24" t="n">
        <f aca="false">SUMPRODUCT((In!$H$170:$H$182="orcl")*(In!$I$170:$I$182="xai")*((In!$J$170:$J$182="比")*$M30+(In!$J$170:$J$182&lt;&gt;"比"))*In!L$170:L$182)</f>
        <v>0</v>
      </c>
      <c r="G30" s="24" t="n">
        <f aca="false">SUMPRODUCT((In!$H$170:$H$182="orcl")*(In!$I$170:$I$182="meta")*((In!$J$170:$J$182="比")*$M30+(In!$J$170:$J$182&lt;&gt;"比"))*In!L$170:L$182)</f>
        <v>0</v>
      </c>
      <c r="H30" s="24" t="n">
        <f aca="false">SUMPRODUCT((In!$H$170:$H$182="orcl")*(In!$I$170:$I$182="googl")*((In!$J$170:$J$182="比")*$M30+(In!$J$170:$J$182&lt;&gt;"比"))*In!L$170:L$182)</f>
        <v>0</v>
      </c>
      <c r="I30" s="24" t="n">
        <f aca="false">SUMPRODUCT((In!$H$170:$H$182="orcl")*(In!$I$170:$I$182="msft")*((In!$J$170:$J$182="比")*$M30+(In!$J$170:$J$182&lt;&gt;"比"))*In!L$170:L$182)</f>
        <v>0</v>
      </c>
      <c r="J30" s="24" t="n">
        <f aca="false">SUMPRODUCT((In!$H$170:$H$182="orcl")*(In!$I$170:$I$182="oth")*((In!$J$170:$J$182="比")*$M30+(In!$J$170:$J$182&lt;&gt;"比"))*In!L$170:L$182)</f>
        <v>0</v>
      </c>
      <c r="K30" s="24" t="n">
        <f aca="false">$M30-SUM(C30:J30)</f>
        <v>1.925</v>
      </c>
      <c r="L30" s="24" t="n">
        <f aca="false">SUM(C30:K30)</f>
        <v>2.749</v>
      </c>
      <c r="M30" s="27" t="n">
        <f aca="false">N(Players!G106)</f>
        <v>2.749</v>
      </c>
      <c r="N30" s="28" t="n">
        <f aca="false">L30-M30</f>
        <v>0</v>
      </c>
    </row>
    <row r="31" customFormat="false" ht="15" hidden="false" customHeight="false" outlineLevel="0" collapsed="false">
      <c r="A31" s="0" t="s">
        <v>1076</v>
      </c>
      <c r="B31" s="0" t="s">
        <v>620</v>
      </c>
      <c r="C31" s="24" t="n">
        <f aca="false">SUMPRODUCT((In!$H$170:$H$182="crwv")*(In!$I$170:$I$182="self")*((In!$J$170:$J$182="比")*$M31+(In!$J$170:$J$182&lt;&gt;"比"))*In!L$170:L$182)</f>
        <v>0</v>
      </c>
      <c r="D31" s="24" t="n">
        <f aca="false">SUMPRODUCT((In!$H$170:$H$182="crwv")*(In!$I$170:$I$182="oai")*((In!$J$170:$J$182="比")*$M31+(In!$J$170:$J$182&lt;&gt;"比"))*In!L$170:L$182)</f>
        <v>0</v>
      </c>
      <c r="E31" s="24" t="n">
        <f aca="false">SUMPRODUCT((In!$H$170:$H$182="crwv")*(In!$I$170:$I$182="ant")*((In!$J$170:$J$182="比")*$M31+(In!$J$170:$J$182&lt;&gt;"比"))*In!L$170:L$182)</f>
        <v>0</v>
      </c>
      <c r="F31" s="24" t="n">
        <f aca="false">SUMPRODUCT((In!$H$170:$H$182="crwv")*(In!$I$170:$I$182="xai")*((In!$J$170:$J$182="比")*$M31+(In!$J$170:$J$182&lt;&gt;"比"))*In!L$170:L$182)</f>
        <v>0</v>
      </c>
      <c r="G31" s="24" t="n">
        <f aca="false">SUMPRODUCT((In!$H$170:$H$182="crwv")*(In!$I$170:$I$182="meta")*((In!$J$170:$J$182="比")*$M31+(In!$J$170:$J$182&lt;&gt;"比"))*In!L$170:L$182)</f>
        <v>0</v>
      </c>
      <c r="H31" s="24" t="n">
        <f aca="false">SUMPRODUCT((In!$H$170:$H$182="crwv")*(In!$I$170:$I$182="googl")*((In!$J$170:$J$182="比")*$M31+(In!$J$170:$J$182&lt;&gt;"比"))*In!L$170:L$182)</f>
        <v>0</v>
      </c>
      <c r="I31" s="24" t="n">
        <f aca="false">SUMPRODUCT((In!$H$170:$H$182="crwv")*(In!$I$170:$I$182="msft")*((In!$J$170:$J$182="比")*$M31+(In!$J$170:$J$182&lt;&gt;"比"))*In!L$170:L$182)</f>
        <v>0</v>
      </c>
      <c r="J31" s="24" t="n">
        <f aca="false">SUMPRODUCT((In!$H$170:$H$182="crwv")*(In!$I$170:$I$182="oth")*((In!$J$170:$J$182="比")*$M31+(In!$J$170:$J$182&lt;&gt;"比"))*In!L$170:L$182)</f>
        <v>0</v>
      </c>
      <c r="K31" s="24" t="n">
        <f aca="false">$M31-SUM(C31:J31)</f>
        <v>1.85</v>
      </c>
      <c r="L31" s="24" t="n">
        <f aca="false">SUM(C31:K31)</f>
        <v>1.85</v>
      </c>
      <c r="M31" s="27" t="n">
        <f aca="false">N(Players!G125)</f>
        <v>1.85</v>
      </c>
      <c r="N31" s="28" t="n">
        <f aca="false">L31-M31</f>
        <v>0</v>
      </c>
    </row>
    <row r="32" customFormat="false" ht="15" hidden="false" customHeight="false" outlineLevel="0" collapsed="false">
      <c r="A32" s="0" t="s">
        <v>1095</v>
      </c>
      <c r="B32" s="0" t="s">
        <v>651</v>
      </c>
      <c r="C32" s="24" t="n">
        <f aca="false">SUMPRODUCT((In!$H$170:$H$182="nbis")*(In!$I$170:$I$182="self")*((In!$J$170:$J$182="比")*$M32+(In!$J$170:$J$182&lt;&gt;"比"))*In!L$170:L$182)</f>
        <v>0</v>
      </c>
      <c r="D32" s="24" t="n">
        <f aca="false">SUMPRODUCT((In!$H$170:$H$182="nbis")*(In!$I$170:$I$182="oai")*((In!$J$170:$J$182="比")*$M32+(In!$J$170:$J$182&lt;&gt;"比"))*In!L$170:L$182)</f>
        <v>0</v>
      </c>
      <c r="E32" s="24" t="n">
        <f aca="false">SUMPRODUCT((In!$H$170:$H$182="nbis")*(In!$I$170:$I$182="ant")*((In!$J$170:$J$182="比")*$M32+(In!$J$170:$J$182&lt;&gt;"比"))*In!L$170:L$182)</f>
        <v>0</v>
      </c>
      <c r="F32" s="24" t="n">
        <f aca="false">SUMPRODUCT((In!$H$170:$H$182="nbis")*(In!$I$170:$I$182="xai")*((In!$J$170:$J$182="比")*$M32+(In!$J$170:$J$182&lt;&gt;"比"))*In!L$170:L$182)</f>
        <v>0</v>
      </c>
      <c r="G32" s="24" t="n">
        <f aca="false">SUMPRODUCT((In!$H$170:$H$182="nbis")*(In!$I$170:$I$182="meta")*((In!$J$170:$J$182="比")*$M32+(In!$J$170:$J$182&lt;&gt;"比"))*In!L$170:L$182)</f>
        <v>0</v>
      </c>
      <c r="H32" s="24" t="n">
        <f aca="false">SUMPRODUCT((In!$H$170:$H$182="nbis")*(In!$I$170:$I$182="googl")*((In!$J$170:$J$182="比")*$M32+(In!$J$170:$J$182&lt;&gt;"比"))*In!L$170:L$182)</f>
        <v>0</v>
      </c>
      <c r="I32" s="24" t="n">
        <f aca="false">SUMPRODUCT((In!$H$170:$H$182="nbis")*(In!$I$170:$I$182="msft")*((In!$J$170:$J$182="比")*$M32+(In!$J$170:$J$182&lt;&gt;"比"))*In!L$170:L$182)</f>
        <v>0</v>
      </c>
      <c r="J32" s="24" t="n">
        <f aca="false">SUMPRODUCT((In!$H$170:$H$182="nbis")*(In!$I$170:$I$182="oth")*((In!$J$170:$J$182="比")*$M32+(In!$J$170:$J$182&lt;&gt;"比"))*In!L$170:L$182)</f>
        <v>0</v>
      </c>
      <c r="K32" s="24" t="n">
        <f aca="false">$M32-SUM(C32:J32)</f>
        <v>0.9</v>
      </c>
      <c r="L32" s="24" t="n">
        <f aca="false">SUM(C32:K32)</f>
        <v>0.9</v>
      </c>
      <c r="M32" s="27" t="n">
        <f aca="false">N(Players!G144)</f>
        <v>0.9</v>
      </c>
      <c r="N32" s="28" t="n">
        <f aca="false">L32-M32</f>
        <v>0</v>
      </c>
    </row>
    <row r="33" customFormat="false" ht="17.15" hidden="false" customHeight="false" outlineLevel="0" collapsed="false">
      <c r="A33" s="0" t="s">
        <v>1305</v>
      </c>
      <c r="B33" s="0" t="s">
        <v>1115</v>
      </c>
      <c r="C33" s="24" t="n">
        <f aca="false">SUMPRODUCT((In!$H$170:$H$182="wyfi")*(In!$I$170:$I$182="self")*((In!$J$170:$J$182="比")*$M33+(In!$J$170:$J$182&lt;&gt;"比"))*In!L$170:L$182)</f>
        <v>0</v>
      </c>
      <c r="D33" s="24" t="n">
        <f aca="false">SUMPRODUCT((In!$H$170:$H$182="wyfi")*(In!$I$170:$I$182="oai")*((In!$J$170:$J$182="比")*$M33+(In!$J$170:$J$182&lt;&gt;"比"))*In!L$170:L$182)</f>
        <v>0</v>
      </c>
      <c r="E33" s="24" t="n">
        <f aca="false">SUMPRODUCT((In!$H$170:$H$182="wyfi")*(In!$I$170:$I$182="ant")*((In!$J$170:$J$182="比")*$M33+(In!$J$170:$J$182&lt;&gt;"比"))*In!L$170:L$182)</f>
        <v>0</v>
      </c>
      <c r="F33" s="24" t="n">
        <f aca="false">SUMPRODUCT((In!$H$170:$H$182="wyfi")*(In!$I$170:$I$182="xai")*((In!$J$170:$J$182="比")*$M33+(In!$J$170:$J$182&lt;&gt;"比"))*In!L$170:L$182)</f>
        <v>0</v>
      </c>
      <c r="G33" s="24" t="n">
        <f aca="false">SUMPRODUCT((In!$H$170:$H$182="wyfi")*(In!$I$170:$I$182="meta")*((In!$J$170:$J$182="比")*$M33+(In!$J$170:$J$182&lt;&gt;"比"))*In!L$170:L$182)</f>
        <v>0</v>
      </c>
      <c r="H33" s="24" t="n">
        <f aca="false">SUMPRODUCT((In!$H$170:$H$182="wyfi")*(In!$I$170:$I$182="googl")*((In!$J$170:$J$182="比")*$M33+(In!$J$170:$J$182&lt;&gt;"比"))*In!L$170:L$182)</f>
        <v>0</v>
      </c>
      <c r="I33" s="24" t="n">
        <f aca="false">SUMPRODUCT((In!$H$170:$H$182="wyfi")*(In!$I$170:$I$182="msft")*((In!$J$170:$J$182="比")*$M33+(In!$J$170:$J$182&lt;&gt;"比"))*In!L$170:L$182)</f>
        <v>0</v>
      </c>
      <c r="J33" s="24" t="n">
        <f aca="false">SUMPRODUCT((In!$H$170:$H$182="wyfi")*(In!$I$170:$I$182="oth")*((In!$J$170:$J$182="比")*$M33+(In!$J$170:$J$182&lt;&gt;"比"))*In!L$170:L$182)</f>
        <v>0</v>
      </c>
      <c r="K33" s="24" t="n">
        <f aca="false">$M33-SUM(C33:J33)</f>
        <v>0.014574</v>
      </c>
      <c r="L33" s="24" t="n">
        <f aca="false">SUM(C33:K33)</f>
        <v>0.014574</v>
      </c>
      <c r="M33" s="27" t="n">
        <f aca="false">N(Players!G163)</f>
        <v>0.014574</v>
      </c>
      <c r="N33" s="28" t="n">
        <f aca="false">L33-M33</f>
        <v>0</v>
      </c>
    </row>
    <row r="34" customFormat="false" ht="17.15" hidden="false" customHeight="false" outlineLevel="0" collapsed="false">
      <c r="A34" s="0" t="s">
        <v>1306</v>
      </c>
      <c r="B34" s="0" t="s">
        <v>535</v>
      </c>
      <c r="C34" s="24" t="n">
        <f aca="false">SUMPRODUCT((In!$H$170:$H$182="xai")*(In!$I$170:$I$182="self")*((In!$J$170:$J$182="比")*$M34+(In!$J$170:$J$182&lt;&gt;"比"))*In!L$170:L$182)</f>
        <v>0</v>
      </c>
      <c r="D34" s="24" t="n">
        <f aca="false">SUMPRODUCT((In!$H$170:$H$182="xai")*(In!$I$170:$I$182="oai")*((In!$J$170:$J$182="比")*$M34+(In!$J$170:$J$182&lt;&gt;"比"))*In!L$170:L$182)</f>
        <v>0</v>
      </c>
      <c r="E34" s="24" t="n">
        <f aca="false">SUMPRODUCT((In!$H$170:$H$182="xai")*(In!$I$170:$I$182="ant")*((In!$J$170:$J$182="比")*$M34+(In!$J$170:$J$182&lt;&gt;"比"))*In!L$170:L$182)</f>
        <v>0</v>
      </c>
      <c r="F34" s="24" t="n">
        <f aca="false">SUMPRODUCT((In!$H$170:$H$182="xai")*(In!$I$170:$I$182="xai")*((In!$J$170:$J$182="比")*$M34+(In!$J$170:$J$182&lt;&gt;"比"))*In!L$170:L$182)</f>
        <v>0</v>
      </c>
      <c r="G34" s="24" t="n">
        <f aca="false">SUMPRODUCT((In!$H$170:$H$182="xai")*(In!$I$170:$I$182="meta")*((In!$J$170:$J$182="比")*$M34+(In!$J$170:$J$182&lt;&gt;"比"))*In!L$170:L$182)</f>
        <v>0</v>
      </c>
      <c r="H34" s="24" t="n">
        <f aca="false">SUMPRODUCT((In!$H$170:$H$182="xai")*(In!$I$170:$I$182="googl")*((In!$J$170:$J$182="比")*$M34+(In!$J$170:$J$182&lt;&gt;"比"))*In!L$170:L$182)</f>
        <v>0.19</v>
      </c>
      <c r="I34" s="24" t="n">
        <f aca="false">SUMPRODUCT((In!$H$170:$H$182="xai")*(In!$I$170:$I$182="msft")*((In!$J$170:$J$182="比")*$M34+(In!$J$170:$J$182&lt;&gt;"比"))*In!L$170:L$182)</f>
        <v>0</v>
      </c>
      <c r="J34" s="24" t="n">
        <f aca="false">SUMPRODUCT((In!$H$170:$H$182="xai")*(In!$I$170:$I$182="oth")*((In!$J$170:$J$182="比")*$M34+(In!$J$170:$J$182&lt;&gt;"比"))*In!L$170:L$182)</f>
        <v>0</v>
      </c>
      <c r="K34" s="24" t="n">
        <f aca="false">$M34-SUM(C34:J34)</f>
        <v>1.81</v>
      </c>
      <c r="L34" s="24" t="n">
        <f aca="false">SUM(C34:K34)</f>
        <v>2</v>
      </c>
      <c r="M34" s="27" t="n">
        <f aca="false">N(Players!G182)</f>
        <v>2</v>
      </c>
      <c r="N34" s="28" t="n">
        <f aca="false">L34-M34</f>
        <v>0</v>
      </c>
    </row>
    <row r="35" customFormat="false" ht="17.15" hidden="false" customHeight="false" outlineLevel="0" collapsed="false">
      <c r="A35" s="0" t="s">
        <v>1307</v>
      </c>
      <c r="B35" s="0" t="s">
        <v>531</v>
      </c>
      <c r="C35" s="24" t="n">
        <f aca="false">SUMPRODUCT((In!$H$170:$H$182="oai")*(In!$I$170:$I$182="self")*((In!$J$170:$J$182="比")*$M35+(In!$J$170:$J$182&lt;&gt;"比"))*In!L$170:L$182)</f>
        <v>0</v>
      </c>
      <c r="D35" s="24" t="n">
        <f aca="false">SUMPRODUCT((In!$H$170:$H$182="oai")*(In!$I$170:$I$182="oai")*((In!$J$170:$J$182="比")*$M35+(In!$J$170:$J$182&lt;&gt;"比"))*In!L$170:L$182)</f>
        <v>0</v>
      </c>
      <c r="E35" s="24" t="n">
        <f aca="false">SUMPRODUCT((In!$H$170:$H$182="oai")*(In!$I$170:$I$182="ant")*((In!$J$170:$J$182="比")*$M35+(In!$J$170:$J$182&lt;&gt;"比"))*In!L$170:L$182)</f>
        <v>0</v>
      </c>
      <c r="F35" s="24" t="n">
        <f aca="false">SUMPRODUCT((In!$H$170:$H$182="oai")*(In!$I$170:$I$182="xai")*((In!$J$170:$J$182="比")*$M35+(In!$J$170:$J$182&lt;&gt;"比"))*In!L$170:L$182)</f>
        <v>0</v>
      </c>
      <c r="G35" s="24" t="n">
        <f aca="false">SUMPRODUCT((In!$H$170:$H$182="oai")*(In!$I$170:$I$182="meta")*((In!$J$170:$J$182="比")*$M35+(In!$J$170:$J$182&lt;&gt;"比"))*In!L$170:L$182)</f>
        <v>0</v>
      </c>
      <c r="H35" s="24" t="n">
        <f aca="false">SUMPRODUCT((In!$H$170:$H$182="oai")*(In!$I$170:$I$182="googl")*((In!$J$170:$J$182="比")*$M35+(In!$J$170:$J$182&lt;&gt;"比"))*In!L$170:L$182)</f>
        <v>0</v>
      </c>
      <c r="I35" s="24" t="n">
        <f aca="false">SUMPRODUCT((In!$H$170:$H$182="oai")*(In!$I$170:$I$182="msft")*((In!$J$170:$J$182="比")*$M35+(In!$J$170:$J$182&lt;&gt;"比"))*In!L$170:L$182)</f>
        <v>0</v>
      </c>
      <c r="J35" s="24" t="n">
        <f aca="false">SUMPRODUCT((In!$H$170:$H$182="oai")*(In!$I$170:$I$182="oth")*((In!$J$170:$J$182="比")*$M35+(In!$J$170:$J$182&lt;&gt;"比"))*In!L$170:L$182)</f>
        <v>0</v>
      </c>
      <c r="K35" s="24" t="n">
        <f aca="false">$M35-SUM(C35:J35)</f>
        <v>0</v>
      </c>
      <c r="L35" s="24" t="n">
        <f aca="false">SUM(C35:K35)</f>
        <v>0</v>
      </c>
      <c r="M35" s="27" t="n">
        <f aca="false">N(Players!G201)</f>
        <v>0</v>
      </c>
      <c r="N35" s="28" t="n">
        <f aca="false">L35-M35</f>
        <v>0</v>
      </c>
    </row>
    <row r="36" customFormat="false" ht="17.15" hidden="false" customHeight="false" outlineLevel="0" collapsed="false">
      <c r="A36" s="0" t="s">
        <v>1308</v>
      </c>
      <c r="B36" s="0" t="s">
        <v>515</v>
      </c>
      <c r="C36" s="24" t="n">
        <f aca="false">SUMPRODUCT((In!$H$170:$H$182="ant")*(In!$I$170:$I$182="self")*((In!$J$170:$J$182="比")*$M36+(In!$J$170:$J$182&lt;&gt;"比"))*In!L$170:L$182)</f>
        <v>0</v>
      </c>
      <c r="D36" s="24" t="n">
        <f aca="false">SUMPRODUCT((In!$H$170:$H$182="ant")*(In!$I$170:$I$182="oai")*((In!$J$170:$J$182="比")*$M36+(In!$J$170:$J$182&lt;&gt;"比"))*In!L$170:L$182)</f>
        <v>0</v>
      </c>
      <c r="E36" s="24" t="n">
        <f aca="false">SUMPRODUCT((In!$H$170:$H$182="ant")*(In!$I$170:$I$182="ant")*((In!$J$170:$J$182="比")*$M36+(In!$J$170:$J$182&lt;&gt;"比"))*In!L$170:L$182)</f>
        <v>0</v>
      </c>
      <c r="F36" s="24" t="n">
        <f aca="false">SUMPRODUCT((In!$H$170:$H$182="ant")*(In!$I$170:$I$182="xai")*((In!$J$170:$J$182="比")*$M36+(In!$J$170:$J$182&lt;&gt;"比"))*In!L$170:L$182)</f>
        <v>0</v>
      </c>
      <c r="G36" s="24" t="n">
        <f aca="false">SUMPRODUCT((In!$H$170:$H$182="ant")*(In!$I$170:$I$182="meta")*((In!$J$170:$J$182="比")*$M36+(In!$J$170:$J$182&lt;&gt;"比"))*In!L$170:L$182)</f>
        <v>0</v>
      </c>
      <c r="H36" s="24" t="n">
        <f aca="false">SUMPRODUCT((In!$H$170:$H$182="ant")*(In!$I$170:$I$182="googl")*((In!$J$170:$J$182="比")*$M36+(In!$J$170:$J$182&lt;&gt;"比"))*In!L$170:L$182)</f>
        <v>0</v>
      </c>
      <c r="I36" s="24" t="n">
        <f aca="false">SUMPRODUCT((In!$H$170:$H$182="ant")*(In!$I$170:$I$182="msft")*((In!$J$170:$J$182="比")*$M36+(In!$J$170:$J$182&lt;&gt;"比"))*In!L$170:L$182)</f>
        <v>0</v>
      </c>
      <c r="J36" s="24" t="n">
        <f aca="false">SUMPRODUCT((In!$H$170:$H$182="ant")*(In!$I$170:$I$182="oth")*((In!$J$170:$J$182="比")*$M36+(In!$J$170:$J$182&lt;&gt;"比"))*In!L$170:L$182)</f>
        <v>0</v>
      </c>
      <c r="K36" s="24" t="n">
        <f aca="false">$M36-SUM(C36:J36)</f>
        <v>0</v>
      </c>
      <c r="L36" s="24" t="n">
        <f aca="false">SUM(C36:K36)</f>
        <v>0</v>
      </c>
      <c r="M36" s="27" t="n">
        <f aca="false">N(Players!G220)</f>
        <v>0</v>
      </c>
      <c r="N36" s="28" t="n">
        <f aca="false">L36-M36</f>
        <v>0</v>
      </c>
    </row>
    <row r="37" customFormat="false" ht="17.15" hidden="false" customHeight="false" outlineLevel="0" collapsed="false">
      <c r="A37" s="5" t="s">
        <v>1309</v>
      </c>
      <c r="B37" s="0" t="s">
        <v>545</v>
      </c>
      <c r="C37" s="24" t="n">
        <f aca="false">SUMPRODUCT((In!$H$170:$H$182="neo")*(In!$I$170:$I$182="self")*((In!$J$170:$J$182="比")*$M37+(In!$J$170:$J$182&lt;&gt;"比"))*In!L$170:L$182)</f>
        <v>0</v>
      </c>
      <c r="D37" s="24" t="n">
        <f aca="false">SUMPRODUCT((In!$H$170:$H$182="neo")*(In!$I$170:$I$182="oai")*((In!$J$170:$J$182="比")*$M37+(In!$J$170:$J$182&lt;&gt;"比"))*In!L$170:L$182)</f>
        <v>0</v>
      </c>
      <c r="E37" s="24" t="n">
        <f aca="false">SUMPRODUCT((In!$H$170:$H$182="neo")*(In!$I$170:$I$182="ant")*((In!$J$170:$J$182="比")*$M37+(In!$J$170:$J$182&lt;&gt;"比"))*In!L$170:L$182)</f>
        <v>0</v>
      </c>
      <c r="F37" s="24" t="n">
        <f aca="false">SUMPRODUCT((In!$H$170:$H$182="neo")*(In!$I$170:$I$182="xai")*((In!$J$170:$J$182="比")*$M37+(In!$J$170:$J$182&lt;&gt;"比"))*In!L$170:L$182)</f>
        <v>0</v>
      </c>
      <c r="G37" s="24" t="n">
        <f aca="false">SUMPRODUCT((In!$H$170:$H$182="neo")*(In!$I$170:$I$182="meta")*((In!$J$170:$J$182="比")*$M37+(In!$J$170:$J$182&lt;&gt;"比"))*In!L$170:L$182)</f>
        <v>0</v>
      </c>
      <c r="H37" s="24" t="n">
        <f aca="false">SUMPRODUCT((In!$H$170:$H$182="neo")*(In!$I$170:$I$182="googl")*((In!$J$170:$J$182="比")*$M37+(In!$J$170:$J$182&lt;&gt;"比"))*In!L$170:L$182)</f>
        <v>0</v>
      </c>
      <c r="I37" s="24" t="n">
        <f aca="false">SUMPRODUCT((In!$H$170:$H$182="neo")*(In!$I$170:$I$182="msft")*((In!$J$170:$J$182="比")*$M37+(In!$J$170:$J$182&lt;&gt;"比"))*In!L$170:L$182)</f>
        <v>0.2</v>
      </c>
      <c r="J37" s="24" t="n">
        <f aca="false">SUMPRODUCT((In!$H$170:$H$182="neo")*(In!$I$170:$I$182="oth")*((In!$J$170:$J$182="比")*$M37+(In!$J$170:$J$182&lt;&gt;"比"))*In!L$170:L$182)</f>
        <v>0</v>
      </c>
      <c r="K37" s="24" t="n">
        <f aca="false">$M37-SUM(C37:J37)</f>
        <v>1.1</v>
      </c>
      <c r="L37" s="24" t="n">
        <f aca="false">SUM(C37:K37)</f>
        <v>1.3</v>
      </c>
      <c r="M37" s="27" t="n">
        <f aca="false">N(Players!G239)</f>
        <v>1.3</v>
      </c>
      <c r="N37" s="28" t="n">
        <f aca="false">L37-M37</f>
        <v>0</v>
      </c>
    </row>
    <row r="38" customFormat="false" ht="17.15" hidden="false" customHeight="false" outlineLevel="0" collapsed="false">
      <c r="A38" s="5" t="s">
        <v>1310</v>
      </c>
      <c r="B38" s="0" t="s">
        <v>644</v>
      </c>
      <c r="C38" s="24" t="n">
        <f aca="false">SUMPRODUCT((In!$H$170:$H$182="sov")*(In!$I$170:$I$182="self")*((In!$J$170:$J$182="比")*$M38+(In!$J$170:$J$182&lt;&gt;"比"))*In!L$170:L$182)</f>
        <v>0</v>
      </c>
      <c r="D38" s="24" t="n">
        <f aca="false">SUMPRODUCT((In!$H$170:$H$182="sov")*(In!$I$170:$I$182="oai")*((In!$J$170:$J$182="比")*$M38+(In!$J$170:$J$182&lt;&gt;"比"))*In!L$170:L$182)</f>
        <v>0</v>
      </c>
      <c r="E38" s="24" t="n">
        <f aca="false">SUMPRODUCT((In!$H$170:$H$182="sov")*(In!$I$170:$I$182="ant")*((In!$J$170:$J$182="比")*$M38+(In!$J$170:$J$182&lt;&gt;"比"))*In!L$170:L$182)</f>
        <v>0</v>
      </c>
      <c r="F38" s="24" t="n">
        <f aca="false">SUMPRODUCT((In!$H$170:$H$182="sov")*(In!$I$170:$I$182="xai")*((In!$J$170:$J$182="比")*$M38+(In!$J$170:$J$182&lt;&gt;"比"))*In!L$170:L$182)</f>
        <v>0</v>
      </c>
      <c r="G38" s="24" t="n">
        <f aca="false">SUMPRODUCT((In!$H$170:$H$182="sov")*(In!$I$170:$I$182="meta")*((In!$J$170:$J$182="比")*$M38+(In!$J$170:$J$182&lt;&gt;"比"))*In!L$170:L$182)</f>
        <v>0</v>
      </c>
      <c r="H38" s="24" t="n">
        <f aca="false">SUMPRODUCT((In!$H$170:$H$182="sov")*(In!$I$170:$I$182="googl")*((In!$J$170:$J$182="比")*$M38+(In!$J$170:$J$182&lt;&gt;"比"))*In!L$170:L$182)</f>
        <v>0</v>
      </c>
      <c r="I38" s="24" t="n">
        <f aca="false">SUMPRODUCT((In!$H$170:$H$182="sov")*(In!$I$170:$I$182="msft")*((In!$J$170:$J$182="比")*$M38+(In!$J$170:$J$182&lt;&gt;"比"))*In!L$170:L$182)</f>
        <v>0</v>
      </c>
      <c r="J38" s="24" t="n">
        <f aca="false">SUMPRODUCT((In!$H$170:$H$182="sov")*(In!$I$170:$I$182="oth")*((In!$J$170:$J$182="比")*$M38+(In!$J$170:$J$182&lt;&gt;"比"))*In!L$170:L$182)</f>
        <v>0</v>
      </c>
      <c r="K38" s="24" t="n">
        <f aca="false">$M38-SUM(C38:J38)</f>
        <v>0.4</v>
      </c>
      <c r="L38" s="24" t="n">
        <f aca="false">SUM(C38:K38)</f>
        <v>0.4</v>
      </c>
      <c r="M38" s="27" t="n">
        <f aca="false">N(Players!G258)</f>
        <v>0.4</v>
      </c>
      <c r="N38" s="28" t="n">
        <f aca="false">L38-M38</f>
        <v>0</v>
      </c>
    </row>
    <row r="39" customFormat="false" ht="17.15" hidden="false" customHeight="false" outlineLevel="0" collapsed="false">
      <c r="A39" s="5" t="s">
        <v>1311</v>
      </c>
      <c r="B39" s="0" t="s">
        <v>552</v>
      </c>
      <c r="C39" s="24" t="n">
        <f aca="false">SUMPRODUCT((In!$H$170:$H$182="cn")*(In!$I$170:$I$182="self")*((In!$J$170:$J$182="比")*$M39+(In!$J$170:$J$182&lt;&gt;"比"))*In!L$170:L$182)</f>
        <v>11.6666666666667</v>
      </c>
      <c r="D39" s="24" t="n">
        <f aca="false">SUMPRODUCT((In!$H$170:$H$182="cn")*(In!$I$170:$I$182="oai")*((In!$J$170:$J$182="比")*$M39+(In!$J$170:$J$182&lt;&gt;"比"))*In!L$170:L$182)</f>
        <v>0</v>
      </c>
      <c r="E39" s="24" t="n">
        <f aca="false">SUMPRODUCT((In!$H$170:$H$182="cn")*(In!$I$170:$I$182="ant")*((In!$J$170:$J$182="比")*$M39+(In!$J$170:$J$182&lt;&gt;"比"))*In!L$170:L$182)</f>
        <v>0</v>
      </c>
      <c r="F39" s="24" t="n">
        <f aca="false">SUMPRODUCT((In!$H$170:$H$182="cn")*(In!$I$170:$I$182="xai")*((In!$J$170:$J$182="比")*$M39+(In!$J$170:$J$182&lt;&gt;"比"))*In!L$170:L$182)</f>
        <v>0</v>
      </c>
      <c r="G39" s="24" t="n">
        <f aca="false">SUMPRODUCT((In!$H$170:$H$182="cn")*(In!$I$170:$I$182="meta")*((In!$J$170:$J$182="比")*$M39+(In!$J$170:$J$182&lt;&gt;"比"))*In!L$170:L$182)</f>
        <v>0</v>
      </c>
      <c r="H39" s="24" t="n">
        <f aca="false">SUMPRODUCT((In!$H$170:$H$182="cn")*(In!$I$170:$I$182="googl")*((In!$J$170:$J$182="比")*$M39+(In!$J$170:$J$182&lt;&gt;"比"))*In!L$170:L$182)</f>
        <v>0</v>
      </c>
      <c r="I39" s="24" t="n">
        <f aca="false">SUMPRODUCT((In!$H$170:$H$182="cn")*(In!$I$170:$I$182="msft")*((In!$J$170:$J$182="比")*$M39+(In!$J$170:$J$182&lt;&gt;"比"))*In!L$170:L$182)</f>
        <v>0</v>
      </c>
      <c r="J39" s="24" t="n">
        <f aca="false">SUMPRODUCT((In!$H$170:$H$182="cn")*(In!$I$170:$I$182="oth")*((In!$J$170:$J$182="比")*$M39+(In!$J$170:$J$182&lt;&gt;"比"))*In!L$170:L$182)</f>
        <v>0</v>
      </c>
      <c r="K39" s="24" t="n">
        <f aca="false">$M39-SUM(C39:J39)</f>
        <v>0</v>
      </c>
      <c r="L39" s="24" t="n">
        <f aca="false">SUM(C39:K39)</f>
        <v>11.6666666666667</v>
      </c>
      <c r="M39" s="27" t="n">
        <f aca="false">N(Players!G277)</f>
        <v>11.6666666666667</v>
      </c>
      <c r="N39" s="28" t="n">
        <f aca="false">L39-M39</f>
        <v>0</v>
      </c>
    </row>
    <row r="40" customFormat="false" ht="17.15" hidden="false" customHeight="false" outlineLevel="0" collapsed="false">
      <c r="A40" s="5" t="s">
        <v>1312</v>
      </c>
      <c r="B40" s="0" t="s">
        <v>737</v>
      </c>
      <c r="C40" s="24" t="n">
        <f aca="false">SUMPRODUCT((In!$H$170:$H$182="oth")*(In!$I$170:$I$182="self")*((In!$J$170:$J$182="比")*$M40+(In!$J$170:$J$182&lt;&gt;"比"))*In!L$170:L$182)</f>
        <v>0</v>
      </c>
      <c r="D40" s="24" t="n">
        <f aca="false">SUMPRODUCT((In!$H$170:$H$182="oth")*(In!$I$170:$I$182="oai")*((In!$J$170:$J$182="比")*$M40+(In!$J$170:$J$182&lt;&gt;"比"))*In!L$170:L$182)</f>
        <v>0</v>
      </c>
      <c r="E40" s="24" t="n">
        <f aca="false">SUMPRODUCT((In!$H$170:$H$182="oth")*(In!$I$170:$I$182="ant")*((In!$J$170:$J$182="比")*$M40+(In!$J$170:$J$182&lt;&gt;"比"))*In!L$170:L$182)</f>
        <v>0</v>
      </c>
      <c r="F40" s="24" t="n">
        <f aca="false">SUMPRODUCT((In!$H$170:$H$182="oth")*(In!$I$170:$I$182="xai")*((In!$J$170:$J$182="比")*$M40+(In!$J$170:$J$182&lt;&gt;"比"))*In!L$170:L$182)</f>
        <v>0</v>
      </c>
      <c r="G40" s="24" t="n">
        <f aca="false">SUMPRODUCT((In!$H$170:$H$182="oth")*(In!$I$170:$I$182="meta")*((In!$J$170:$J$182="比")*$M40+(In!$J$170:$J$182&lt;&gt;"比"))*In!L$170:L$182)</f>
        <v>0</v>
      </c>
      <c r="H40" s="24" t="n">
        <f aca="false">SUMPRODUCT((In!$H$170:$H$182="oth")*(In!$I$170:$I$182="googl")*((In!$J$170:$J$182="比")*$M40+(In!$J$170:$J$182&lt;&gt;"比"))*In!L$170:L$182)</f>
        <v>0</v>
      </c>
      <c r="I40" s="24" t="n">
        <f aca="false">SUMPRODUCT((In!$H$170:$H$182="oth")*(In!$I$170:$I$182="msft")*((In!$J$170:$J$182="比")*$M40+(In!$J$170:$J$182&lt;&gt;"比"))*In!L$170:L$182)</f>
        <v>0</v>
      </c>
      <c r="J40" s="24" t="n">
        <f aca="false">SUMPRODUCT((In!$H$170:$H$182="oth")*(In!$I$170:$I$182="oth")*((In!$J$170:$J$182="比")*$M40+(In!$J$170:$J$182&lt;&gt;"比"))*In!L$170:L$182)</f>
        <v>0</v>
      </c>
      <c r="K40" s="24" t="n">
        <f aca="false">$M40-SUM(C40:J40)</f>
        <v>1</v>
      </c>
      <c r="L40" s="24" t="n">
        <f aca="false">SUM(C40:K40)</f>
        <v>1</v>
      </c>
      <c r="M40" s="27" t="n">
        <f aca="false">N(Players!G296)</f>
        <v>1</v>
      </c>
      <c r="N40" s="28" t="n">
        <f aca="false">L40-M40</f>
        <v>0</v>
      </c>
    </row>
    <row r="41" customFormat="false" ht="15" hidden="false" customHeight="false" outlineLevel="0" collapsed="false">
      <c r="A41" s="21" t="s">
        <v>1313</v>
      </c>
      <c r="C41" s="24" t="n">
        <f aca="false">SUM(C26:C40)</f>
        <v>17.9269420560748</v>
      </c>
      <c r="D41" s="24" t="n">
        <f aca="false">SUM(D26:D40)</f>
        <v>0.824</v>
      </c>
      <c r="E41" s="24" t="n">
        <f aca="false">SUM(E26:E40)</f>
        <v>2.037</v>
      </c>
      <c r="F41" s="24" t="n">
        <f aca="false">SUM(F26:F40)</f>
        <v>0</v>
      </c>
      <c r="G41" s="24" t="n">
        <f aca="false">SUM(G26:G40)</f>
        <v>3.152595</v>
      </c>
      <c r="H41" s="24" t="n">
        <f aca="false">SUM(H26:H40)</f>
        <v>0.19</v>
      </c>
      <c r="I41" s="24" t="n">
        <f aca="false">SUM(I26:I40)</f>
        <v>0.2</v>
      </c>
      <c r="J41" s="24" t="n">
        <f aca="false">SUM(J26:J40)</f>
        <v>0</v>
      </c>
      <c r="K41" s="24" t="n">
        <f aca="false">SUM(K26:K40)</f>
        <v>13.5219777383178</v>
      </c>
      <c r="L41" s="24" t="n">
        <f aca="false">SUM(L26:L40)</f>
        <v>37.8525147943925</v>
      </c>
      <c r="M41" s="24" t="n">
        <f aca="false">SUM(M26:M40)</f>
        <v>37.8525147943925</v>
      </c>
      <c r="N41" s="24" t="n">
        <f aca="false">SUM(N26:N40)</f>
        <v>0</v>
      </c>
    </row>
    <row r="42" customFormat="false" ht="17.15" hidden="false" customHeight="false" outlineLevel="0" collapsed="false">
      <c r="A42" s="5" t="s">
        <v>1314</v>
      </c>
      <c r="D42" s="24" t="n">
        <f aca="false">IF(In!K156="","",IF(In!$C$156="設施",In!K156/Players!G$13,In!K156))</f>
        <v>5</v>
      </c>
      <c r="L42" s="29" t="n">
        <f aca="false">IF(OR(D42="",N(D42)=0),"",D41/D42)</f>
        <v>0.1648</v>
      </c>
      <c r="M42" s="5" t="s">
        <v>1315</v>
      </c>
    </row>
    <row r="43" customFormat="false" ht="17.15" hidden="false" customHeight="false" outlineLevel="0" collapsed="false">
      <c r="A43" s="5" t="s">
        <v>1316</v>
      </c>
      <c r="E43" s="24" t="n">
        <f aca="false">IF(In!K157="","",IF(In!$C$157="設施",In!K157/Players!G$13,In!K157))</f>
        <v>5</v>
      </c>
      <c r="L43" s="29" t="n">
        <f aca="false">IF(OR(E43="",N(E43)=0),"",E41/E43)</f>
        <v>0.4074</v>
      </c>
      <c r="M43" s="5" t="s">
        <v>1315</v>
      </c>
    </row>
    <row r="45" customFormat="false" ht="17.15" hidden="false" customHeight="false" outlineLevel="0" collapsed="false">
      <c r="A45" s="8" t="s">
        <v>1318</v>
      </c>
    </row>
    <row r="46" customFormat="false" ht="17.15" hidden="false" customHeight="false" outlineLevel="0" collapsed="false">
      <c r="A46" s="6" t="s">
        <v>499</v>
      </c>
      <c r="B46" s="6" t="s">
        <v>14</v>
      </c>
      <c r="C46" s="6" t="s">
        <v>1290</v>
      </c>
      <c r="D46" s="7" t="s">
        <v>1291</v>
      </c>
      <c r="E46" s="7" t="s">
        <v>1292</v>
      </c>
      <c r="F46" s="7" t="s">
        <v>1293</v>
      </c>
      <c r="G46" s="7" t="s">
        <v>1038</v>
      </c>
      <c r="H46" s="7" t="s">
        <v>1294</v>
      </c>
      <c r="I46" s="7" t="s">
        <v>1295</v>
      </c>
      <c r="J46" s="6" t="s">
        <v>1296</v>
      </c>
      <c r="K46" s="6" t="s">
        <v>1297</v>
      </c>
      <c r="L46" s="6" t="s">
        <v>1298</v>
      </c>
      <c r="M46" s="7" t="s">
        <v>1299</v>
      </c>
      <c r="N46" s="6" t="s">
        <v>1300</v>
      </c>
    </row>
    <row r="47" customFormat="false" ht="17.15" hidden="false" customHeight="false" outlineLevel="0" collapsed="false">
      <c r="A47" s="0" t="s">
        <v>1301</v>
      </c>
      <c r="B47" s="0" t="s">
        <v>506</v>
      </c>
      <c r="C47" s="24" t="n">
        <f aca="false">SUMPRODUCT((In!$H$170:$H$182="msft")*(In!$I$170:$I$182="self")*((In!$J$170:$J$182="比")*$M47+(In!$J$170:$J$182&lt;&gt;"比"))*In!M$170:M$182)</f>
        <v>2.216</v>
      </c>
      <c r="D47" s="24" t="n">
        <f aca="false">SUMPRODUCT((In!$H$170:$H$182="msft")*(In!$I$170:$I$182="oai")*((In!$J$170:$J$182="比")*$M47+(In!$J$170:$J$182&lt;&gt;"比"))*In!M$170:M$182)</f>
        <v>0</v>
      </c>
      <c r="E47" s="24" t="n">
        <f aca="false">SUMPRODUCT((In!$H$170:$H$182="msft")*(In!$I$170:$I$182="ant")*((In!$J$170:$J$182="比")*$M47+(In!$J$170:$J$182&lt;&gt;"比"))*In!M$170:M$182)</f>
        <v>0</v>
      </c>
      <c r="F47" s="24" t="n">
        <f aca="false">SUMPRODUCT((In!$H$170:$H$182="msft")*(In!$I$170:$I$182="xai")*((In!$J$170:$J$182="比")*$M47+(In!$J$170:$J$182&lt;&gt;"比"))*In!M$170:M$182)</f>
        <v>0</v>
      </c>
      <c r="G47" s="24" t="n">
        <f aca="false">SUMPRODUCT((In!$H$170:$H$182="msft")*(In!$I$170:$I$182="meta")*((In!$J$170:$J$182="比")*$M47+(In!$J$170:$J$182&lt;&gt;"比"))*In!M$170:M$182)</f>
        <v>0</v>
      </c>
      <c r="H47" s="24" t="n">
        <f aca="false">SUMPRODUCT((In!$H$170:$H$182="msft")*(In!$I$170:$I$182="googl")*((In!$J$170:$J$182="比")*$M47+(In!$J$170:$J$182&lt;&gt;"比"))*In!M$170:M$182)</f>
        <v>0</v>
      </c>
      <c r="I47" s="24" t="n">
        <f aca="false">SUMPRODUCT((In!$H$170:$H$182="msft")*(In!$I$170:$I$182="msft")*((In!$J$170:$J$182="比")*$M47+(In!$J$170:$J$182&lt;&gt;"比"))*In!M$170:M$182)</f>
        <v>0</v>
      </c>
      <c r="J47" s="24" t="n">
        <f aca="false">SUMPRODUCT((In!$H$170:$H$182="msft")*(In!$I$170:$I$182="oth")*((In!$J$170:$J$182="比")*$M47+(In!$J$170:$J$182&lt;&gt;"比"))*In!M$170:M$182)</f>
        <v>0</v>
      </c>
      <c r="K47" s="24" t="n">
        <f aca="false">$M47-SUM(C47:J47)</f>
        <v>3.324</v>
      </c>
      <c r="L47" s="24" t="n">
        <f aca="false">SUM(C47:K47)</f>
        <v>5.54</v>
      </c>
      <c r="M47" s="27" t="n">
        <f aca="false">N(Players!H30)</f>
        <v>5.54</v>
      </c>
      <c r="N47" s="28" t="n">
        <f aca="false">L47-M47</f>
        <v>0</v>
      </c>
    </row>
    <row r="48" customFormat="false" ht="17.15" hidden="false" customHeight="false" outlineLevel="0" collapsed="false">
      <c r="A48" s="0" t="s">
        <v>1302</v>
      </c>
      <c r="B48" s="0" t="s">
        <v>511</v>
      </c>
      <c r="C48" s="24" t="n">
        <f aca="false">SUMPRODUCT((In!$H$170:$H$182="googl")*(In!$I$170:$I$182="self")*((In!$J$170:$J$182="比")*$M48+(In!$J$170:$J$182&lt;&gt;"比"))*In!M$170:M$182)</f>
        <v>3.9148753894081</v>
      </c>
      <c r="D48" s="24" t="n">
        <f aca="false">SUMPRODUCT((In!$H$170:$H$182="googl")*(In!$I$170:$I$182="oai")*((In!$J$170:$J$182="比")*$M48+(In!$J$170:$J$182&lt;&gt;"比"))*In!M$170:M$182)</f>
        <v>0</v>
      </c>
      <c r="E48" s="24" t="n">
        <f aca="false">SUMPRODUCT((In!$H$170:$H$182="googl")*(In!$I$170:$I$182="ant")*((In!$J$170:$J$182="比")*$M48+(In!$J$170:$J$182&lt;&gt;"比"))*In!M$170:M$182)</f>
        <v>1</v>
      </c>
      <c r="F48" s="24" t="n">
        <f aca="false">SUMPRODUCT((In!$H$170:$H$182="googl")*(In!$I$170:$I$182="xai")*((In!$J$170:$J$182="比")*$M48+(In!$J$170:$J$182&lt;&gt;"比"))*In!M$170:M$182)</f>
        <v>0</v>
      </c>
      <c r="G48" s="24" t="n">
        <f aca="false">SUMPRODUCT((In!$H$170:$H$182="googl")*(In!$I$170:$I$182="meta")*((In!$J$170:$J$182="比")*$M48+(In!$J$170:$J$182&lt;&gt;"比"))*In!M$170:M$182)</f>
        <v>0</v>
      </c>
      <c r="H48" s="24" t="n">
        <f aca="false">SUMPRODUCT((In!$H$170:$H$182="googl")*(In!$I$170:$I$182="googl")*((In!$J$170:$J$182="比")*$M48+(In!$J$170:$J$182&lt;&gt;"比"))*In!M$170:M$182)</f>
        <v>0</v>
      </c>
      <c r="I48" s="24" t="n">
        <f aca="false">SUMPRODUCT((In!$H$170:$H$182="googl")*(In!$I$170:$I$182="msft")*((In!$J$170:$J$182="比")*$M48+(In!$J$170:$J$182&lt;&gt;"比"))*In!M$170:M$182)</f>
        <v>0</v>
      </c>
      <c r="J48" s="24" t="n">
        <f aca="false">SUMPRODUCT((In!$H$170:$H$182="googl")*(In!$I$170:$I$182="oth")*((In!$J$170:$J$182="比")*$M48+(In!$J$170:$J$182&lt;&gt;"比"))*In!M$170:M$182)</f>
        <v>0</v>
      </c>
      <c r="K48" s="24" t="n">
        <f aca="false">$M48-SUM(C48:J48)</f>
        <v>0.677803738317758</v>
      </c>
      <c r="L48" s="24" t="n">
        <f aca="false">SUM(C48:K48)</f>
        <v>5.59267912772586</v>
      </c>
      <c r="M48" s="27" t="n">
        <f aca="false">N(Players!H49)</f>
        <v>5.59267912772586</v>
      </c>
      <c r="N48" s="28" t="n">
        <f aca="false">L48-M48</f>
        <v>0</v>
      </c>
    </row>
    <row r="49" customFormat="false" ht="17.15" hidden="false" customHeight="false" outlineLevel="0" collapsed="false">
      <c r="A49" s="0" t="s">
        <v>1303</v>
      </c>
      <c r="B49" s="0" t="s">
        <v>519</v>
      </c>
      <c r="C49" s="24" t="n">
        <f aca="false">SUMPRODUCT((In!$H$170:$H$182="amzn")*(In!$I$170:$I$182="self")*((In!$J$170:$J$182="比")*$M49+(In!$J$170:$J$182&lt;&gt;"比"))*In!M$170:M$182)</f>
        <v>0.5536</v>
      </c>
      <c r="D49" s="24" t="n">
        <f aca="false">SUMPRODUCT((In!$H$170:$H$182="amzn")*(In!$I$170:$I$182="oai")*((In!$J$170:$J$182="比")*$M49+(In!$J$170:$J$182&lt;&gt;"比"))*In!M$170:M$182)</f>
        <v>0</v>
      </c>
      <c r="E49" s="24" t="n">
        <f aca="false">SUMPRODUCT((In!$H$170:$H$182="amzn")*(In!$I$170:$I$182="ant")*((In!$J$170:$J$182="比")*$M49+(In!$J$170:$J$182&lt;&gt;"比"))*In!M$170:M$182)</f>
        <v>1.037</v>
      </c>
      <c r="F49" s="24" t="n">
        <f aca="false">SUMPRODUCT((In!$H$170:$H$182="amzn")*(In!$I$170:$I$182="xai")*((In!$J$170:$J$182="比")*$M49+(In!$J$170:$J$182&lt;&gt;"比"))*In!M$170:M$182)</f>
        <v>0</v>
      </c>
      <c r="G49" s="24" t="n">
        <f aca="false">SUMPRODUCT((In!$H$170:$H$182="amzn")*(In!$I$170:$I$182="meta")*((In!$J$170:$J$182="比")*$M49+(In!$J$170:$J$182&lt;&gt;"比"))*In!M$170:M$182)</f>
        <v>0</v>
      </c>
      <c r="H49" s="24" t="n">
        <f aca="false">SUMPRODUCT((In!$H$170:$H$182="amzn")*(In!$I$170:$I$182="googl")*((In!$J$170:$J$182="比")*$M49+(In!$J$170:$J$182&lt;&gt;"比"))*In!M$170:M$182)</f>
        <v>0</v>
      </c>
      <c r="I49" s="24" t="n">
        <f aca="false">SUMPRODUCT((In!$H$170:$H$182="amzn")*(In!$I$170:$I$182="msft")*((In!$J$170:$J$182="比")*$M49+(In!$J$170:$J$182&lt;&gt;"比"))*In!M$170:M$182)</f>
        <v>0</v>
      </c>
      <c r="J49" s="24" t="n">
        <f aca="false">SUMPRODUCT((In!$H$170:$H$182="amzn")*(In!$I$170:$I$182="oth")*((In!$J$170:$J$182="比")*$M49+(In!$J$170:$J$182&lt;&gt;"比"))*In!M$170:M$182)</f>
        <v>0</v>
      </c>
      <c r="K49" s="24" t="n">
        <f aca="false">$M49-SUM(C49:J49)</f>
        <v>1.1774</v>
      </c>
      <c r="L49" s="24" t="n">
        <f aca="false">SUM(C49:K49)</f>
        <v>2.768</v>
      </c>
      <c r="M49" s="27" t="n">
        <f aca="false">N(Players!H68)</f>
        <v>2.768</v>
      </c>
      <c r="N49" s="28" t="n">
        <f aca="false">L49-M49</f>
        <v>0</v>
      </c>
    </row>
    <row r="50" customFormat="false" ht="15" hidden="false" customHeight="false" outlineLevel="0" collapsed="false">
      <c r="A50" s="0" t="s">
        <v>1038</v>
      </c>
      <c r="B50" s="0" t="s">
        <v>526</v>
      </c>
      <c r="C50" s="24" t="n">
        <f aca="false">SUMPRODUCT((In!$H$170:$H$182="meta")*(In!$I$170:$I$182="self")*((In!$J$170:$J$182="比")*$M50+(In!$J$170:$J$182&lt;&gt;"比"))*In!M$170:M$182)</f>
        <v>0</v>
      </c>
      <c r="D50" s="24" t="n">
        <f aca="false">SUMPRODUCT((In!$H$170:$H$182="meta")*(In!$I$170:$I$182="oai")*((In!$J$170:$J$182="比")*$M50+(In!$J$170:$J$182&lt;&gt;"比"))*In!M$170:M$182)</f>
        <v>0</v>
      </c>
      <c r="E50" s="24" t="n">
        <f aca="false">SUMPRODUCT((In!$H$170:$H$182="meta")*(In!$I$170:$I$182="ant")*((In!$J$170:$J$182="比")*$M50+(In!$J$170:$J$182&lt;&gt;"比"))*In!M$170:M$182)</f>
        <v>0</v>
      </c>
      <c r="F50" s="24" t="n">
        <f aca="false">SUMPRODUCT((In!$H$170:$H$182="meta")*(In!$I$170:$I$182="xai")*((In!$J$170:$J$182="比")*$M50+(In!$J$170:$J$182&lt;&gt;"比"))*In!M$170:M$182)</f>
        <v>0</v>
      </c>
      <c r="G50" s="24" t="n">
        <f aca="false">SUMPRODUCT((In!$H$170:$H$182="meta")*(In!$I$170:$I$182="meta")*((In!$J$170:$J$182="比")*$M50+(In!$J$170:$J$182&lt;&gt;"比"))*In!M$170:M$182)</f>
        <v>3.344595</v>
      </c>
      <c r="H50" s="24" t="n">
        <f aca="false">SUMPRODUCT((In!$H$170:$H$182="meta")*(In!$I$170:$I$182="googl")*((In!$J$170:$J$182="比")*$M50+(In!$J$170:$J$182&lt;&gt;"比"))*In!M$170:M$182)</f>
        <v>0</v>
      </c>
      <c r="I50" s="24" t="n">
        <f aca="false">SUMPRODUCT((In!$H$170:$H$182="meta")*(In!$I$170:$I$182="msft")*((In!$J$170:$J$182="比")*$M50+(In!$J$170:$J$182&lt;&gt;"比"))*In!M$170:M$182)</f>
        <v>0</v>
      </c>
      <c r="J50" s="24" t="n">
        <f aca="false">SUMPRODUCT((In!$H$170:$H$182="meta")*(In!$I$170:$I$182="oth")*((In!$J$170:$J$182="比")*$M50+(In!$J$170:$J$182&lt;&gt;"比"))*In!M$170:M$182)</f>
        <v>0</v>
      </c>
      <c r="K50" s="24" t="n">
        <f aca="false">$M50-SUM(C50:J50)</f>
        <v>0</v>
      </c>
      <c r="L50" s="24" t="n">
        <f aca="false">SUM(C50:K50)</f>
        <v>3.344595</v>
      </c>
      <c r="M50" s="27" t="n">
        <f aca="false">N(Players!H87)</f>
        <v>3.344595</v>
      </c>
      <c r="N50" s="28" t="n">
        <f aca="false">L50-M50</f>
        <v>0</v>
      </c>
    </row>
    <row r="51" customFormat="false" ht="17.15" hidden="false" customHeight="false" outlineLevel="0" collapsed="false">
      <c r="A51" s="0" t="s">
        <v>1304</v>
      </c>
      <c r="B51" s="0" t="s">
        <v>530</v>
      </c>
      <c r="C51" s="24" t="n">
        <f aca="false">SUMPRODUCT((In!$H$170:$H$182="orcl")*(In!$I$170:$I$182="self")*((In!$J$170:$J$182="比")*$M51+(In!$J$170:$J$182&lt;&gt;"比"))*In!M$170:M$182)</f>
        <v>0</v>
      </c>
      <c r="D51" s="24" t="n">
        <f aca="false">SUMPRODUCT((In!$H$170:$H$182="orcl")*(In!$I$170:$I$182="oai")*((In!$J$170:$J$182="比")*$M51+(In!$J$170:$J$182&lt;&gt;"比"))*In!M$170:M$182)</f>
        <v>0.991</v>
      </c>
      <c r="E51" s="24" t="n">
        <f aca="false">SUMPRODUCT((In!$H$170:$H$182="orcl")*(In!$I$170:$I$182="ant")*((In!$J$170:$J$182="比")*$M51+(In!$J$170:$J$182&lt;&gt;"比"))*In!M$170:M$182)</f>
        <v>0</v>
      </c>
      <c r="F51" s="24" t="n">
        <f aca="false">SUMPRODUCT((In!$H$170:$H$182="orcl")*(In!$I$170:$I$182="xai")*((In!$J$170:$J$182="比")*$M51+(In!$J$170:$J$182&lt;&gt;"比"))*In!M$170:M$182)</f>
        <v>0</v>
      </c>
      <c r="G51" s="24" t="n">
        <f aca="false">SUMPRODUCT((In!$H$170:$H$182="orcl")*(In!$I$170:$I$182="meta")*((In!$J$170:$J$182="比")*$M51+(In!$J$170:$J$182&lt;&gt;"比"))*In!M$170:M$182)</f>
        <v>0</v>
      </c>
      <c r="H51" s="24" t="n">
        <f aca="false">SUMPRODUCT((In!$H$170:$H$182="orcl")*(In!$I$170:$I$182="googl")*((In!$J$170:$J$182="比")*$M51+(In!$J$170:$J$182&lt;&gt;"比"))*In!M$170:M$182)</f>
        <v>0</v>
      </c>
      <c r="I51" s="24" t="n">
        <f aca="false">SUMPRODUCT((In!$H$170:$H$182="orcl")*(In!$I$170:$I$182="msft")*((In!$J$170:$J$182="比")*$M51+(In!$J$170:$J$182&lt;&gt;"比"))*In!M$170:M$182)</f>
        <v>0</v>
      </c>
      <c r="J51" s="24" t="n">
        <f aca="false">SUMPRODUCT((In!$H$170:$H$182="orcl")*(In!$I$170:$I$182="oth")*((In!$J$170:$J$182="比")*$M51+(In!$J$170:$J$182&lt;&gt;"比"))*In!M$170:M$182)</f>
        <v>0</v>
      </c>
      <c r="K51" s="24" t="n">
        <f aca="false">$M51-SUM(C51:J51)</f>
        <v>1.92466666666667</v>
      </c>
      <c r="L51" s="24" t="n">
        <f aca="false">SUM(C51:K51)</f>
        <v>2.91566666666667</v>
      </c>
      <c r="M51" s="27" t="n">
        <f aca="false">N(Players!H106)</f>
        <v>2.91566666666667</v>
      </c>
      <c r="N51" s="28" t="n">
        <f aca="false">L51-M51</f>
        <v>0</v>
      </c>
    </row>
    <row r="52" customFormat="false" ht="15" hidden="false" customHeight="false" outlineLevel="0" collapsed="false">
      <c r="A52" s="0" t="s">
        <v>1076</v>
      </c>
      <c r="B52" s="0" t="s">
        <v>620</v>
      </c>
      <c r="C52" s="24" t="n">
        <f aca="false">SUMPRODUCT((In!$H$170:$H$182="crwv")*(In!$I$170:$I$182="self")*((In!$J$170:$J$182="比")*$M52+(In!$J$170:$J$182&lt;&gt;"比"))*In!M$170:M$182)</f>
        <v>0</v>
      </c>
      <c r="D52" s="24" t="n">
        <f aca="false">SUMPRODUCT((In!$H$170:$H$182="crwv")*(In!$I$170:$I$182="oai")*((In!$J$170:$J$182="比")*$M52+(In!$J$170:$J$182&lt;&gt;"比"))*In!M$170:M$182)</f>
        <v>0</v>
      </c>
      <c r="E52" s="24" t="n">
        <f aca="false">SUMPRODUCT((In!$H$170:$H$182="crwv")*(In!$I$170:$I$182="ant")*((In!$J$170:$J$182="比")*$M52+(In!$J$170:$J$182&lt;&gt;"比"))*In!M$170:M$182)</f>
        <v>0</v>
      </c>
      <c r="F52" s="24" t="n">
        <f aca="false">SUMPRODUCT((In!$H$170:$H$182="crwv")*(In!$I$170:$I$182="xai")*((In!$J$170:$J$182="比")*$M52+(In!$J$170:$J$182&lt;&gt;"比"))*In!M$170:M$182)</f>
        <v>0</v>
      </c>
      <c r="G52" s="24" t="n">
        <f aca="false">SUMPRODUCT((In!$H$170:$H$182="crwv")*(In!$I$170:$I$182="meta")*((In!$J$170:$J$182="比")*$M52+(In!$J$170:$J$182&lt;&gt;"比"))*In!M$170:M$182)</f>
        <v>0</v>
      </c>
      <c r="H52" s="24" t="n">
        <f aca="false">SUMPRODUCT((In!$H$170:$H$182="crwv")*(In!$I$170:$I$182="googl")*((In!$J$170:$J$182="比")*$M52+(In!$J$170:$J$182&lt;&gt;"比"))*In!M$170:M$182)</f>
        <v>0</v>
      </c>
      <c r="I52" s="24" t="n">
        <f aca="false">SUMPRODUCT((In!$H$170:$H$182="crwv")*(In!$I$170:$I$182="msft")*((In!$J$170:$J$182="比")*$M52+(In!$J$170:$J$182&lt;&gt;"比"))*In!M$170:M$182)</f>
        <v>0</v>
      </c>
      <c r="J52" s="24" t="n">
        <f aca="false">SUMPRODUCT((In!$H$170:$H$182="crwv")*(In!$I$170:$I$182="oth")*((In!$J$170:$J$182="比")*$M52+(In!$J$170:$J$182&lt;&gt;"比"))*In!M$170:M$182)</f>
        <v>0</v>
      </c>
      <c r="K52" s="24" t="n">
        <f aca="false">$M52-SUM(C52:J52)</f>
        <v>3.3875</v>
      </c>
      <c r="L52" s="24" t="n">
        <f aca="false">SUM(C52:K52)</f>
        <v>3.3875</v>
      </c>
      <c r="M52" s="27" t="n">
        <f aca="false">N(Players!H125)</f>
        <v>3.3875</v>
      </c>
      <c r="N52" s="28" t="n">
        <f aca="false">L52-M52</f>
        <v>0</v>
      </c>
    </row>
    <row r="53" customFormat="false" ht="15" hidden="false" customHeight="false" outlineLevel="0" collapsed="false">
      <c r="A53" s="0" t="s">
        <v>1095</v>
      </c>
      <c r="B53" s="0" t="s">
        <v>651</v>
      </c>
      <c r="C53" s="24" t="n">
        <f aca="false">SUMPRODUCT((In!$H$170:$H$182="nbis")*(In!$I$170:$I$182="self")*((In!$J$170:$J$182="比")*$M53+(In!$J$170:$J$182&lt;&gt;"比"))*In!M$170:M$182)</f>
        <v>0</v>
      </c>
      <c r="D53" s="24" t="n">
        <f aca="false">SUMPRODUCT((In!$H$170:$H$182="nbis")*(In!$I$170:$I$182="oai")*((In!$J$170:$J$182="比")*$M53+(In!$J$170:$J$182&lt;&gt;"比"))*In!M$170:M$182)</f>
        <v>0</v>
      </c>
      <c r="E53" s="24" t="n">
        <f aca="false">SUMPRODUCT((In!$H$170:$H$182="nbis")*(In!$I$170:$I$182="ant")*((In!$J$170:$J$182="比")*$M53+(In!$J$170:$J$182&lt;&gt;"比"))*In!M$170:M$182)</f>
        <v>0</v>
      </c>
      <c r="F53" s="24" t="n">
        <f aca="false">SUMPRODUCT((In!$H$170:$H$182="nbis")*(In!$I$170:$I$182="xai")*((In!$J$170:$J$182="比")*$M53+(In!$J$170:$J$182&lt;&gt;"比"))*In!M$170:M$182)</f>
        <v>0</v>
      </c>
      <c r="G53" s="24" t="n">
        <f aca="false">SUMPRODUCT((In!$H$170:$H$182="nbis")*(In!$I$170:$I$182="meta")*((In!$J$170:$J$182="比")*$M53+(In!$J$170:$J$182&lt;&gt;"比"))*In!M$170:M$182)</f>
        <v>0</v>
      </c>
      <c r="H53" s="24" t="n">
        <f aca="false">SUMPRODUCT((In!$H$170:$H$182="nbis")*(In!$I$170:$I$182="googl")*((In!$J$170:$J$182="比")*$M53+(In!$J$170:$J$182&lt;&gt;"比"))*In!M$170:M$182)</f>
        <v>0</v>
      </c>
      <c r="I53" s="24" t="n">
        <f aca="false">SUMPRODUCT((In!$H$170:$H$182="nbis")*(In!$I$170:$I$182="msft")*((In!$J$170:$J$182="比")*$M53+(In!$J$170:$J$182&lt;&gt;"比"))*In!M$170:M$182)</f>
        <v>0</v>
      </c>
      <c r="J53" s="24" t="n">
        <f aca="false">SUMPRODUCT((In!$H$170:$H$182="nbis")*(In!$I$170:$I$182="oth")*((In!$J$170:$J$182="比")*$M53+(In!$J$170:$J$182&lt;&gt;"比"))*In!M$170:M$182)</f>
        <v>0</v>
      </c>
      <c r="K53" s="24" t="n">
        <f aca="false">$M53-SUM(C53:J53)</f>
        <v>0.9</v>
      </c>
      <c r="L53" s="24" t="n">
        <f aca="false">SUM(C53:K53)</f>
        <v>0.9</v>
      </c>
      <c r="M53" s="27" t="n">
        <f aca="false">N(Players!H144)</f>
        <v>0.9</v>
      </c>
      <c r="N53" s="28" t="n">
        <f aca="false">L53-M53</f>
        <v>0</v>
      </c>
    </row>
    <row r="54" customFormat="false" ht="17.15" hidden="false" customHeight="false" outlineLevel="0" collapsed="false">
      <c r="A54" s="0" t="s">
        <v>1305</v>
      </c>
      <c r="B54" s="0" t="s">
        <v>1115</v>
      </c>
      <c r="C54" s="24" t="n">
        <f aca="false">SUMPRODUCT((In!$H$170:$H$182="wyfi")*(In!$I$170:$I$182="self")*((In!$J$170:$J$182="比")*$M54+(In!$J$170:$J$182&lt;&gt;"比"))*In!M$170:M$182)</f>
        <v>0</v>
      </c>
      <c r="D54" s="24" t="n">
        <f aca="false">SUMPRODUCT((In!$H$170:$H$182="wyfi")*(In!$I$170:$I$182="oai")*((In!$J$170:$J$182="比")*$M54+(In!$J$170:$J$182&lt;&gt;"比"))*In!M$170:M$182)</f>
        <v>0</v>
      </c>
      <c r="E54" s="24" t="n">
        <f aca="false">SUMPRODUCT((In!$H$170:$H$182="wyfi")*(In!$I$170:$I$182="ant")*((In!$J$170:$J$182="比")*$M54+(In!$J$170:$J$182&lt;&gt;"比"))*In!M$170:M$182)</f>
        <v>0</v>
      </c>
      <c r="F54" s="24" t="n">
        <f aca="false">SUMPRODUCT((In!$H$170:$H$182="wyfi")*(In!$I$170:$I$182="xai")*((In!$J$170:$J$182="比")*$M54+(In!$J$170:$J$182&lt;&gt;"比"))*In!M$170:M$182)</f>
        <v>0</v>
      </c>
      <c r="G54" s="24" t="n">
        <f aca="false">SUMPRODUCT((In!$H$170:$H$182="wyfi")*(In!$I$170:$I$182="meta")*((In!$J$170:$J$182="比")*$M54+(In!$J$170:$J$182&lt;&gt;"比"))*In!M$170:M$182)</f>
        <v>0</v>
      </c>
      <c r="H54" s="24" t="n">
        <f aca="false">SUMPRODUCT((In!$H$170:$H$182="wyfi")*(In!$I$170:$I$182="googl")*((In!$J$170:$J$182="比")*$M54+(In!$J$170:$J$182&lt;&gt;"比"))*In!M$170:M$182)</f>
        <v>0</v>
      </c>
      <c r="I54" s="24" t="n">
        <f aca="false">SUMPRODUCT((In!$H$170:$H$182="wyfi")*(In!$I$170:$I$182="msft")*((In!$J$170:$J$182="比")*$M54+(In!$J$170:$J$182&lt;&gt;"比"))*In!M$170:M$182)</f>
        <v>0</v>
      </c>
      <c r="J54" s="24" t="n">
        <f aca="false">SUMPRODUCT((In!$H$170:$H$182="wyfi")*(In!$I$170:$I$182="oth")*((In!$J$170:$J$182="比")*$M54+(In!$J$170:$J$182&lt;&gt;"比"))*In!M$170:M$182)</f>
        <v>0</v>
      </c>
      <c r="K54" s="24" t="n">
        <f aca="false">$M54-SUM(C54:J54)</f>
        <v>0.016548</v>
      </c>
      <c r="L54" s="24" t="n">
        <f aca="false">SUM(C54:K54)</f>
        <v>0.016548</v>
      </c>
      <c r="M54" s="27" t="n">
        <f aca="false">N(Players!H163)</f>
        <v>0.016548</v>
      </c>
      <c r="N54" s="28" t="n">
        <f aca="false">L54-M54</f>
        <v>0</v>
      </c>
    </row>
    <row r="55" customFormat="false" ht="17.15" hidden="false" customHeight="false" outlineLevel="0" collapsed="false">
      <c r="A55" s="0" t="s">
        <v>1306</v>
      </c>
      <c r="B55" s="0" t="s">
        <v>535</v>
      </c>
      <c r="C55" s="24" t="n">
        <f aca="false">SUMPRODUCT((In!$H$170:$H$182="xai")*(In!$I$170:$I$182="self")*((In!$J$170:$J$182="比")*$M55+(In!$J$170:$J$182&lt;&gt;"比"))*In!M$170:M$182)</f>
        <v>0</v>
      </c>
      <c r="D55" s="24" t="n">
        <f aca="false">SUMPRODUCT((In!$H$170:$H$182="xai")*(In!$I$170:$I$182="oai")*((In!$J$170:$J$182="比")*$M55+(In!$J$170:$J$182&lt;&gt;"比"))*In!M$170:M$182)</f>
        <v>0</v>
      </c>
      <c r="E55" s="24" t="n">
        <f aca="false">SUMPRODUCT((In!$H$170:$H$182="xai")*(In!$I$170:$I$182="ant")*((In!$J$170:$J$182="比")*$M55+(In!$J$170:$J$182&lt;&gt;"比"))*In!M$170:M$182)</f>
        <v>0</v>
      </c>
      <c r="F55" s="24" t="n">
        <f aca="false">SUMPRODUCT((In!$H$170:$H$182="xai")*(In!$I$170:$I$182="xai")*((In!$J$170:$J$182="比")*$M55+(In!$J$170:$J$182&lt;&gt;"比"))*In!M$170:M$182)</f>
        <v>0</v>
      </c>
      <c r="G55" s="24" t="n">
        <f aca="false">SUMPRODUCT((In!$H$170:$H$182="xai")*(In!$I$170:$I$182="meta")*((In!$J$170:$J$182="比")*$M55+(In!$J$170:$J$182&lt;&gt;"比"))*In!M$170:M$182)</f>
        <v>0</v>
      </c>
      <c r="H55" s="24" t="n">
        <f aca="false">SUMPRODUCT((In!$H$170:$H$182="xai")*(In!$I$170:$I$182="googl")*((In!$J$170:$J$182="比")*$M55+(In!$J$170:$J$182&lt;&gt;"比"))*In!M$170:M$182)</f>
        <v>0.19</v>
      </c>
      <c r="I55" s="24" t="n">
        <f aca="false">SUMPRODUCT((In!$H$170:$H$182="xai")*(In!$I$170:$I$182="msft")*((In!$J$170:$J$182="比")*$M55+(In!$J$170:$J$182&lt;&gt;"比"))*In!M$170:M$182)</f>
        <v>0</v>
      </c>
      <c r="J55" s="24" t="n">
        <f aca="false">SUMPRODUCT((In!$H$170:$H$182="xai")*(In!$I$170:$I$182="oth")*((In!$J$170:$J$182="比")*$M55+(In!$J$170:$J$182&lt;&gt;"比"))*In!M$170:M$182)</f>
        <v>0</v>
      </c>
      <c r="K55" s="24" t="n">
        <f aca="false">$M55-SUM(C55:J55)</f>
        <v>2.395</v>
      </c>
      <c r="L55" s="24" t="n">
        <f aca="false">SUM(C55:K55)</f>
        <v>2.585</v>
      </c>
      <c r="M55" s="27" t="n">
        <f aca="false">N(Players!H182)</f>
        <v>2.585</v>
      </c>
      <c r="N55" s="28" t="n">
        <f aca="false">L55-M55</f>
        <v>0</v>
      </c>
    </row>
    <row r="56" customFormat="false" ht="17.15" hidden="false" customHeight="false" outlineLevel="0" collapsed="false">
      <c r="A56" s="0" t="s">
        <v>1307</v>
      </c>
      <c r="B56" s="0" t="s">
        <v>531</v>
      </c>
      <c r="C56" s="24" t="n">
        <f aca="false">SUMPRODUCT((In!$H$170:$H$182="oai")*(In!$I$170:$I$182="self")*((In!$J$170:$J$182="比")*$M56+(In!$J$170:$J$182&lt;&gt;"比"))*In!M$170:M$182)</f>
        <v>0</v>
      </c>
      <c r="D56" s="24" t="n">
        <f aca="false">SUMPRODUCT((In!$H$170:$H$182="oai")*(In!$I$170:$I$182="oai")*((In!$J$170:$J$182="比")*$M56+(In!$J$170:$J$182&lt;&gt;"比"))*In!M$170:M$182)</f>
        <v>0.308</v>
      </c>
      <c r="E56" s="24" t="n">
        <f aca="false">SUMPRODUCT((In!$H$170:$H$182="oai")*(In!$I$170:$I$182="ant")*((In!$J$170:$J$182="比")*$M56+(In!$J$170:$J$182&lt;&gt;"比"))*In!M$170:M$182)</f>
        <v>0</v>
      </c>
      <c r="F56" s="24" t="n">
        <f aca="false">SUMPRODUCT((In!$H$170:$H$182="oai")*(In!$I$170:$I$182="xai")*((In!$J$170:$J$182="比")*$M56+(In!$J$170:$J$182&lt;&gt;"比"))*In!M$170:M$182)</f>
        <v>0</v>
      </c>
      <c r="G56" s="24" t="n">
        <f aca="false">SUMPRODUCT((In!$H$170:$H$182="oai")*(In!$I$170:$I$182="meta")*((In!$J$170:$J$182="比")*$M56+(In!$J$170:$J$182&lt;&gt;"比"))*In!M$170:M$182)</f>
        <v>0</v>
      </c>
      <c r="H56" s="24" t="n">
        <f aca="false">SUMPRODUCT((In!$H$170:$H$182="oai")*(In!$I$170:$I$182="googl")*((In!$J$170:$J$182="比")*$M56+(In!$J$170:$J$182&lt;&gt;"比"))*In!M$170:M$182)</f>
        <v>0</v>
      </c>
      <c r="I56" s="24" t="n">
        <f aca="false">SUMPRODUCT((In!$H$170:$H$182="oai")*(In!$I$170:$I$182="msft")*((In!$J$170:$J$182="比")*$M56+(In!$J$170:$J$182&lt;&gt;"比"))*In!M$170:M$182)</f>
        <v>0</v>
      </c>
      <c r="J56" s="24" t="n">
        <f aca="false">SUMPRODUCT((In!$H$170:$H$182="oai")*(In!$I$170:$I$182="oth")*((In!$J$170:$J$182="比")*$M56+(In!$J$170:$J$182&lt;&gt;"比"))*In!M$170:M$182)</f>
        <v>0</v>
      </c>
      <c r="K56" s="24" t="n">
        <f aca="false">$M56-SUM(C56:J56)</f>
        <v>0</v>
      </c>
      <c r="L56" s="24" t="n">
        <f aca="false">SUM(C56:K56)</f>
        <v>0.308</v>
      </c>
      <c r="M56" s="27" t="n">
        <f aca="false">N(Players!H201)</f>
        <v>0.308</v>
      </c>
      <c r="N56" s="28" t="n">
        <f aca="false">L56-M56</f>
        <v>0</v>
      </c>
    </row>
    <row r="57" customFormat="false" ht="17.15" hidden="false" customHeight="false" outlineLevel="0" collapsed="false">
      <c r="A57" s="0" t="s">
        <v>1308</v>
      </c>
      <c r="B57" s="0" t="s">
        <v>515</v>
      </c>
      <c r="C57" s="24" t="n">
        <f aca="false">SUMPRODUCT((In!$H$170:$H$182="ant")*(In!$I$170:$I$182="self")*((In!$J$170:$J$182="比")*$M57+(In!$J$170:$J$182&lt;&gt;"比"))*In!M$170:M$182)</f>
        <v>0</v>
      </c>
      <c r="D57" s="24" t="n">
        <f aca="false">SUMPRODUCT((In!$H$170:$H$182="ant")*(In!$I$170:$I$182="oai")*((In!$J$170:$J$182="比")*$M57+(In!$J$170:$J$182&lt;&gt;"比"))*In!M$170:M$182)</f>
        <v>0</v>
      </c>
      <c r="E57" s="24" t="n">
        <f aca="false">SUMPRODUCT((In!$H$170:$H$182="ant")*(In!$I$170:$I$182="ant")*((In!$J$170:$J$182="比")*$M57+(In!$J$170:$J$182&lt;&gt;"比"))*In!M$170:M$182)</f>
        <v>0</v>
      </c>
      <c r="F57" s="24" t="n">
        <f aca="false">SUMPRODUCT((In!$H$170:$H$182="ant")*(In!$I$170:$I$182="xai")*((In!$J$170:$J$182="比")*$M57+(In!$J$170:$J$182&lt;&gt;"比"))*In!M$170:M$182)</f>
        <v>0</v>
      </c>
      <c r="G57" s="24" t="n">
        <f aca="false">SUMPRODUCT((In!$H$170:$H$182="ant")*(In!$I$170:$I$182="meta")*((In!$J$170:$J$182="比")*$M57+(In!$J$170:$J$182&lt;&gt;"比"))*In!M$170:M$182)</f>
        <v>0</v>
      </c>
      <c r="H57" s="24" t="n">
        <f aca="false">SUMPRODUCT((In!$H$170:$H$182="ant")*(In!$I$170:$I$182="googl")*((In!$J$170:$J$182="比")*$M57+(In!$J$170:$J$182&lt;&gt;"比"))*In!M$170:M$182)</f>
        <v>0</v>
      </c>
      <c r="I57" s="24" t="n">
        <f aca="false">SUMPRODUCT((In!$H$170:$H$182="ant")*(In!$I$170:$I$182="msft")*((In!$J$170:$J$182="比")*$M57+(In!$J$170:$J$182&lt;&gt;"比"))*In!M$170:M$182)</f>
        <v>0</v>
      </c>
      <c r="J57" s="24" t="n">
        <f aca="false">SUMPRODUCT((In!$H$170:$H$182="ant")*(In!$I$170:$I$182="oth")*((In!$J$170:$J$182="比")*$M57+(In!$J$170:$J$182&lt;&gt;"比"))*In!M$170:M$182)</f>
        <v>0</v>
      </c>
      <c r="K57" s="24" t="n">
        <f aca="false">$M57-SUM(C57:J57)</f>
        <v>0</v>
      </c>
      <c r="L57" s="24" t="n">
        <f aca="false">SUM(C57:K57)</f>
        <v>0</v>
      </c>
      <c r="M57" s="27" t="n">
        <f aca="false">N(Players!H220)</f>
        <v>0</v>
      </c>
      <c r="N57" s="28" t="n">
        <f aca="false">L57-M57</f>
        <v>0</v>
      </c>
    </row>
    <row r="58" customFormat="false" ht="17.15" hidden="false" customHeight="false" outlineLevel="0" collapsed="false">
      <c r="A58" s="5" t="s">
        <v>1309</v>
      </c>
      <c r="B58" s="0" t="s">
        <v>545</v>
      </c>
      <c r="C58" s="24" t="n">
        <f aca="false">SUMPRODUCT((In!$H$170:$H$182="neo")*(In!$I$170:$I$182="self")*((In!$J$170:$J$182="比")*$M58+(In!$J$170:$J$182&lt;&gt;"比"))*In!M$170:M$182)</f>
        <v>0</v>
      </c>
      <c r="D58" s="24" t="n">
        <f aca="false">SUMPRODUCT((In!$H$170:$H$182="neo")*(In!$I$170:$I$182="oai")*((In!$J$170:$J$182="比")*$M58+(In!$J$170:$J$182&lt;&gt;"比"))*In!M$170:M$182)</f>
        <v>0</v>
      </c>
      <c r="E58" s="24" t="n">
        <f aca="false">SUMPRODUCT((In!$H$170:$H$182="neo")*(In!$I$170:$I$182="ant")*((In!$J$170:$J$182="比")*$M58+(In!$J$170:$J$182&lt;&gt;"比"))*In!M$170:M$182)</f>
        <v>0.2</v>
      </c>
      <c r="F58" s="24" t="n">
        <f aca="false">SUMPRODUCT((In!$H$170:$H$182="neo")*(In!$I$170:$I$182="xai")*((In!$J$170:$J$182="比")*$M58+(In!$J$170:$J$182&lt;&gt;"比"))*In!M$170:M$182)</f>
        <v>0</v>
      </c>
      <c r="G58" s="24" t="n">
        <f aca="false">SUMPRODUCT((In!$H$170:$H$182="neo")*(In!$I$170:$I$182="meta")*((In!$J$170:$J$182="比")*$M58+(In!$J$170:$J$182&lt;&gt;"比"))*In!M$170:M$182)</f>
        <v>0</v>
      </c>
      <c r="H58" s="24" t="n">
        <f aca="false">SUMPRODUCT((In!$H$170:$H$182="neo")*(In!$I$170:$I$182="googl")*((In!$J$170:$J$182="比")*$M58+(In!$J$170:$J$182&lt;&gt;"比"))*In!M$170:M$182)</f>
        <v>0</v>
      </c>
      <c r="I58" s="24" t="n">
        <f aca="false">SUMPRODUCT((In!$H$170:$H$182="neo")*(In!$I$170:$I$182="msft")*((In!$J$170:$J$182="比")*$M58+(In!$J$170:$J$182&lt;&gt;"比"))*In!M$170:M$182)</f>
        <v>0.2</v>
      </c>
      <c r="J58" s="24" t="n">
        <f aca="false">SUMPRODUCT((In!$H$170:$H$182="neo")*(In!$I$170:$I$182="oth")*((In!$J$170:$J$182="比")*$M58+(In!$J$170:$J$182&lt;&gt;"比"))*In!M$170:M$182)</f>
        <v>0</v>
      </c>
      <c r="K58" s="24" t="n">
        <f aca="false">$M58-SUM(C58:J58)</f>
        <v>2.007</v>
      </c>
      <c r="L58" s="24" t="n">
        <f aca="false">SUM(C58:K58)</f>
        <v>2.407</v>
      </c>
      <c r="M58" s="27" t="n">
        <f aca="false">N(Players!H239)</f>
        <v>2.407</v>
      </c>
      <c r="N58" s="28" t="n">
        <f aca="false">L58-M58</f>
        <v>0</v>
      </c>
    </row>
    <row r="59" customFormat="false" ht="17.15" hidden="false" customHeight="false" outlineLevel="0" collapsed="false">
      <c r="A59" s="5" t="s">
        <v>1310</v>
      </c>
      <c r="B59" s="0" t="s">
        <v>644</v>
      </c>
      <c r="C59" s="24" t="n">
        <f aca="false">SUMPRODUCT((In!$H$170:$H$182="sov")*(In!$I$170:$I$182="self")*((In!$J$170:$J$182="比")*$M59+(In!$J$170:$J$182&lt;&gt;"比"))*In!M$170:M$182)</f>
        <v>0</v>
      </c>
      <c r="D59" s="24" t="n">
        <f aca="false">SUMPRODUCT((In!$H$170:$H$182="sov")*(In!$I$170:$I$182="oai")*((In!$J$170:$J$182="比")*$M59+(In!$J$170:$J$182&lt;&gt;"比"))*In!M$170:M$182)</f>
        <v>0</v>
      </c>
      <c r="E59" s="24" t="n">
        <f aca="false">SUMPRODUCT((In!$H$170:$H$182="sov")*(In!$I$170:$I$182="ant")*((In!$J$170:$J$182="比")*$M59+(In!$J$170:$J$182&lt;&gt;"比"))*In!M$170:M$182)</f>
        <v>0</v>
      </c>
      <c r="F59" s="24" t="n">
        <f aca="false">SUMPRODUCT((In!$H$170:$H$182="sov")*(In!$I$170:$I$182="xai")*((In!$J$170:$J$182="比")*$M59+(In!$J$170:$J$182&lt;&gt;"比"))*In!M$170:M$182)</f>
        <v>0</v>
      </c>
      <c r="G59" s="24" t="n">
        <f aca="false">SUMPRODUCT((In!$H$170:$H$182="sov")*(In!$I$170:$I$182="meta")*((In!$J$170:$J$182="比")*$M59+(In!$J$170:$J$182&lt;&gt;"比"))*In!M$170:M$182)</f>
        <v>0</v>
      </c>
      <c r="H59" s="24" t="n">
        <f aca="false">SUMPRODUCT((In!$H$170:$H$182="sov")*(In!$I$170:$I$182="googl")*((In!$J$170:$J$182="比")*$M59+(In!$J$170:$J$182&lt;&gt;"比"))*In!M$170:M$182)</f>
        <v>0</v>
      </c>
      <c r="I59" s="24" t="n">
        <f aca="false">SUMPRODUCT((In!$H$170:$H$182="sov")*(In!$I$170:$I$182="msft")*((In!$J$170:$J$182="比")*$M59+(In!$J$170:$J$182&lt;&gt;"比"))*In!M$170:M$182)</f>
        <v>0</v>
      </c>
      <c r="J59" s="24" t="n">
        <f aca="false">SUMPRODUCT((In!$H$170:$H$182="sov")*(In!$I$170:$I$182="oth")*((In!$J$170:$J$182="比")*$M59+(In!$J$170:$J$182&lt;&gt;"比"))*In!M$170:M$182)</f>
        <v>0</v>
      </c>
      <c r="K59" s="24" t="n">
        <f aca="false">$M59-SUM(C59:J59)</f>
        <v>1.9</v>
      </c>
      <c r="L59" s="24" t="n">
        <f aca="false">SUM(C59:K59)</f>
        <v>1.9</v>
      </c>
      <c r="M59" s="27" t="n">
        <f aca="false">N(Players!H258)</f>
        <v>1.9</v>
      </c>
      <c r="N59" s="28" t="n">
        <f aca="false">L59-M59</f>
        <v>0</v>
      </c>
    </row>
    <row r="60" customFormat="false" ht="17.15" hidden="false" customHeight="false" outlineLevel="0" collapsed="false">
      <c r="A60" s="5" t="s">
        <v>1311</v>
      </c>
      <c r="B60" s="0" t="s">
        <v>552</v>
      </c>
      <c r="C60" s="24" t="n">
        <f aca="false">SUMPRODUCT((In!$H$170:$H$182="cn")*(In!$I$170:$I$182="self")*((In!$J$170:$J$182="比")*$M60+(In!$J$170:$J$182&lt;&gt;"比"))*In!M$170:M$182)</f>
        <v>13.6561711245072</v>
      </c>
      <c r="D60" s="24" t="n">
        <f aca="false">SUMPRODUCT((In!$H$170:$H$182="cn")*(In!$I$170:$I$182="oai")*((In!$J$170:$J$182="比")*$M60+(In!$J$170:$J$182&lt;&gt;"比"))*In!M$170:M$182)</f>
        <v>0</v>
      </c>
      <c r="E60" s="24" t="n">
        <f aca="false">SUMPRODUCT((In!$H$170:$H$182="cn")*(In!$I$170:$I$182="ant")*((In!$J$170:$J$182="比")*$M60+(In!$J$170:$J$182&lt;&gt;"比"))*In!M$170:M$182)</f>
        <v>0</v>
      </c>
      <c r="F60" s="24" t="n">
        <f aca="false">SUMPRODUCT((In!$H$170:$H$182="cn")*(In!$I$170:$I$182="xai")*((In!$J$170:$J$182="比")*$M60+(In!$J$170:$J$182&lt;&gt;"比"))*In!M$170:M$182)</f>
        <v>0</v>
      </c>
      <c r="G60" s="24" t="n">
        <f aca="false">SUMPRODUCT((In!$H$170:$H$182="cn")*(In!$I$170:$I$182="meta")*((In!$J$170:$J$182="比")*$M60+(In!$J$170:$J$182&lt;&gt;"比"))*In!M$170:M$182)</f>
        <v>0</v>
      </c>
      <c r="H60" s="24" t="n">
        <f aca="false">SUMPRODUCT((In!$H$170:$H$182="cn")*(In!$I$170:$I$182="googl")*((In!$J$170:$J$182="比")*$M60+(In!$J$170:$J$182&lt;&gt;"比"))*In!M$170:M$182)</f>
        <v>0</v>
      </c>
      <c r="I60" s="24" t="n">
        <f aca="false">SUMPRODUCT((In!$H$170:$H$182="cn")*(In!$I$170:$I$182="msft")*((In!$J$170:$J$182="比")*$M60+(In!$J$170:$J$182&lt;&gt;"比"))*In!M$170:M$182)</f>
        <v>0</v>
      </c>
      <c r="J60" s="24" t="n">
        <f aca="false">SUMPRODUCT((In!$H$170:$H$182="cn")*(In!$I$170:$I$182="oth")*((In!$J$170:$J$182="比")*$M60+(In!$J$170:$J$182&lt;&gt;"比"))*In!M$170:M$182)</f>
        <v>0</v>
      </c>
      <c r="K60" s="24" t="n">
        <f aca="false">$M60-SUM(C60:J60)</f>
        <v>0</v>
      </c>
      <c r="L60" s="24" t="n">
        <f aca="false">SUM(C60:K60)</f>
        <v>13.6561711245072</v>
      </c>
      <c r="M60" s="27" t="n">
        <f aca="false">N(Players!H277)</f>
        <v>13.6561711245072</v>
      </c>
      <c r="N60" s="28" t="n">
        <f aca="false">L60-M60</f>
        <v>0</v>
      </c>
    </row>
    <row r="61" customFormat="false" ht="17.15" hidden="false" customHeight="false" outlineLevel="0" collapsed="false">
      <c r="A61" s="5" t="s">
        <v>1312</v>
      </c>
      <c r="B61" s="0" t="s">
        <v>737</v>
      </c>
      <c r="C61" s="24" t="n">
        <f aca="false">SUMPRODUCT((In!$H$170:$H$182="oth")*(In!$I$170:$I$182="self")*((In!$J$170:$J$182="比")*$M61+(In!$J$170:$J$182&lt;&gt;"比"))*In!M$170:M$182)</f>
        <v>0</v>
      </c>
      <c r="D61" s="24" t="n">
        <f aca="false">SUMPRODUCT((In!$H$170:$H$182="oth")*(In!$I$170:$I$182="oai")*((In!$J$170:$J$182="比")*$M61+(In!$J$170:$J$182&lt;&gt;"比"))*In!M$170:M$182)</f>
        <v>0</v>
      </c>
      <c r="E61" s="24" t="n">
        <f aca="false">SUMPRODUCT((In!$H$170:$H$182="oth")*(In!$I$170:$I$182="ant")*((In!$J$170:$J$182="比")*$M61+(In!$J$170:$J$182&lt;&gt;"比"))*In!M$170:M$182)</f>
        <v>0</v>
      </c>
      <c r="F61" s="24" t="n">
        <f aca="false">SUMPRODUCT((In!$H$170:$H$182="oth")*(In!$I$170:$I$182="xai")*((In!$J$170:$J$182="比")*$M61+(In!$J$170:$J$182&lt;&gt;"比"))*In!M$170:M$182)</f>
        <v>0</v>
      </c>
      <c r="G61" s="24" t="n">
        <f aca="false">SUMPRODUCT((In!$H$170:$H$182="oth")*(In!$I$170:$I$182="meta")*((In!$J$170:$J$182="比")*$M61+(In!$J$170:$J$182&lt;&gt;"比"))*In!M$170:M$182)</f>
        <v>0</v>
      </c>
      <c r="H61" s="24" t="n">
        <f aca="false">SUMPRODUCT((In!$H$170:$H$182="oth")*(In!$I$170:$I$182="googl")*((In!$J$170:$J$182="比")*$M61+(In!$J$170:$J$182&lt;&gt;"比"))*In!M$170:M$182)</f>
        <v>0</v>
      </c>
      <c r="I61" s="24" t="n">
        <f aca="false">SUMPRODUCT((In!$H$170:$H$182="oth")*(In!$I$170:$I$182="msft")*((In!$J$170:$J$182="比")*$M61+(In!$J$170:$J$182&lt;&gt;"比"))*In!M$170:M$182)</f>
        <v>0</v>
      </c>
      <c r="J61" s="24" t="n">
        <f aca="false">SUMPRODUCT((In!$H$170:$H$182="oth")*(In!$I$170:$I$182="oth")*((In!$J$170:$J$182="比")*$M61+(In!$J$170:$J$182&lt;&gt;"比"))*In!M$170:M$182)</f>
        <v>0</v>
      </c>
      <c r="K61" s="24" t="n">
        <f aca="false">$M61-SUM(C61:J61)</f>
        <v>1</v>
      </c>
      <c r="L61" s="24" t="n">
        <f aca="false">SUM(C61:K61)</f>
        <v>1</v>
      </c>
      <c r="M61" s="27" t="n">
        <f aca="false">N(Players!H296)</f>
        <v>1</v>
      </c>
      <c r="N61" s="28" t="n">
        <f aca="false">L61-M61</f>
        <v>0</v>
      </c>
    </row>
    <row r="62" customFormat="false" ht="15" hidden="false" customHeight="false" outlineLevel="0" collapsed="false">
      <c r="A62" s="21" t="s">
        <v>1313</v>
      </c>
      <c r="C62" s="24" t="n">
        <f aca="false">SUM(C47:C61)</f>
        <v>20.3406465139153</v>
      </c>
      <c r="D62" s="24" t="n">
        <f aca="false">SUM(D47:D61)</f>
        <v>1.299</v>
      </c>
      <c r="E62" s="24" t="n">
        <f aca="false">SUM(E47:E61)</f>
        <v>2.237</v>
      </c>
      <c r="F62" s="24" t="n">
        <f aca="false">SUM(F47:F61)</f>
        <v>0</v>
      </c>
      <c r="G62" s="24" t="n">
        <f aca="false">SUM(G47:G61)</f>
        <v>3.344595</v>
      </c>
      <c r="H62" s="24" t="n">
        <f aca="false">SUM(H47:H61)</f>
        <v>0.19</v>
      </c>
      <c r="I62" s="24" t="n">
        <f aca="false">SUM(I47:I61)</f>
        <v>0.2</v>
      </c>
      <c r="J62" s="24" t="n">
        <f aca="false">SUM(J47:J61)</f>
        <v>0</v>
      </c>
      <c r="K62" s="24" t="n">
        <f aca="false">SUM(K47:K61)</f>
        <v>18.7099184049844</v>
      </c>
      <c r="L62" s="24" t="n">
        <f aca="false">SUM(L47:L61)</f>
        <v>46.3211599188997</v>
      </c>
      <c r="M62" s="24" t="n">
        <f aca="false">SUM(M47:M61)</f>
        <v>46.3211599188997</v>
      </c>
      <c r="N62" s="24" t="n">
        <f aca="false">SUM(N47:N61)</f>
        <v>0</v>
      </c>
    </row>
    <row r="63" customFormat="false" ht="17.15" hidden="false" customHeight="false" outlineLevel="0" collapsed="false">
      <c r="A63" s="5" t="s">
        <v>1314</v>
      </c>
      <c r="D63" s="24" t="n">
        <f aca="false">IF(In!L156="","",IF(In!$C$156="設施",In!L156/Players!H$13,In!L156))</f>
        <v>11</v>
      </c>
      <c r="L63" s="29" t="n">
        <f aca="false">IF(OR(D63="",N(D63)=0),"",D62/D63)</f>
        <v>0.118090909090909</v>
      </c>
      <c r="M63" s="5" t="s">
        <v>1315</v>
      </c>
    </row>
    <row r="64" customFormat="false" ht="17.15" hidden="false" customHeight="false" outlineLevel="0" collapsed="false">
      <c r="A64" s="5" t="s">
        <v>1316</v>
      </c>
      <c r="E64" s="24" t="n">
        <f aca="false">IF(In!L157="","",IF(In!$C$157="設施",In!L157/Players!H$13,In!L157))</f>
        <v>10</v>
      </c>
      <c r="L64" s="29" t="n">
        <f aca="false">IF(OR(E64="",N(E64)=0),"",E62/E64)</f>
        <v>0.2237</v>
      </c>
      <c r="M64" s="5" t="s">
        <v>1315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19" min="3" style="0" width="9"/>
  </cols>
  <sheetData>
    <row r="1" customFormat="false" ht="17.15" hidden="false" customHeight="false" outlineLevel="0" collapsed="false">
      <c r="A1" s="0" t="s">
        <v>1319</v>
      </c>
    </row>
    <row r="3" customFormat="false" ht="17.15" hidden="false" customHeight="false" outlineLevel="0" collapsed="false">
      <c r="A3" s="8" t="s">
        <v>1320</v>
      </c>
    </row>
    <row r="4" customFormat="false" ht="17.15" hidden="false" customHeight="false" outlineLevel="0" collapsed="false">
      <c r="A4" s="6" t="s">
        <v>1321</v>
      </c>
      <c r="B4" s="6" t="s">
        <v>1322</v>
      </c>
      <c r="C4" s="6" t="s">
        <v>499</v>
      </c>
      <c r="D4" s="6" t="s">
        <v>500</v>
      </c>
      <c r="E4" s="7" t="s">
        <v>112</v>
      </c>
      <c r="F4" s="6" t="s">
        <v>16</v>
      </c>
      <c r="G4" s="6" t="s">
        <v>558</v>
      </c>
      <c r="H4" s="6" t="s">
        <v>555</v>
      </c>
      <c r="I4" s="6" t="s">
        <v>556</v>
      </c>
      <c r="J4" s="6" t="s">
        <v>557</v>
      </c>
      <c r="K4" s="7" t="s">
        <v>1323</v>
      </c>
      <c r="L4" s="7" t="s">
        <v>1324</v>
      </c>
      <c r="M4" s="7" t="s">
        <v>1325</v>
      </c>
      <c r="N4" s="7" t="s">
        <v>1326</v>
      </c>
      <c r="O4" s="7" t="s">
        <v>1327</v>
      </c>
      <c r="P4" s="7" t="s">
        <v>1328</v>
      </c>
      <c r="Q4" s="6" t="s">
        <v>1329</v>
      </c>
      <c r="R4" s="7" t="s">
        <v>1330</v>
      </c>
      <c r="S4" s="6" t="s">
        <v>559</v>
      </c>
    </row>
    <row r="5" customFormat="false" ht="15" hidden="false" customHeight="false" outlineLevel="0" collapsed="false">
      <c r="A5" s="0" t="s">
        <v>560</v>
      </c>
      <c r="B5" s="19" t="str">
        <f aca="false">In!B186</f>
        <v>Fairwater Atlanta</v>
      </c>
      <c r="C5" s="19" t="str">
        <f aca="false">IF(In!H186="","",In!H186)</f>
        <v>msft</v>
      </c>
      <c r="D5" s="19" t="str">
        <f aca="false">IF(In!I186="","",In!I186)</f>
        <v/>
      </c>
      <c r="E5" s="19" t="n">
        <f aca="false">IF(In!J186="","",In!J186)</f>
        <v>321</v>
      </c>
      <c r="F5" s="19" t="str">
        <f aca="false">In!C186</f>
        <v>IT</v>
      </c>
      <c r="G5" s="19" t="n">
        <f aca="false">IF(In!N186="","",In!N186)</f>
        <v>1</v>
      </c>
      <c r="H5" s="19" t="n">
        <f aca="false">IF(In!K186="","",In!K186)</f>
        <v>2025</v>
      </c>
      <c r="I5" s="19" t="n">
        <f aca="false">IF(In!L186="","",In!L186)</f>
        <v>10</v>
      </c>
      <c r="J5" s="19" t="n">
        <f aca="false">N(In!M186)</f>
        <v>0</v>
      </c>
      <c r="K5" s="24" t="n">
        <f aca="false">IF(OR(H5="",I5=""),9999,H5+I5/12)</f>
        <v>2025.83333333333</v>
      </c>
      <c r="L5" s="24" t="n">
        <f aca="false">IF(E5="",0,IF(F5="設施",E5/1000/INDEX(Players!$D$13:$M$13,1,MAX(1,MIN(10,H5-2022))),E5/1000*g_ITtoFac))</f>
        <v>0.321</v>
      </c>
      <c r="M5" s="24" t="n">
        <f aca="false">K5</f>
        <v>2025.83333333333</v>
      </c>
      <c r="N5" s="24" t="n">
        <f aca="false">IF(K5&gt;asof,K5+N(J5)/12,K5)</f>
        <v>2025.83333333333</v>
      </c>
      <c r="O5" s="24" t="n">
        <f aca="false">IF(K5&gt;asof,K5+IF(N(J5)&gt;0,N(J5),dly_d1_m)/12,K5)</f>
        <v>2025.83333333333</v>
      </c>
      <c r="P5" s="20" t="n">
        <f aca="false">IF(K5=9999,"",ROUNDUP(K5,0)-1)</f>
        <v>2025</v>
      </c>
      <c r="Q5" s="20" t="n">
        <f aca="false">IF(AND(N(G5)=1,K5&lt;9999,L5&gt;0),1,0)</f>
        <v>1</v>
      </c>
      <c r="R5" s="20" t="n">
        <f aca="false">IF(AND(K5&gt;asof,K5&lt;9999,N(S5)&lt;&gt;1,P5&gt;=dly_d2_y0,P5&lt;=dly_d2_y1),1,0)</f>
        <v>0</v>
      </c>
      <c r="S5" s="19" t="n">
        <f aca="false">IF(In!O186="","",In!O186)</f>
        <v>0</v>
      </c>
    </row>
    <row r="6" customFormat="false" ht="17.15" hidden="false" customHeight="false" outlineLevel="0" collapsed="false">
      <c r="A6" s="0" t="s">
        <v>563</v>
      </c>
      <c r="B6" s="19" t="str">
        <f aca="false">In!B187</f>
        <v>Fairwater Wisconsin 一期</v>
      </c>
      <c r="C6" s="19" t="str">
        <f aca="false">IF(In!H187="","",In!H187)</f>
        <v>msft</v>
      </c>
      <c r="D6" s="19" t="str">
        <f aca="false">IF(In!I187="","",In!I187)</f>
        <v/>
      </c>
      <c r="E6" s="19" t="n">
        <f aca="false">IF(In!J187="","",In!J187)</f>
        <v>369</v>
      </c>
      <c r="F6" s="19" t="str">
        <f aca="false">In!C187</f>
        <v>IT</v>
      </c>
      <c r="G6" s="19" t="n">
        <f aca="false">IF(In!N187="","",In!N187)</f>
        <v>1</v>
      </c>
      <c r="H6" s="19" t="n">
        <f aca="false">IF(In!K187="","",In!K187)</f>
        <v>2026</v>
      </c>
      <c r="I6" s="19" t="n">
        <f aca="false">IF(In!L187="","",In!L187)</f>
        <v>4</v>
      </c>
      <c r="J6" s="19" t="n">
        <f aca="false">N(In!M187)</f>
        <v>0</v>
      </c>
      <c r="K6" s="24" t="n">
        <f aca="false">IF(OR(H6="",I6=""),9999,H6+I6/12)</f>
        <v>2026.33333333333</v>
      </c>
      <c r="L6" s="24" t="n">
        <f aca="false">IF(E6="",0,IF(F6="設施",E6/1000/INDEX(Players!$D$13:$M$13,1,MAX(1,MIN(10,H6-2022))),E6/1000*g_ITtoFac))</f>
        <v>0.369</v>
      </c>
      <c r="M6" s="24" t="n">
        <f aca="false">K6</f>
        <v>2026.33333333333</v>
      </c>
      <c r="N6" s="24" t="n">
        <f aca="false">IF(K6&gt;asof,K6+N(J6)/12,K6)</f>
        <v>2026.33333333333</v>
      </c>
      <c r="O6" s="24" t="n">
        <f aca="false">IF(K6&gt;asof,K6+IF(N(J6)&gt;0,N(J6),dly_d1_m)/12,K6)</f>
        <v>2026.33333333333</v>
      </c>
      <c r="P6" s="20" t="n">
        <f aca="false">IF(K6=9999,"",ROUNDUP(K6,0)-1)</f>
        <v>2026</v>
      </c>
      <c r="Q6" s="20" t="n">
        <f aca="false">IF(AND(N(G6)=1,K6&lt;9999,L6&gt;0),1,0)</f>
        <v>1</v>
      </c>
      <c r="R6" s="20" t="n">
        <f aca="false">IF(AND(K6&gt;asof,K6&lt;9999,N(S6)&lt;&gt;1,P6&gt;=dly_d2_y0,P6&lt;=dly_d2_y1),1,0)</f>
        <v>0</v>
      </c>
      <c r="S6" s="19" t="n">
        <f aca="false">IF(In!O187="","",In!O187)</f>
        <v>0</v>
      </c>
    </row>
    <row r="7" customFormat="false" ht="17.15" hidden="false" customHeight="false" outlineLevel="0" collapsed="false">
      <c r="A7" s="0" t="s">
        <v>566</v>
      </c>
      <c r="B7" s="19" t="str">
        <f aca="false">In!B188</f>
        <v>Fairwater Wisconsin 全站餘量（2,263 − 369）</v>
      </c>
      <c r="C7" s="19" t="str">
        <f aca="false">IF(In!H188="","",In!H188)</f>
        <v>msft</v>
      </c>
      <c r="D7" s="19" t="str">
        <f aca="false">IF(In!I188="","",In!I188)</f>
        <v/>
      </c>
      <c r="E7" s="19" t="n">
        <f aca="false">IF(In!J188="","",In!J188)</f>
        <v>1526</v>
      </c>
      <c r="F7" s="19" t="str">
        <f aca="false">In!C188</f>
        <v>IT</v>
      </c>
      <c r="G7" s="19" t="n">
        <f aca="false">IF(In!N188="","",In!N188)</f>
        <v>1</v>
      </c>
      <c r="H7" s="19" t="n">
        <f aca="false">IF(In!K188="","",In!K188)</f>
        <v>2028</v>
      </c>
      <c r="I7" s="19" t="n">
        <f aca="false">IF(In!L188="","",In!L188)</f>
        <v>5</v>
      </c>
      <c r="J7" s="19" t="n">
        <f aca="false">N(In!M188)</f>
        <v>0</v>
      </c>
      <c r="K7" s="24" t="n">
        <f aca="false">IF(OR(H7="",I7=""),9999,H7+I7/12)</f>
        <v>2028.41666666667</v>
      </c>
      <c r="L7" s="24" t="n">
        <f aca="false">IF(E7="",0,IF(F7="設施",E7/1000/INDEX(Players!$D$13:$M$13,1,MAX(1,MIN(10,H7-2022))),E7/1000*g_ITtoFac))</f>
        <v>1.526</v>
      </c>
      <c r="M7" s="24" t="n">
        <f aca="false">K7</f>
        <v>2028.41666666667</v>
      </c>
      <c r="N7" s="24" t="n">
        <f aca="false">IF(K7&gt;asof,K7+N(J7)/12,K7)</f>
        <v>2028.41666666667</v>
      </c>
      <c r="O7" s="24" t="n">
        <f aca="false">IF(K7&gt;asof,K7+IF(N(J7)&gt;0,N(J7),dly_d1_m)/12,K7)</f>
        <v>2028.91666666667</v>
      </c>
      <c r="P7" s="20" t="n">
        <f aca="false">IF(K7=9999,"",ROUNDUP(K7,0)-1)</f>
        <v>2028</v>
      </c>
      <c r="Q7" s="20" t="n">
        <f aca="false">IF(AND(N(G7)=1,K7&lt;9999,L7&gt;0),1,0)</f>
        <v>1</v>
      </c>
      <c r="R7" s="20" t="n">
        <f aca="false">IF(AND(K7&gt;asof,K7&lt;9999,N(S7)&lt;&gt;1,P7&gt;=dly_d2_y0,P7&lt;=dly_d2_y1),1,0)</f>
        <v>1</v>
      </c>
      <c r="S7" s="19" t="n">
        <f aca="false">IF(In!O188="","",In!O188)</f>
        <v>0</v>
      </c>
    </row>
    <row r="8" customFormat="false" ht="17.15" hidden="false" customHeight="false" outlineLevel="0" collapsed="false">
      <c r="A8" s="0" t="s">
        <v>569</v>
      </c>
      <c r="B8" s="19" t="str">
        <f aca="false">In!B189</f>
        <v>Abilene 鄰近園區（Crusoe 開發、Microsoft 承租）</v>
      </c>
      <c r="C8" s="19" t="str">
        <f aca="false">IF(In!H189="","",In!H189)</f>
        <v>msft</v>
      </c>
      <c r="D8" s="19" t="str">
        <f aca="false">IF(In!I189="","",In!I189)</f>
        <v>self</v>
      </c>
      <c r="E8" s="19" t="n">
        <f aca="false">IF(In!J189="","",In!J189)</f>
        <v>336</v>
      </c>
      <c r="F8" s="19" t="str">
        <f aca="false">In!C189</f>
        <v>IT</v>
      </c>
      <c r="G8" s="19" t="n">
        <f aca="false">IF(In!N189="","",In!N189)</f>
        <v>1</v>
      </c>
      <c r="H8" s="19" t="n">
        <f aca="false">IF(In!K189="","",In!K189)</f>
        <v>2027</v>
      </c>
      <c r="I8" s="19" t="n">
        <f aca="false">IF(In!L189="","",In!L189)</f>
        <v>6</v>
      </c>
      <c r="J8" s="19" t="n">
        <f aca="false">N(In!M189)</f>
        <v>0</v>
      </c>
      <c r="K8" s="24" t="n">
        <f aca="false">IF(OR(H8="",I8=""),9999,H8+I8/12)</f>
        <v>2027.5</v>
      </c>
      <c r="L8" s="24" t="n">
        <f aca="false">IF(E8="",0,IF(F8="設施",E8/1000/INDEX(Players!$D$13:$M$13,1,MAX(1,MIN(10,H8-2022))),E8/1000*g_ITtoFac))</f>
        <v>0.336</v>
      </c>
      <c r="M8" s="24" t="n">
        <f aca="false">K8</f>
        <v>2027.5</v>
      </c>
      <c r="N8" s="24" t="n">
        <f aca="false">IF(K8&gt;asof,K8+N(J8)/12,K8)</f>
        <v>2027.5</v>
      </c>
      <c r="O8" s="24" t="n">
        <f aca="false">IF(K8&gt;asof,K8+IF(N(J8)&gt;0,N(J8),dly_d1_m)/12,K8)</f>
        <v>2028</v>
      </c>
      <c r="P8" s="20" t="n">
        <f aca="false">IF(K8=9999,"",ROUNDUP(K8,0)-1)</f>
        <v>2027</v>
      </c>
      <c r="Q8" s="20" t="n">
        <f aca="false">IF(AND(N(G8)=1,K8&lt;9999,L8&gt;0),1,0)</f>
        <v>1</v>
      </c>
      <c r="R8" s="20" t="n">
        <f aca="false">IF(AND(K8&gt;asof,K8&lt;9999,N(S8)&lt;&gt;1,P8&gt;=dly_d2_y0,P8&lt;=dly_d2_y1),1,0)</f>
        <v>1</v>
      </c>
      <c r="S8" s="19" t="n">
        <f aca="false">IF(In!O189="","",In!O189)</f>
        <v>0</v>
      </c>
    </row>
    <row r="9" customFormat="false" ht="17.15" hidden="false" customHeight="false" outlineLevel="0" collapsed="false">
      <c r="A9" s="0" t="s">
        <v>572</v>
      </c>
      <c r="B9" s="19" t="str">
        <f aca="false">In!B190</f>
        <v>New Carlisle（Rainier）2026-03→10 增量</v>
      </c>
      <c r="C9" s="19" t="str">
        <f aca="false">IF(In!H190="","",In!H190)</f>
        <v>amzn</v>
      </c>
      <c r="D9" s="19" t="str">
        <f aca="false">IF(In!I190="","",In!I190)</f>
        <v>ant</v>
      </c>
      <c r="E9" s="19" t="n">
        <f aca="false">IF(In!J190="","",In!J190)</f>
        <v>127</v>
      </c>
      <c r="F9" s="19" t="str">
        <f aca="false">In!C190</f>
        <v>IT</v>
      </c>
      <c r="G9" s="19" t="n">
        <f aca="false">IF(In!N190="","",In!N190)</f>
        <v>1</v>
      </c>
      <c r="H9" s="19" t="n">
        <f aca="false">IF(In!K190="","",In!K190)</f>
        <v>2026</v>
      </c>
      <c r="I9" s="19" t="n">
        <f aca="false">IF(In!L190="","",In!L190)</f>
        <v>10</v>
      </c>
      <c r="J9" s="19" t="n">
        <f aca="false">N(In!M190)</f>
        <v>0</v>
      </c>
      <c r="K9" s="24" t="n">
        <f aca="false">IF(OR(H9="",I9=""),9999,H9+I9/12)</f>
        <v>2026.83333333333</v>
      </c>
      <c r="L9" s="24" t="n">
        <f aca="false">IF(E9="",0,IF(F9="設施",E9/1000/INDEX(Players!$D$13:$M$13,1,MAX(1,MIN(10,H9-2022))),E9/1000*g_ITtoFac))</f>
        <v>0.127</v>
      </c>
      <c r="M9" s="24" t="n">
        <f aca="false">K9</f>
        <v>2026.83333333333</v>
      </c>
      <c r="N9" s="24" t="n">
        <f aca="false">IF(K9&gt;asof,K9+N(J9)/12,K9)</f>
        <v>2026.83333333333</v>
      </c>
      <c r="O9" s="24" t="n">
        <f aca="false">IF(K9&gt;asof,K9+IF(N(J9)&gt;0,N(J9),dly_d1_m)/12,K9)</f>
        <v>2027.33333333333</v>
      </c>
      <c r="P9" s="20" t="n">
        <f aca="false">IF(K9=9999,"",ROUNDUP(K9,0)-1)</f>
        <v>2026</v>
      </c>
      <c r="Q9" s="20" t="n">
        <f aca="false">IF(AND(N(G9)=1,K9&lt;9999,L9&gt;0),1,0)</f>
        <v>1</v>
      </c>
      <c r="R9" s="20" t="n">
        <f aca="false">IF(AND(K9&gt;asof,K9&lt;9999,N(S9)&lt;&gt;1,P9&gt;=dly_d2_y0,P9&lt;=dly_d2_y1),1,0)</f>
        <v>0</v>
      </c>
      <c r="S9" s="19" t="n">
        <f aca="false">IF(In!O190="","",In!O190)</f>
        <v>0</v>
      </c>
    </row>
    <row r="10" customFormat="false" ht="17.15" hidden="false" customHeight="false" outlineLevel="0" collapsed="false">
      <c r="A10" s="0" t="s">
        <v>575</v>
      </c>
      <c r="B10" s="19" t="str">
        <f aca="false">In!B191</f>
        <v>New Carlisle 至 2028 年 1,925 增量</v>
      </c>
      <c r="C10" s="19" t="str">
        <f aca="false">IF(In!H191="","",In!H191)</f>
        <v>amzn</v>
      </c>
      <c r="D10" s="19" t="str">
        <f aca="false">IF(In!I191="","",In!I191)</f>
        <v>ant</v>
      </c>
      <c r="E10" s="19" t="n">
        <f aca="false">IF(In!J191="","",In!J191)</f>
        <v>888</v>
      </c>
      <c r="F10" s="19" t="str">
        <f aca="false">In!C191</f>
        <v>IT</v>
      </c>
      <c r="G10" s="19" t="n">
        <f aca="false">IF(In!N191="","",In!N191)</f>
        <v>1</v>
      </c>
      <c r="H10" s="19" t="n">
        <f aca="false">IF(In!K191="","",In!K191)</f>
        <v>2028</v>
      </c>
      <c r="I10" s="19" t="n">
        <f aca="false">IF(In!L191="","",In!L191)</f>
        <v>6</v>
      </c>
      <c r="J10" s="19" t="n">
        <f aca="false">N(In!M191)</f>
        <v>0</v>
      </c>
      <c r="K10" s="24" t="n">
        <f aca="false">IF(OR(H10="",I10=""),9999,H10+I10/12)</f>
        <v>2028.5</v>
      </c>
      <c r="L10" s="24" t="n">
        <f aca="false">IF(E10="",0,IF(F10="設施",E10/1000/INDEX(Players!$D$13:$M$13,1,MAX(1,MIN(10,H10-2022))),E10/1000*g_ITtoFac))</f>
        <v>0.888</v>
      </c>
      <c r="M10" s="24" t="n">
        <f aca="false">K10</f>
        <v>2028.5</v>
      </c>
      <c r="N10" s="24" t="n">
        <f aca="false">IF(K10&gt;asof,K10+N(J10)/12,K10)</f>
        <v>2028.5</v>
      </c>
      <c r="O10" s="24" t="n">
        <f aca="false">IF(K10&gt;asof,K10+IF(N(J10)&gt;0,N(J10),dly_d1_m)/12,K10)</f>
        <v>2029</v>
      </c>
      <c r="P10" s="20" t="n">
        <f aca="false">IF(K10=9999,"",ROUNDUP(K10,0)-1)</f>
        <v>2028</v>
      </c>
      <c r="Q10" s="20" t="n">
        <f aca="false">IF(AND(N(G10)=1,K10&lt;9999,L10&gt;0),1,0)</f>
        <v>1</v>
      </c>
      <c r="R10" s="20" t="n">
        <f aca="false">IF(AND(K10&gt;asof,K10&lt;9999,N(S10)&lt;&gt;1,P10&gt;=dly_d2_y0,P10&lt;=dly_d2_y1),1,0)</f>
        <v>1</v>
      </c>
      <c r="S10" s="19" t="n">
        <f aca="false">IF(In!O191="","",In!O191)</f>
        <v>0</v>
      </c>
    </row>
    <row r="11" customFormat="false" ht="17.15" hidden="false" customHeight="false" outlineLevel="0" collapsed="false">
      <c r="A11" s="0" t="s">
        <v>578</v>
      </c>
      <c r="B11" s="19" t="str">
        <f aca="false">In!B192</f>
        <v>Prometheus（New Albany）至 2026-08</v>
      </c>
      <c r="C11" s="19" t="str">
        <f aca="false">IF(In!H192="","",In!H192)</f>
        <v>meta</v>
      </c>
      <c r="D11" s="19" t="str">
        <f aca="false">IF(In!I192="","",In!I192)</f>
        <v>meta</v>
      </c>
      <c r="E11" s="19" t="n">
        <f aca="false">IF(In!J192="","",In!J192)</f>
        <v>471</v>
      </c>
      <c r="F11" s="19" t="str">
        <f aca="false">In!C192</f>
        <v>IT</v>
      </c>
      <c r="G11" s="19" t="n">
        <f aca="false">IF(In!N192="","",In!N192)</f>
        <v>1</v>
      </c>
      <c r="H11" s="19" t="n">
        <f aca="false">IF(In!K192="","",In!K192)</f>
        <v>2026</v>
      </c>
      <c r="I11" s="19" t="n">
        <f aca="false">IF(In!L192="","",In!L192)</f>
        <v>8</v>
      </c>
      <c r="J11" s="19" t="n">
        <f aca="false">N(In!M192)</f>
        <v>0</v>
      </c>
      <c r="K11" s="24" t="n">
        <f aca="false">IF(OR(H11="",I11=""),9999,H11+I11/12)</f>
        <v>2026.66666666667</v>
      </c>
      <c r="L11" s="24" t="n">
        <f aca="false">IF(E11="",0,IF(F11="設施",E11/1000/INDEX(Players!$D$13:$M$13,1,MAX(1,MIN(10,H11-2022))),E11/1000*g_ITtoFac))</f>
        <v>0.471</v>
      </c>
      <c r="M11" s="24" t="n">
        <f aca="false">K11</f>
        <v>2026.66666666667</v>
      </c>
      <c r="N11" s="24" t="n">
        <f aca="false">IF(K11&gt;asof,K11+N(J11)/12,K11)</f>
        <v>2026.66666666667</v>
      </c>
      <c r="O11" s="24" t="n">
        <f aca="false">IF(K11&gt;asof,K11+IF(N(J11)&gt;0,N(J11),dly_d1_m)/12,K11)</f>
        <v>2026.66666666667</v>
      </c>
      <c r="P11" s="20" t="n">
        <f aca="false">IF(K11=9999,"",ROUNDUP(K11,0)-1)</f>
        <v>2026</v>
      </c>
      <c r="Q11" s="20" t="n">
        <f aca="false">IF(AND(N(G11)=1,K11&lt;9999,L11&gt;0),1,0)</f>
        <v>1</v>
      </c>
      <c r="R11" s="20" t="n">
        <f aca="false">IF(AND(K11&gt;asof,K11&lt;9999,N(S11)&lt;&gt;1,P11&gt;=dly_d2_y0,P11&lt;=dly_d2_y1),1,0)</f>
        <v>0</v>
      </c>
      <c r="S11" s="19" t="n">
        <f aca="false">IF(In!O192="","",In!O192)</f>
        <v>0</v>
      </c>
    </row>
    <row r="12" customFormat="false" ht="17.15" hidden="false" customHeight="false" outlineLevel="0" collapsed="false">
      <c r="A12" s="0" t="s">
        <v>581</v>
      </c>
      <c r="B12" s="19" t="str">
        <f aca="false">In!B193</f>
        <v>Prometheus 2026-11 增量</v>
      </c>
      <c r="C12" s="19" t="str">
        <f aca="false">IF(In!H193="","",In!H193)</f>
        <v>meta</v>
      </c>
      <c r="D12" s="19" t="str">
        <f aca="false">IF(In!I193="","",In!I193)</f>
        <v>meta</v>
      </c>
      <c r="E12" s="19" t="n">
        <f aca="false">IF(In!J193="","",In!J193)</f>
        <v>205</v>
      </c>
      <c r="F12" s="19" t="str">
        <f aca="false">In!C193</f>
        <v>IT</v>
      </c>
      <c r="G12" s="19" t="n">
        <f aca="false">IF(In!N193="","",In!N193)</f>
        <v>1</v>
      </c>
      <c r="H12" s="19" t="n">
        <f aca="false">IF(In!K193="","",In!K193)</f>
        <v>2026</v>
      </c>
      <c r="I12" s="19" t="n">
        <f aca="false">IF(In!L193="","",In!L193)</f>
        <v>11</v>
      </c>
      <c r="J12" s="19" t="n">
        <f aca="false">N(In!M193)</f>
        <v>0</v>
      </c>
      <c r="K12" s="24" t="n">
        <f aca="false">IF(OR(H12="",I12=""),9999,H12+I12/12)</f>
        <v>2026.91666666667</v>
      </c>
      <c r="L12" s="24" t="n">
        <f aca="false">IF(E12="",0,IF(F12="設施",E12/1000/INDEX(Players!$D$13:$M$13,1,MAX(1,MIN(10,H12-2022))),E12/1000*g_ITtoFac))</f>
        <v>0.205</v>
      </c>
      <c r="M12" s="24" t="n">
        <f aca="false">K12</f>
        <v>2026.91666666667</v>
      </c>
      <c r="N12" s="24" t="n">
        <f aca="false">IF(K12&gt;asof,K12+N(J12)/12,K12)</f>
        <v>2026.91666666667</v>
      </c>
      <c r="O12" s="24" t="n">
        <f aca="false">IF(K12&gt;asof,K12+IF(N(J12)&gt;0,N(J12),dly_d1_m)/12,K12)</f>
        <v>2027.41666666667</v>
      </c>
      <c r="P12" s="20" t="n">
        <f aca="false">IF(K12=9999,"",ROUNDUP(K12,0)-1)</f>
        <v>2026</v>
      </c>
      <c r="Q12" s="20" t="n">
        <f aca="false">IF(AND(N(G12)=1,K12&lt;9999,L12&gt;0),1,0)</f>
        <v>1</v>
      </c>
      <c r="R12" s="20" t="n">
        <f aca="false">IF(AND(K12&gt;asof,K12&lt;9999,N(S12)&lt;&gt;1,P12&gt;=dly_d2_y0,P12&lt;=dly_d2_y1),1,0)</f>
        <v>0</v>
      </c>
      <c r="S12" s="19" t="n">
        <f aca="false">IF(In!O193="","",In!O193)</f>
        <v>0</v>
      </c>
    </row>
    <row r="13" customFormat="false" ht="17.15" hidden="false" customHeight="false" outlineLevel="0" collapsed="false">
      <c r="A13" s="0" t="s">
        <v>584</v>
      </c>
      <c r="B13" s="19" t="str">
        <f aca="false">In!B194</f>
        <v>Prometheus 2027-07 增量</v>
      </c>
      <c r="C13" s="19" t="str">
        <f aca="false">IF(In!H194="","",In!H194)</f>
        <v>meta</v>
      </c>
      <c r="D13" s="19" t="str">
        <f aca="false">IF(In!I194="","",In!I194)</f>
        <v>meta</v>
      </c>
      <c r="E13" s="19" t="n">
        <f aca="false">IF(In!J194="","",In!J194)</f>
        <v>192</v>
      </c>
      <c r="F13" s="19" t="str">
        <f aca="false">In!C194</f>
        <v>IT</v>
      </c>
      <c r="G13" s="19" t="n">
        <f aca="false">IF(In!N194="","",In!N194)</f>
        <v>1</v>
      </c>
      <c r="H13" s="19" t="n">
        <f aca="false">IF(In!K194="","",In!K194)</f>
        <v>2027</v>
      </c>
      <c r="I13" s="19" t="n">
        <f aca="false">IF(In!L194="","",In!L194)</f>
        <v>7</v>
      </c>
      <c r="J13" s="19" t="n">
        <f aca="false">N(In!M194)</f>
        <v>0</v>
      </c>
      <c r="K13" s="24" t="n">
        <f aca="false">IF(OR(H13="",I13=""),9999,H13+I13/12)</f>
        <v>2027.58333333333</v>
      </c>
      <c r="L13" s="24" t="n">
        <f aca="false">IF(E13="",0,IF(F13="設施",E13/1000/INDEX(Players!$D$13:$M$13,1,MAX(1,MIN(10,H13-2022))),E13/1000*g_ITtoFac))</f>
        <v>0.192</v>
      </c>
      <c r="M13" s="24" t="n">
        <f aca="false">K13</f>
        <v>2027.58333333333</v>
      </c>
      <c r="N13" s="24" t="n">
        <f aca="false">IF(K13&gt;asof,K13+N(J13)/12,K13)</f>
        <v>2027.58333333333</v>
      </c>
      <c r="O13" s="24" t="n">
        <f aca="false">IF(K13&gt;asof,K13+IF(N(J13)&gt;0,N(J13),dly_d1_m)/12,K13)</f>
        <v>2028.08333333333</v>
      </c>
      <c r="P13" s="20" t="n">
        <f aca="false">IF(K13=9999,"",ROUNDUP(K13,0)-1)</f>
        <v>2027</v>
      </c>
      <c r="Q13" s="20" t="n">
        <f aca="false">IF(AND(N(G13)=1,K13&lt;9999,L13&gt;0),1,0)</f>
        <v>1</v>
      </c>
      <c r="R13" s="20" t="n">
        <f aca="false">IF(AND(K13&gt;asof,K13&lt;9999,N(S13)&lt;&gt;1,P13&gt;=dly_d2_y0,P13&lt;=dly_d2_y1),1,0)</f>
        <v>0</v>
      </c>
      <c r="S13" s="19" t="n">
        <f aca="false">IF(In!O194="","",In!O194)</f>
        <v>1</v>
      </c>
    </row>
    <row r="14" customFormat="false" ht="17.15" hidden="false" customHeight="false" outlineLevel="0" collapsed="false">
      <c r="A14" s="0" t="s">
        <v>587</v>
      </c>
      <c r="B14" s="19" t="str">
        <f aca="false">In!B195</f>
        <v>Prometheus 2028Q3 增量</v>
      </c>
      <c r="C14" s="19" t="str">
        <f aca="false">IF(In!H195="","",In!H195)</f>
        <v>meta</v>
      </c>
      <c r="D14" s="19" t="str">
        <f aca="false">IF(In!I195="","",In!I195)</f>
        <v>meta</v>
      </c>
      <c r="E14" s="19" t="n">
        <f aca="false">IF(In!J195="","",In!J195)</f>
        <v>154</v>
      </c>
      <c r="F14" s="19" t="str">
        <f aca="false">In!C195</f>
        <v>IT</v>
      </c>
      <c r="G14" s="19" t="n">
        <f aca="false">IF(In!N195="","",In!N195)</f>
        <v>1</v>
      </c>
      <c r="H14" s="19" t="n">
        <f aca="false">IF(In!K195="","",In!K195)</f>
        <v>2028</v>
      </c>
      <c r="I14" s="19" t="n">
        <f aca="false">IF(In!L195="","",In!L195)</f>
        <v>7</v>
      </c>
      <c r="J14" s="19" t="n">
        <f aca="false">N(In!M195)</f>
        <v>0</v>
      </c>
      <c r="K14" s="24" t="n">
        <f aca="false">IF(OR(H14="",I14=""),9999,H14+I14/12)</f>
        <v>2028.58333333333</v>
      </c>
      <c r="L14" s="24" t="n">
        <f aca="false">IF(E14="",0,IF(F14="設施",E14/1000/INDEX(Players!$D$13:$M$13,1,MAX(1,MIN(10,H14-2022))),E14/1000*g_ITtoFac))</f>
        <v>0.154</v>
      </c>
      <c r="M14" s="24" t="n">
        <f aca="false">K14</f>
        <v>2028.58333333333</v>
      </c>
      <c r="N14" s="24" t="n">
        <f aca="false">IF(K14&gt;asof,K14+N(J14)/12,K14)</f>
        <v>2028.58333333333</v>
      </c>
      <c r="O14" s="24" t="n">
        <f aca="false">IF(K14&gt;asof,K14+IF(N(J14)&gt;0,N(J14),dly_d1_m)/12,K14)</f>
        <v>2029.08333333333</v>
      </c>
      <c r="P14" s="20" t="n">
        <f aca="false">IF(K14=9999,"",ROUNDUP(K14,0)-1)</f>
        <v>2028</v>
      </c>
      <c r="Q14" s="20" t="n">
        <f aca="false">IF(AND(N(G14)=1,K14&lt;9999,L14&gt;0),1,0)</f>
        <v>1</v>
      </c>
      <c r="R14" s="20" t="n">
        <f aca="false">IF(AND(K14&gt;asof,K14&lt;9999,N(S14)&lt;&gt;1,P14&gt;=dly_d2_y0,P14&lt;=dly_d2_y1),1,0)</f>
        <v>0</v>
      </c>
      <c r="S14" s="19" t="n">
        <f aca="false">IF(In!O195="","",In!O195)</f>
        <v>1</v>
      </c>
    </row>
    <row r="15" customFormat="false" ht="17.15" hidden="false" customHeight="false" outlineLevel="0" collapsed="false">
      <c r="A15" s="0" t="s">
        <v>590</v>
      </c>
      <c r="B15" s="19" t="str">
        <f aca="false">In!B196</f>
        <v>Hyperion 一期</v>
      </c>
      <c r="C15" s="19" t="str">
        <f aca="false">IF(In!H196="","",In!H196)</f>
        <v>meta</v>
      </c>
      <c r="D15" s="19" t="str">
        <f aca="false">IF(In!I196="","",In!I196)</f>
        <v>meta</v>
      </c>
      <c r="E15" s="19" t="n">
        <f aca="false">IF(In!J196="","",In!J196)</f>
        <v>1632</v>
      </c>
      <c r="F15" s="19" t="str">
        <f aca="false">In!C196</f>
        <v>IT</v>
      </c>
      <c r="G15" s="19" t="n">
        <f aca="false">IF(In!N196="","",In!N196)</f>
        <v>1</v>
      </c>
      <c r="H15" s="19" t="n">
        <f aca="false">IF(In!K196="","",In!K196)</f>
        <v>2028</v>
      </c>
      <c r="I15" s="19" t="n">
        <f aca="false">IF(In!L196="","",In!L196)</f>
        <v>1</v>
      </c>
      <c r="J15" s="19" t="n">
        <f aca="false">N(In!M196)</f>
        <v>0</v>
      </c>
      <c r="K15" s="24" t="n">
        <f aca="false">IF(OR(H15="",I15=""),9999,H15+I15/12)</f>
        <v>2028.08333333333</v>
      </c>
      <c r="L15" s="24" t="n">
        <f aca="false">IF(E15="",0,IF(F15="設施",E15/1000/INDEX(Players!$D$13:$M$13,1,MAX(1,MIN(10,H15-2022))),E15/1000*g_ITtoFac))</f>
        <v>1.632</v>
      </c>
      <c r="M15" s="24" t="n">
        <f aca="false">K15</f>
        <v>2028.08333333333</v>
      </c>
      <c r="N15" s="24" t="n">
        <f aca="false">IF(K15&gt;asof,K15+N(J15)/12,K15)</f>
        <v>2028.08333333333</v>
      </c>
      <c r="O15" s="24" t="n">
        <f aca="false">IF(K15&gt;asof,K15+IF(N(J15)&gt;0,N(J15),dly_d1_m)/12,K15)</f>
        <v>2028.58333333333</v>
      </c>
      <c r="P15" s="20" t="n">
        <f aca="false">IF(K15=9999,"",ROUNDUP(K15,0)-1)</f>
        <v>2028</v>
      </c>
      <c r="Q15" s="20" t="n">
        <f aca="false">IF(AND(N(G15)=1,K15&lt;9999,L15&gt;0),1,0)</f>
        <v>1</v>
      </c>
      <c r="R15" s="20" t="n">
        <f aca="false">IF(AND(K15&gt;asof,K15&lt;9999,N(S15)&lt;&gt;1,P15&gt;=dly_d2_y0,P15&lt;=dly_d2_y1),1,0)</f>
        <v>0</v>
      </c>
      <c r="S15" s="19" t="n">
        <f aca="false">IF(In!O196="","",In!O196)</f>
        <v>1</v>
      </c>
    </row>
    <row r="16" customFormat="false" ht="17.15" hidden="false" customHeight="false" outlineLevel="0" collapsed="false">
      <c r="A16" s="0" t="s">
        <v>593</v>
      </c>
      <c r="B16" s="19" t="str">
        <f aca="false">In!B197</f>
        <v>Hyperion 至 2 GW（2030 前）</v>
      </c>
      <c r="C16" s="19" t="str">
        <f aca="false">IF(In!H197="","",In!H197)</f>
        <v>meta</v>
      </c>
      <c r="D16" s="19" t="str">
        <f aca="false">IF(In!I197="","",In!I197)</f>
        <v>meta</v>
      </c>
      <c r="E16" s="19" t="n">
        <f aca="false">IF(In!J197="","",In!J197)</f>
        <v>368</v>
      </c>
      <c r="F16" s="19" t="str">
        <f aca="false">In!C197</f>
        <v>未說明</v>
      </c>
      <c r="G16" s="19" t="n">
        <f aca="false">IF(In!N197="","",In!N197)</f>
        <v>1</v>
      </c>
      <c r="H16" s="19" t="n">
        <f aca="false">IF(In!K197="","",In!K197)</f>
        <v>2029</v>
      </c>
      <c r="I16" s="19" t="n">
        <f aca="false">IF(In!L197="","",In!L197)</f>
        <v>12</v>
      </c>
      <c r="J16" s="19" t="n">
        <f aca="false">N(In!M197)</f>
        <v>0</v>
      </c>
      <c r="K16" s="24" t="n">
        <f aca="false">IF(OR(H16="",I16=""),9999,H16+I16/12)</f>
        <v>2030</v>
      </c>
      <c r="L16" s="24" t="n">
        <f aca="false">IF(E16="",0,IF(F16="設施",E16/1000/INDEX(Players!$D$13:$M$13,1,MAX(1,MIN(10,H16-2022))),E16/1000*g_ITtoFac))</f>
        <v>0.368</v>
      </c>
      <c r="M16" s="24" t="n">
        <f aca="false">K16</f>
        <v>2030</v>
      </c>
      <c r="N16" s="24" t="n">
        <f aca="false">IF(K16&gt;asof,K16+N(J16)/12,K16)</f>
        <v>2030</v>
      </c>
      <c r="O16" s="24" t="n">
        <f aca="false">IF(K16&gt;asof,K16+IF(N(J16)&gt;0,N(J16),dly_d1_m)/12,K16)</f>
        <v>2030.5</v>
      </c>
      <c r="P16" s="20" t="n">
        <f aca="false">IF(K16=9999,"",ROUNDUP(K16,0)-1)</f>
        <v>2029</v>
      </c>
      <c r="Q16" s="20" t="n">
        <f aca="false">IF(AND(N(G16)=1,K16&lt;9999,L16&gt;0),1,0)</f>
        <v>1</v>
      </c>
      <c r="R16" s="20" t="n">
        <f aca="false">IF(AND(K16&gt;asof,K16&lt;9999,N(S16)&lt;&gt;1,P16&gt;=dly_d2_y0,P16&lt;=dly_d2_y1),1,0)</f>
        <v>0</v>
      </c>
      <c r="S16" s="19" t="n">
        <f aca="false">IF(In!O197="","",In!O197)</f>
        <v>0</v>
      </c>
    </row>
    <row r="17" customFormat="false" ht="17.15" hidden="false" customHeight="false" outlineLevel="0" collapsed="false">
      <c r="A17" s="0" t="s">
        <v>596</v>
      </c>
      <c r="B17" s="19" t="str">
        <f aca="false">In!B198</f>
        <v>El Paso（BlackRock 80% 合資）</v>
      </c>
      <c r="C17" s="19" t="str">
        <f aca="false">IF(In!H198="","",In!H198)</f>
        <v>meta</v>
      </c>
      <c r="D17" s="19" t="str">
        <f aca="false">IF(In!I198="","",In!I198)</f>
        <v>meta</v>
      </c>
      <c r="E17" s="19" t="n">
        <f aca="false">IF(In!J198="","",In!J198)</f>
        <v>1000</v>
      </c>
      <c r="F17" s="19" t="str">
        <f aca="false">In!C198</f>
        <v>未說明</v>
      </c>
      <c r="G17" s="19" t="n">
        <f aca="false">IF(In!N198="","",In!N198)</f>
        <v>1</v>
      </c>
      <c r="H17" s="19" t="n">
        <f aca="false">IF(In!K198="","",In!K198)</f>
        <v>2028</v>
      </c>
      <c r="I17" s="19" t="n">
        <f aca="false">IF(In!L198="","",In!L198)</f>
        <v>12</v>
      </c>
      <c r="J17" s="19" t="n">
        <f aca="false">N(In!M198)</f>
        <v>0</v>
      </c>
      <c r="K17" s="24" t="n">
        <f aca="false">IF(OR(H17="",I17=""),9999,H17+I17/12)</f>
        <v>2029</v>
      </c>
      <c r="L17" s="24" t="n">
        <f aca="false">IF(E17="",0,IF(F17="設施",E17/1000/INDEX(Players!$D$13:$M$13,1,MAX(1,MIN(10,H17-2022))),E17/1000*g_ITtoFac))</f>
        <v>1</v>
      </c>
      <c r="M17" s="24" t="n">
        <f aca="false">K17</f>
        <v>2029</v>
      </c>
      <c r="N17" s="24" t="n">
        <f aca="false">IF(K17&gt;asof,K17+N(J17)/12,K17)</f>
        <v>2029</v>
      </c>
      <c r="O17" s="24" t="n">
        <f aca="false">IF(K17&gt;asof,K17+IF(N(J17)&gt;0,N(J17),dly_d1_m)/12,K17)</f>
        <v>2029.5</v>
      </c>
      <c r="P17" s="20" t="n">
        <f aca="false">IF(K17=9999,"",ROUNDUP(K17,0)-1)</f>
        <v>2028</v>
      </c>
      <c r="Q17" s="20" t="n">
        <f aca="false">IF(AND(N(G17)=1,K17&lt;9999,L17&gt;0),1,0)</f>
        <v>1</v>
      </c>
      <c r="R17" s="20" t="n">
        <f aca="false">IF(AND(K17&gt;asof,K17&lt;9999,N(S17)&lt;&gt;1,P17&gt;=dly_d2_y0,P17&lt;=dly_d2_y1),1,0)</f>
        <v>1</v>
      </c>
      <c r="S17" s="19" t="n">
        <f aca="false">IF(In!O198="","",In!O198)</f>
        <v>0</v>
      </c>
    </row>
    <row r="18" customFormat="false" ht="17.15" hidden="false" customHeight="false" outlineLevel="0" collapsed="false">
      <c r="A18" s="0" t="s">
        <v>599</v>
      </c>
      <c r="B18" s="19" t="str">
        <f aca="false">In!B199</f>
        <v>Abilene 餘 2 棟（824 − 618）</v>
      </c>
      <c r="C18" s="19" t="str">
        <f aca="false">IF(In!H199="","",In!H199)</f>
        <v>orcl</v>
      </c>
      <c r="D18" s="19" t="str">
        <f aca="false">IF(In!I199="","",In!I199)</f>
        <v>oai</v>
      </c>
      <c r="E18" s="19" t="n">
        <f aca="false">IF(In!J199="","",In!J199)</f>
        <v>206</v>
      </c>
      <c r="F18" s="19" t="str">
        <f aca="false">In!C199</f>
        <v>未說明</v>
      </c>
      <c r="G18" s="19" t="n">
        <f aca="false">IF(In!N199="","",In!N199)</f>
        <v>1</v>
      </c>
      <c r="H18" s="19" t="n">
        <f aca="false">IF(In!K199="","",In!K199)</f>
        <v>2026</v>
      </c>
      <c r="I18" s="19" t="n">
        <f aca="false">IF(In!L199="","",In!L199)</f>
        <v>12</v>
      </c>
      <c r="J18" s="19" t="n">
        <f aca="false">N(In!M199)</f>
        <v>0</v>
      </c>
      <c r="K18" s="24" t="n">
        <f aca="false">IF(OR(H18="",I18=""),9999,H18+I18/12)</f>
        <v>2027</v>
      </c>
      <c r="L18" s="24" t="n">
        <f aca="false">IF(E18="",0,IF(F18="設施",E18/1000/INDEX(Players!$D$13:$M$13,1,MAX(1,MIN(10,H18-2022))),E18/1000*g_ITtoFac))</f>
        <v>0.206</v>
      </c>
      <c r="M18" s="24" t="n">
        <f aca="false">K18</f>
        <v>2027</v>
      </c>
      <c r="N18" s="24" t="n">
        <f aca="false">IF(K18&gt;asof,K18+N(J18)/12,K18)</f>
        <v>2027</v>
      </c>
      <c r="O18" s="24" t="n">
        <f aca="false">IF(K18&gt;asof,K18+IF(N(J18)&gt;0,N(J18),dly_d1_m)/12,K18)</f>
        <v>2027.5</v>
      </c>
      <c r="P18" s="20" t="n">
        <f aca="false">IF(K18=9999,"",ROUNDUP(K18,0)-1)</f>
        <v>2026</v>
      </c>
      <c r="Q18" s="20" t="n">
        <f aca="false">IF(AND(N(G18)=1,K18&lt;9999,L18&gt;0),1,0)</f>
        <v>1</v>
      </c>
      <c r="R18" s="20" t="n">
        <f aca="false">IF(AND(K18&gt;asof,K18&lt;9999,N(S18)&lt;&gt;1,P18&gt;=dly_d2_y0,P18&lt;=dly_d2_y1),1,0)</f>
        <v>0</v>
      </c>
      <c r="S18" s="19" t="n">
        <f aca="false">IF(In!O199="","",In!O199)</f>
        <v>0</v>
      </c>
    </row>
    <row r="19" customFormat="false" ht="17.15" hidden="false" customHeight="false" outlineLevel="0" collapsed="false">
      <c r="A19" s="0" t="s">
        <v>602</v>
      </c>
      <c r="B19" s="19" t="str">
        <f aca="false">In!B200</f>
        <v>Shackelford（Frontier）首棟</v>
      </c>
      <c r="C19" s="19" t="str">
        <f aca="false">IF(In!H200="","",In!H200)</f>
        <v>orcl</v>
      </c>
      <c r="D19" s="19" t="str">
        <f aca="false">IF(In!I200="","",In!I200)</f>
        <v>oai</v>
      </c>
      <c r="E19" s="19" t="n">
        <f aca="false">IF(In!J200="","",In!J200)</f>
        <v>200</v>
      </c>
      <c r="F19" s="19" t="str">
        <f aca="false">In!C200</f>
        <v>設施</v>
      </c>
      <c r="G19" s="19" t="n">
        <f aca="false">IF(In!N200="","",In!N200)</f>
        <v>1</v>
      </c>
      <c r="H19" s="19" t="n">
        <f aca="false">IF(In!K200="","",In!K200)</f>
        <v>2027</v>
      </c>
      <c r="I19" s="19" t="n">
        <f aca="false">IF(In!L200="","",In!L200)</f>
        <v>8</v>
      </c>
      <c r="J19" s="19" t="n">
        <f aca="false">N(In!M200)</f>
        <v>0</v>
      </c>
      <c r="K19" s="24" t="n">
        <f aca="false">IF(OR(H19="",I19=""),9999,H19+I19/12)</f>
        <v>2027.66666666667</v>
      </c>
      <c r="L19" s="24" t="n">
        <f aca="false">IF(E19="",0,IF(F19="設施",E19/1000/INDEX(Players!$D$13:$M$13,1,MAX(1,MIN(10,H19-2022))),E19/1000*g_ITtoFac))</f>
        <v>0.166666666666667</v>
      </c>
      <c r="M19" s="24" t="n">
        <f aca="false">K19</f>
        <v>2027.66666666667</v>
      </c>
      <c r="N19" s="24" t="n">
        <f aca="false">IF(K19&gt;asof,K19+N(J19)/12,K19)</f>
        <v>2027.66666666667</v>
      </c>
      <c r="O19" s="24" t="n">
        <f aca="false">IF(K19&gt;asof,K19+IF(N(J19)&gt;0,N(J19),dly_d1_m)/12,K19)</f>
        <v>2028.16666666667</v>
      </c>
      <c r="P19" s="20" t="n">
        <f aca="false">IF(K19=9999,"",ROUNDUP(K19,0)-1)</f>
        <v>2027</v>
      </c>
      <c r="Q19" s="20" t="n">
        <f aca="false">IF(AND(N(G19)=1,K19&lt;9999,L19&gt;0),1,0)</f>
        <v>1</v>
      </c>
      <c r="R19" s="20" t="n">
        <f aca="false">IF(AND(K19&gt;asof,K19&lt;9999,N(S19)&lt;&gt;1,P19&gt;=dly_d2_y0,P19&lt;=dly_d2_y1),1,0)</f>
        <v>1</v>
      </c>
      <c r="S19" s="19" t="n">
        <f aca="false">IF(In!O200="","",In!O200)</f>
        <v>0</v>
      </c>
    </row>
    <row r="20" customFormat="false" ht="17.15" hidden="false" customHeight="false" outlineLevel="0" collapsed="false">
      <c r="A20" s="0" t="s">
        <v>605</v>
      </c>
      <c r="B20" s="19" t="str">
        <f aca="false">In!B201</f>
        <v>Shackelford 其餘 9 棟</v>
      </c>
      <c r="C20" s="19" t="str">
        <f aca="false">IF(In!H201="","",In!H201)</f>
        <v>orcl</v>
      </c>
      <c r="D20" s="19" t="str">
        <f aca="false">IF(In!I201="","",In!I201)</f>
        <v>oai</v>
      </c>
      <c r="E20" s="19" t="n">
        <f aca="false">IF(In!J201="","",In!J201)</f>
        <v>1800</v>
      </c>
      <c r="F20" s="19" t="str">
        <f aca="false">In!C201</f>
        <v>設施</v>
      </c>
      <c r="G20" s="19" t="n">
        <f aca="false">IF(In!N201="","",In!N201)</f>
        <v>1</v>
      </c>
      <c r="H20" s="19" t="n">
        <f aca="false">IF(In!K201="","",In!K201)</f>
        <v>2028</v>
      </c>
      <c r="I20" s="19" t="n">
        <f aca="false">IF(In!L201="","",In!L201)</f>
        <v>11</v>
      </c>
      <c r="J20" s="19" t="n">
        <f aca="false">N(In!M201)</f>
        <v>0</v>
      </c>
      <c r="K20" s="24" t="n">
        <f aca="false">IF(OR(H20="",I20=""),9999,H20+I20/12)</f>
        <v>2028.91666666667</v>
      </c>
      <c r="L20" s="24" t="n">
        <f aca="false">IF(E20="",0,IF(F20="設施",E20/1000/INDEX(Players!$D$13:$M$13,1,MAX(1,MIN(10,H20-2022))),E20/1000*g_ITtoFac))</f>
        <v>1.5</v>
      </c>
      <c r="M20" s="24" t="n">
        <f aca="false">K20</f>
        <v>2028.91666666667</v>
      </c>
      <c r="N20" s="24" t="n">
        <f aca="false">IF(K20&gt;asof,K20+N(J20)/12,K20)</f>
        <v>2028.91666666667</v>
      </c>
      <c r="O20" s="24" t="n">
        <f aca="false">IF(K20&gt;asof,K20+IF(N(J20)&gt;0,N(J20),dly_d1_m)/12,K20)</f>
        <v>2029.41666666667</v>
      </c>
      <c r="P20" s="20" t="n">
        <f aca="false">IF(K20=9999,"",ROUNDUP(K20,0)-1)</f>
        <v>2028</v>
      </c>
      <c r="Q20" s="20" t="n">
        <f aca="false">IF(AND(N(G20)=1,K20&lt;9999,L20&gt;0),1,0)</f>
        <v>1</v>
      </c>
      <c r="R20" s="20" t="n">
        <f aca="false">IF(AND(K20&gt;asof,K20&lt;9999,N(S20)&lt;&gt;1,P20&gt;=dly_d2_y0,P20&lt;=dly_d2_y1),1,0)</f>
        <v>1</v>
      </c>
      <c r="S20" s="19" t="n">
        <f aca="false">IF(In!O201="","",In!O201)</f>
        <v>0</v>
      </c>
    </row>
    <row r="21" customFormat="false" ht="17.15" hidden="false" customHeight="false" outlineLevel="0" collapsed="false">
      <c r="A21" s="0" t="s">
        <v>608</v>
      </c>
      <c r="B21" s="19" t="str">
        <f aca="false">In!B202</f>
        <v>Doña Ana（Project Jupiter）</v>
      </c>
      <c r="C21" s="19" t="str">
        <f aca="false">IF(In!H202="","",In!H202)</f>
        <v>orcl</v>
      </c>
      <c r="D21" s="19" t="str">
        <f aca="false">IF(In!I202="","",In!I202)</f>
        <v>oai</v>
      </c>
      <c r="E21" s="19" t="n">
        <f aca="false">IF(In!J202="","",In!J202)</f>
        <v>2200</v>
      </c>
      <c r="F21" s="19" t="str">
        <f aca="false">In!C202</f>
        <v>設施</v>
      </c>
      <c r="G21" s="19" t="n">
        <f aca="false">IF(In!N202="","",In!N202)</f>
        <v>1</v>
      </c>
      <c r="H21" s="19" t="n">
        <f aca="false">IF(In!K202="","",In!K202)</f>
        <v>2028</v>
      </c>
      <c r="I21" s="19" t="n">
        <f aca="false">IF(In!L202="","",In!L202)</f>
        <v>12</v>
      </c>
      <c r="J21" s="19" t="n">
        <f aca="false">N(In!M202)</f>
        <v>0</v>
      </c>
      <c r="K21" s="24" t="n">
        <f aca="false">IF(OR(H21="",I21=""),9999,H21+I21/12)</f>
        <v>2029</v>
      </c>
      <c r="L21" s="24" t="n">
        <f aca="false">IF(E21="",0,IF(F21="設施",E21/1000/INDEX(Players!$D$13:$M$13,1,MAX(1,MIN(10,H21-2022))),E21/1000*g_ITtoFac))</f>
        <v>1.83333333333333</v>
      </c>
      <c r="M21" s="24" t="n">
        <f aca="false">K21</f>
        <v>2029</v>
      </c>
      <c r="N21" s="24" t="n">
        <f aca="false">IF(K21&gt;asof,K21+N(J21)/12,K21)</f>
        <v>2029</v>
      </c>
      <c r="O21" s="24" t="n">
        <f aca="false">IF(K21&gt;asof,K21+IF(N(J21)&gt;0,N(J21),dly_d1_m)/12,K21)</f>
        <v>2029.5</v>
      </c>
      <c r="P21" s="20" t="n">
        <f aca="false">IF(K21=9999,"",ROUNDUP(K21,0)-1)</f>
        <v>2028</v>
      </c>
      <c r="Q21" s="20" t="n">
        <f aca="false">IF(AND(N(G21)=1,K21&lt;9999,L21&gt;0),1,0)</f>
        <v>1</v>
      </c>
      <c r="R21" s="20" t="n">
        <f aca="false">IF(AND(K21&gt;asof,K21&lt;9999,N(S21)&lt;&gt;1,P21&gt;=dly_d2_y0,P21&lt;=dly_d2_y1),1,0)</f>
        <v>1</v>
      </c>
      <c r="S21" s="19" t="n">
        <f aca="false">IF(In!O202="","",In!O202)</f>
        <v>0</v>
      </c>
    </row>
    <row r="22" customFormat="false" ht="17.15" hidden="false" customHeight="false" outlineLevel="0" collapsed="false">
      <c r="A22" s="0" t="s">
        <v>611</v>
      </c>
      <c r="B22" s="19" t="str">
        <f aca="false">In!B203</f>
        <v>Port Washington（Lighthouse）</v>
      </c>
      <c r="C22" s="19" t="str">
        <f aca="false">IF(In!H203="","",In!H203)</f>
        <v>orcl</v>
      </c>
      <c r="D22" s="19" t="str">
        <f aca="false">IF(In!I203="","",In!I203)</f>
        <v>oai</v>
      </c>
      <c r="E22" s="19" t="n">
        <f aca="false">IF(In!J203="","",In!J203)</f>
        <v>1300</v>
      </c>
      <c r="F22" s="19" t="str">
        <f aca="false">In!C203</f>
        <v>設施</v>
      </c>
      <c r="G22" s="19" t="n">
        <f aca="false">IF(In!N203="","",In!N203)</f>
        <v>1</v>
      </c>
      <c r="H22" s="19" t="n">
        <f aca="false">IF(In!K203="","",In!K203)</f>
        <v>2028</v>
      </c>
      <c r="I22" s="19" t="n">
        <f aca="false">IF(In!L203="","",In!L203)</f>
        <v>12</v>
      </c>
      <c r="J22" s="19" t="n">
        <f aca="false">N(In!M203)</f>
        <v>0</v>
      </c>
      <c r="K22" s="24" t="n">
        <f aca="false">IF(OR(H22="",I22=""),9999,H22+I22/12)</f>
        <v>2029</v>
      </c>
      <c r="L22" s="24" t="n">
        <f aca="false">IF(E22="",0,IF(F22="設施",E22/1000/INDEX(Players!$D$13:$M$13,1,MAX(1,MIN(10,H22-2022))),E22/1000*g_ITtoFac))</f>
        <v>1.08333333333333</v>
      </c>
      <c r="M22" s="24" t="n">
        <f aca="false">K22</f>
        <v>2029</v>
      </c>
      <c r="N22" s="24" t="n">
        <f aca="false">IF(K22&gt;asof,K22+N(J22)/12,K22)</f>
        <v>2029</v>
      </c>
      <c r="O22" s="24" t="n">
        <f aca="false">IF(K22&gt;asof,K22+IF(N(J22)&gt;0,N(J22),dly_d1_m)/12,K22)</f>
        <v>2029.5</v>
      </c>
      <c r="P22" s="20" t="n">
        <f aca="false">IF(K22=9999,"",ROUNDUP(K22,0)-1)</f>
        <v>2028</v>
      </c>
      <c r="Q22" s="20" t="n">
        <f aca="false">IF(AND(N(G22)=1,K22&lt;9999,L22&gt;0),1,0)</f>
        <v>1</v>
      </c>
      <c r="R22" s="20" t="n">
        <f aca="false">IF(AND(K22&gt;asof,K22&lt;9999,N(S22)&lt;&gt;1,P22&gt;=dly_d2_y0,P22&lt;=dly_d2_y1),1,0)</f>
        <v>1</v>
      </c>
      <c r="S22" s="19" t="n">
        <f aca="false">IF(In!O203="","",In!O203)</f>
        <v>0</v>
      </c>
    </row>
    <row r="23" customFormat="false" ht="17.15" hidden="false" customHeight="false" outlineLevel="0" collapsed="false">
      <c r="A23" s="0" t="s">
        <v>614</v>
      </c>
      <c r="B23" s="19" t="str">
        <f aca="false">In!B204</f>
        <v>Saline Township（The Barn）</v>
      </c>
      <c r="C23" s="19" t="str">
        <f aca="false">IF(In!H204="","",In!H204)</f>
        <v>orcl</v>
      </c>
      <c r="D23" s="19" t="str">
        <f aca="false">IF(In!I204="","",In!I204)</f>
        <v>oai</v>
      </c>
      <c r="E23" s="19" t="n">
        <f aca="false">IF(In!J204="","",In!J204)</f>
        <v>1383</v>
      </c>
      <c r="F23" s="19" t="str">
        <f aca="false">In!C204</f>
        <v>設施</v>
      </c>
      <c r="G23" s="19" t="n">
        <f aca="false">IF(In!N204="","",In!N204)</f>
        <v>1</v>
      </c>
      <c r="H23" s="19" t="n">
        <f aca="false">IF(In!K204="","",In!K204)</f>
        <v>2028</v>
      </c>
      <c r="I23" s="19" t="n">
        <f aca="false">IF(In!L204="","",In!L204)</f>
        <v>12</v>
      </c>
      <c r="J23" s="19" t="n">
        <f aca="false">N(In!M204)</f>
        <v>0</v>
      </c>
      <c r="K23" s="24" t="n">
        <f aca="false">IF(OR(H23="",I23=""),9999,H23+I23/12)</f>
        <v>2029</v>
      </c>
      <c r="L23" s="24" t="n">
        <f aca="false">IF(E23="",0,IF(F23="設施",E23/1000/INDEX(Players!$D$13:$M$13,1,MAX(1,MIN(10,H23-2022))),E23/1000*g_ITtoFac))</f>
        <v>1.1525</v>
      </c>
      <c r="M23" s="24" t="n">
        <f aca="false">K23</f>
        <v>2029</v>
      </c>
      <c r="N23" s="24" t="n">
        <f aca="false">IF(K23&gt;asof,K23+N(J23)/12,K23)</f>
        <v>2029</v>
      </c>
      <c r="O23" s="24" t="n">
        <f aca="false">IF(K23&gt;asof,K23+IF(N(J23)&gt;0,N(J23),dly_d1_m)/12,K23)</f>
        <v>2029.5</v>
      </c>
      <c r="P23" s="20" t="n">
        <f aca="false">IF(K23=9999,"",ROUNDUP(K23,0)-1)</f>
        <v>2028</v>
      </c>
      <c r="Q23" s="20" t="n">
        <f aca="false">IF(AND(N(G23)=1,K23&lt;9999,L23&gt;0),1,0)</f>
        <v>1</v>
      </c>
      <c r="R23" s="20" t="n">
        <f aca="false">IF(AND(K23&gt;asof,K23&lt;9999,N(S23)&lt;&gt;1,P23&gt;=dly_d2_y0,P23&lt;=dly_d2_y1),1,0)</f>
        <v>1</v>
      </c>
      <c r="S23" s="19" t="n">
        <f aca="false">IF(In!O204="","",In!O204)</f>
        <v>0</v>
      </c>
    </row>
    <row r="24" customFormat="false" ht="17.15" hidden="false" customHeight="false" outlineLevel="0" collapsed="false">
      <c r="A24" s="0" t="s">
        <v>617</v>
      </c>
      <c r="B24" s="19" t="str">
        <f aca="false">In!B205</f>
        <v>Helios Phase II（Galaxy 房東）</v>
      </c>
      <c r="C24" s="19" t="str">
        <f aca="false">IF(In!H205="","",In!H205)</f>
        <v>crwv</v>
      </c>
      <c r="D24" s="19" t="str">
        <f aca="false">IF(In!I205="","",In!I205)</f>
        <v/>
      </c>
      <c r="E24" s="19" t="n">
        <f aca="false">IF(In!J205="","",In!J205)</f>
        <v>260</v>
      </c>
      <c r="F24" s="19" t="str">
        <f aca="false">In!C205</f>
        <v>IT</v>
      </c>
      <c r="G24" s="19" t="n">
        <f aca="false">IF(In!N205="","",In!N205)</f>
        <v>1</v>
      </c>
      <c r="H24" s="19" t="n">
        <f aca="false">IF(In!K205="","",In!K205)</f>
        <v>2027</v>
      </c>
      <c r="I24" s="19" t="n">
        <f aca="false">IF(In!L205="","",In!L205)</f>
        <v>6</v>
      </c>
      <c r="J24" s="19" t="n">
        <f aca="false">N(In!M205)</f>
        <v>0</v>
      </c>
      <c r="K24" s="24" t="n">
        <f aca="false">IF(OR(H24="",I24=""),9999,H24+I24/12)</f>
        <v>2027.5</v>
      </c>
      <c r="L24" s="24" t="n">
        <f aca="false">IF(E24="",0,IF(F24="設施",E24/1000/INDEX(Players!$D$13:$M$13,1,MAX(1,MIN(10,H24-2022))),E24/1000*g_ITtoFac))</f>
        <v>0.26</v>
      </c>
      <c r="M24" s="24" t="n">
        <f aca="false">K24</f>
        <v>2027.5</v>
      </c>
      <c r="N24" s="24" t="n">
        <f aca="false">IF(K24&gt;asof,K24+N(J24)/12,K24)</f>
        <v>2027.5</v>
      </c>
      <c r="O24" s="24" t="n">
        <f aca="false">IF(K24&gt;asof,K24+IF(N(J24)&gt;0,N(J24),dly_d1_m)/12,K24)</f>
        <v>2028</v>
      </c>
      <c r="P24" s="20" t="n">
        <f aca="false">IF(K24=9999,"",ROUNDUP(K24,0)-1)</f>
        <v>2027</v>
      </c>
      <c r="Q24" s="20" t="n">
        <f aca="false">IF(AND(N(G24)=1,K24&lt;9999,L24&gt;0),1,0)</f>
        <v>1</v>
      </c>
      <c r="R24" s="20" t="n">
        <f aca="false">IF(AND(K24&gt;asof,K24&lt;9999,N(S24)&lt;&gt;1,P24&gt;=dly_d2_y0,P24&lt;=dly_d2_y1),1,0)</f>
        <v>1</v>
      </c>
      <c r="S24" s="19" t="n">
        <f aca="false">IF(In!O205="","",In!O205)</f>
        <v>0</v>
      </c>
    </row>
    <row r="25" customFormat="false" ht="17.15" hidden="false" customHeight="false" outlineLevel="0" collapsed="false">
      <c r="A25" s="0" t="s">
        <v>621</v>
      </c>
      <c r="B25" s="19" t="str">
        <f aca="false">In!B206</f>
        <v>IREN Childress H3–4（Microsoft）</v>
      </c>
      <c r="C25" s="19" t="str">
        <f aca="false">IF(In!H206="","",In!H206)</f>
        <v>neo</v>
      </c>
      <c r="D25" s="19" t="str">
        <f aca="false">IF(In!I206="","",In!I206)</f>
        <v>msft</v>
      </c>
      <c r="E25" s="19" t="n">
        <f aca="false">IF(In!J206="","",In!J206)</f>
        <v>100</v>
      </c>
      <c r="F25" s="19" t="str">
        <f aca="false">In!C206</f>
        <v>IT</v>
      </c>
      <c r="G25" s="19" t="n">
        <f aca="false">IF(In!N206="","",In!N206)</f>
        <v>1</v>
      </c>
      <c r="H25" s="19" t="n">
        <f aca="false">IF(In!K206="","",In!K206)</f>
        <v>2026</v>
      </c>
      <c r="I25" s="19" t="n">
        <f aca="false">IF(In!L206="","",In!L206)</f>
        <v>12</v>
      </c>
      <c r="J25" s="19" t="n">
        <f aca="false">N(In!M206)</f>
        <v>0</v>
      </c>
      <c r="K25" s="24" t="n">
        <f aca="false">IF(OR(H25="",I25=""),9999,H25+I25/12)</f>
        <v>2027</v>
      </c>
      <c r="L25" s="24" t="n">
        <f aca="false">IF(E25="",0,IF(F25="設施",E25/1000/INDEX(Players!$D$13:$M$13,1,MAX(1,MIN(10,H25-2022))),E25/1000*g_ITtoFac))</f>
        <v>0.1</v>
      </c>
      <c r="M25" s="24" t="n">
        <f aca="false">K25</f>
        <v>2027</v>
      </c>
      <c r="N25" s="24" t="n">
        <f aca="false">IF(K25&gt;asof,K25+N(J25)/12,K25)</f>
        <v>2027</v>
      </c>
      <c r="O25" s="24" t="n">
        <f aca="false">IF(K25&gt;asof,K25+IF(N(J25)&gt;0,N(J25),dly_d1_m)/12,K25)</f>
        <v>2027.5</v>
      </c>
      <c r="P25" s="20" t="n">
        <f aca="false">IF(K25=9999,"",ROUNDUP(K25,0)-1)</f>
        <v>2026</v>
      </c>
      <c r="Q25" s="20" t="n">
        <f aca="false">IF(AND(N(G25)=1,K25&lt;9999,L25&gt;0),1,0)</f>
        <v>1</v>
      </c>
      <c r="R25" s="20" t="n">
        <f aca="false">IF(AND(K25&gt;asof,K25&lt;9999,N(S25)&lt;&gt;1,P25&gt;=dly_d2_y0,P25&lt;=dly_d2_y1),1,0)</f>
        <v>0</v>
      </c>
      <c r="S25" s="19" t="n">
        <f aca="false">IF(In!O206="","",In!O206)</f>
        <v>0</v>
      </c>
    </row>
    <row r="26" customFormat="false" ht="17.15" hidden="false" customHeight="false" outlineLevel="0" collapsed="false">
      <c r="A26" s="0" t="s">
        <v>624</v>
      </c>
      <c r="B26" s="19" t="str">
        <f aca="false">In!B207</f>
        <v>IREN 2027 累計 0.8 GW 目標增量</v>
      </c>
      <c r="C26" s="19" t="str">
        <f aca="false">IF(In!H207="","",In!H207)</f>
        <v>neo</v>
      </c>
      <c r="D26" s="19" t="str">
        <f aca="false">IF(In!I207="","",In!I207)</f>
        <v/>
      </c>
      <c r="E26" s="19" t="n">
        <f aca="false">IF(In!J207="","",In!J207)</f>
        <v>500</v>
      </c>
      <c r="F26" s="19" t="str">
        <f aca="false">In!C207</f>
        <v>IT</v>
      </c>
      <c r="G26" s="19" t="n">
        <f aca="false">IF(In!N207="","",In!N207)</f>
        <v>1</v>
      </c>
      <c r="H26" s="19" t="n">
        <f aca="false">IF(In!K207="","",In!K207)</f>
        <v>2027</v>
      </c>
      <c r="I26" s="19" t="n">
        <f aca="false">IF(In!L207="","",In!L207)</f>
        <v>12</v>
      </c>
      <c r="J26" s="19" t="n">
        <f aca="false">N(In!M207)</f>
        <v>0</v>
      </c>
      <c r="K26" s="24" t="n">
        <f aca="false">IF(OR(H26="",I26=""),9999,H26+I26/12)</f>
        <v>2028</v>
      </c>
      <c r="L26" s="24" t="n">
        <f aca="false">IF(E26="",0,IF(F26="設施",E26/1000/INDEX(Players!$D$13:$M$13,1,MAX(1,MIN(10,H26-2022))),E26/1000*g_ITtoFac))</f>
        <v>0.5</v>
      </c>
      <c r="M26" s="24" t="n">
        <f aca="false">K26</f>
        <v>2028</v>
      </c>
      <c r="N26" s="24" t="n">
        <f aca="false">IF(K26&gt;asof,K26+N(J26)/12,K26)</f>
        <v>2028</v>
      </c>
      <c r="O26" s="24" t="n">
        <f aca="false">IF(K26&gt;asof,K26+IF(N(J26)&gt;0,N(J26),dly_d1_m)/12,K26)</f>
        <v>2028.5</v>
      </c>
      <c r="P26" s="20" t="n">
        <f aca="false">IF(K26=9999,"",ROUNDUP(K26,0)-1)</f>
        <v>2027</v>
      </c>
      <c r="Q26" s="20" t="n">
        <f aca="false">IF(AND(N(G26)=1,K26&lt;9999,L26&gt;0),1,0)</f>
        <v>1</v>
      </c>
      <c r="R26" s="20" t="n">
        <f aca="false">IF(AND(K26&gt;asof,K26&lt;9999,N(S26)&lt;&gt;1,P26&gt;=dly_d2_y0,P26&lt;=dly_d2_y1),1,0)</f>
        <v>1</v>
      </c>
      <c r="S26" s="19" t="n">
        <f aca="false">IF(In!O207="","",In!O207)</f>
        <v>0</v>
      </c>
    </row>
    <row r="27" customFormat="false" ht="17.15" hidden="false" customHeight="false" outlineLevel="0" collapsed="false">
      <c r="A27" s="0" t="s">
        <v>627</v>
      </c>
      <c r="B27" s="19" t="str">
        <f aca="false">In!B208</f>
        <v>TeraWulf Kentucky（Anthropic）首期</v>
      </c>
      <c r="C27" s="19" t="str">
        <f aca="false">IF(In!H208="","",In!H208)</f>
        <v>neo</v>
      </c>
      <c r="D27" s="19" t="str">
        <f aca="false">IF(In!I208="","",In!I208)</f>
        <v>ant</v>
      </c>
      <c r="E27" s="19" t="n">
        <f aca="false">IF(In!J208="","",In!J208)</f>
        <v>200</v>
      </c>
      <c r="F27" s="19" t="str">
        <f aca="false">In!C208</f>
        <v>IT</v>
      </c>
      <c r="G27" s="19" t="n">
        <f aca="false">IF(In!N208="","",In!N208)</f>
        <v>1</v>
      </c>
      <c r="H27" s="19" t="n">
        <f aca="false">IF(In!K208="","",In!K208)</f>
        <v>2027</v>
      </c>
      <c r="I27" s="19" t="n">
        <f aca="false">IF(In!L208="","",In!L208)</f>
        <v>9</v>
      </c>
      <c r="J27" s="19" t="n">
        <f aca="false">N(In!M208)</f>
        <v>0</v>
      </c>
      <c r="K27" s="24" t="n">
        <f aca="false">IF(OR(H27="",I27=""),9999,H27+I27/12)</f>
        <v>2027.75</v>
      </c>
      <c r="L27" s="24" t="n">
        <f aca="false">IF(E27="",0,IF(F27="設施",E27/1000/INDEX(Players!$D$13:$M$13,1,MAX(1,MIN(10,H27-2022))),E27/1000*g_ITtoFac))</f>
        <v>0.2</v>
      </c>
      <c r="M27" s="24" t="n">
        <f aca="false">K27</f>
        <v>2027.75</v>
      </c>
      <c r="N27" s="24" t="n">
        <f aca="false">IF(K27&gt;asof,K27+N(J27)/12,K27)</f>
        <v>2027.75</v>
      </c>
      <c r="O27" s="24" t="n">
        <f aca="false">IF(K27&gt;asof,K27+IF(N(J27)&gt;0,N(J27),dly_d1_m)/12,K27)</f>
        <v>2028.25</v>
      </c>
      <c r="P27" s="20" t="n">
        <f aca="false">IF(K27=9999,"",ROUNDUP(K27,0)-1)</f>
        <v>2027</v>
      </c>
      <c r="Q27" s="20" t="n">
        <f aca="false">IF(AND(N(G27)=1,K27&lt;9999,L27&gt;0),1,0)</f>
        <v>1</v>
      </c>
      <c r="R27" s="20" t="n">
        <f aca="false">IF(AND(K27&gt;asof,K27&lt;9999,N(S27)&lt;&gt;1,P27&gt;=dly_d2_y0,P27&lt;=dly_d2_y1),1,0)</f>
        <v>1</v>
      </c>
      <c r="S27" s="19" t="n">
        <f aca="false">IF(In!O208="","",In!O208)</f>
        <v>0</v>
      </c>
    </row>
    <row r="28" customFormat="false" ht="17.15" hidden="false" customHeight="false" outlineLevel="0" collapsed="false">
      <c r="A28" s="0" t="s">
        <v>630</v>
      </c>
      <c r="B28" s="19" t="str">
        <f aca="false">In!B209</f>
        <v>TeraWulf Kentucky 其餘</v>
      </c>
      <c r="C28" s="19" t="str">
        <f aca="false">IF(In!H209="","",In!H209)</f>
        <v>neo</v>
      </c>
      <c r="D28" s="19" t="str">
        <f aca="false">IF(In!I209="","",In!I209)</f>
        <v>ant</v>
      </c>
      <c r="E28" s="19" t="n">
        <f aca="false">IF(In!J209="","",In!J209)</f>
        <v>201</v>
      </c>
      <c r="F28" s="19" t="str">
        <f aca="false">In!C209</f>
        <v>IT</v>
      </c>
      <c r="G28" s="19" t="n">
        <f aca="false">IF(In!N209="","",In!N209)</f>
        <v>1</v>
      </c>
      <c r="H28" s="19" t="n">
        <f aca="false">IF(In!K209="","",In!K209)</f>
        <v>2028</v>
      </c>
      <c r="I28" s="19" t="n">
        <f aca="false">IF(In!L209="","",In!L209)</f>
        <v>2</v>
      </c>
      <c r="J28" s="19" t="n">
        <f aca="false">N(In!M209)</f>
        <v>0</v>
      </c>
      <c r="K28" s="24" t="n">
        <f aca="false">IF(OR(H28="",I28=""),9999,H28+I28/12)</f>
        <v>2028.16666666667</v>
      </c>
      <c r="L28" s="24" t="n">
        <f aca="false">IF(E28="",0,IF(F28="設施",E28/1000/INDEX(Players!$D$13:$M$13,1,MAX(1,MIN(10,H28-2022))),E28/1000*g_ITtoFac))</f>
        <v>0.201</v>
      </c>
      <c r="M28" s="24" t="n">
        <f aca="false">K28</f>
        <v>2028.16666666667</v>
      </c>
      <c r="N28" s="24" t="n">
        <f aca="false">IF(K28&gt;asof,K28+N(J28)/12,K28)</f>
        <v>2028.16666666667</v>
      </c>
      <c r="O28" s="24" t="n">
        <f aca="false">IF(K28&gt;asof,K28+IF(N(J28)&gt;0,N(J28),dly_d1_m)/12,K28)</f>
        <v>2028.66666666667</v>
      </c>
      <c r="P28" s="20" t="n">
        <f aca="false">IF(K28=9999,"",ROUNDUP(K28,0)-1)</f>
        <v>2028</v>
      </c>
      <c r="Q28" s="20" t="n">
        <f aca="false">IF(AND(N(G28)=1,K28&lt;9999,L28&gt;0),1,0)</f>
        <v>1</v>
      </c>
      <c r="R28" s="20" t="n">
        <f aca="false">IF(AND(K28&gt;asof,K28&lt;9999,N(S28)&lt;&gt;1,P28&gt;=dly_d2_y0,P28&lt;=dly_d2_y1),1,0)</f>
        <v>1</v>
      </c>
      <c r="S28" s="19" t="n">
        <f aca="false">IF(In!O209="","",In!O209)</f>
        <v>0</v>
      </c>
    </row>
    <row r="29" customFormat="false" ht="17.15" hidden="false" customHeight="false" outlineLevel="0" collapsed="false">
      <c r="A29" s="0" t="s">
        <v>632</v>
      </c>
      <c r="B29" s="19" t="str">
        <f aca="false">In!B210</f>
        <v>Ports Pike（SB Energy）首期 4.25 IT-GW 第 1 段</v>
      </c>
      <c r="C29" s="19" t="str">
        <f aca="false">IF(In!H210="","",In!H210)</f>
        <v>oai</v>
      </c>
      <c r="D29" s="19" t="str">
        <f aca="false">IF(In!I210="","",In!I210)</f>
        <v>oai</v>
      </c>
      <c r="E29" s="19" t="n">
        <f aca="false">IF(In!J210="","",In!J210)</f>
        <v>800</v>
      </c>
      <c r="F29" s="19" t="str">
        <f aca="false">In!C210</f>
        <v>IT</v>
      </c>
      <c r="G29" s="19" t="n">
        <f aca="false">IF(In!N210="","",In!N210)</f>
        <v>1</v>
      </c>
      <c r="H29" s="19" t="n">
        <f aca="false">IF(In!K210="","",In!K210)</f>
        <v>2028</v>
      </c>
      <c r="I29" s="19" t="n">
        <f aca="false">IF(In!L210="","",In!L210)</f>
        <v>12</v>
      </c>
      <c r="J29" s="19" t="n">
        <f aca="false">N(In!M210)</f>
        <v>0</v>
      </c>
      <c r="K29" s="24" t="n">
        <f aca="false">IF(OR(H29="",I29=""),9999,H29+I29/12)</f>
        <v>2029</v>
      </c>
      <c r="L29" s="24" t="n">
        <f aca="false">IF(E29="",0,IF(F29="設施",E29/1000/INDEX(Players!$D$13:$M$13,1,MAX(1,MIN(10,H29-2022))),E29/1000*g_ITtoFac))</f>
        <v>0.8</v>
      </c>
      <c r="M29" s="24" t="n">
        <f aca="false">K29</f>
        <v>2029</v>
      </c>
      <c r="N29" s="24" t="n">
        <f aca="false">IF(K29&gt;asof,K29+N(J29)/12,K29)</f>
        <v>2029</v>
      </c>
      <c r="O29" s="24" t="n">
        <f aca="false">IF(K29&gt;asof,K29+IF(N(J29)&gt;0,N(J29),dly_d1_m)/12,K29)</f>
        <v>2029.5</v>
      </c>
      <c r="P29" s="20" t="n">
        <f aca="false">IF(K29=9999,"",ROUNDUP(K29,0)-1)</f>
        <v>2028</v>
      </c>
      <c r="Q29" s="20" t="n">
        <f aca="false">IF(AND(N(G29)=1,K29&lt;9999,L29&gt;0),1,0)</f>
        <v>1</v>
      </c>
      <c r="R29" s="20" t="n">
        <f aca="false">IF(AND(K29&gt;asof,K29&lt;9999,N(S29)&lt;&gt;1,P29&gt;=dly_d2_y0,P29&lt;=dly_d2_y1),1,0)</f>
        <v>1</v>
      </c>
      <c r="S29" s="19" t="n">
        <f aca="false">IF(In!O210="","",In!O210)</f>
        <v>0</v>
      </c>
    </row>
    <row r="30" customFormat="false" ht="17.15" hidden="false" customHeight="false" outlineLevel="0" collapsed="false">
      <c r="A30" s="0" t="s">
        <v>635</v>
      </c>
      <c r="B30" s="19" t="str">
        <f aca="false">In!B211</f>
        <v>Ports Pike（SB Energy）首期 4.25 IT-GW 第 2 段</v>
      </c>
      <c r="C30" s="19" t="str">
        <f aca="false">IF(In!H211="","",In!H211)</f>
        <v>oai</v>
      </c>
      <c r="D30" s="19" t="str">
        <f aca="false">IF(In!I211="","",In!I211)</f>
        <v>oai</v>
      </c>
      <c r="E30" s="19" t="n">
        <f aca="false">IF(In!J211="","",In!J211)</f>
        <v>1149</v>
      </c>
      <c r="F30" s="19" t="str">
        <f aca="false">In!C211</f>
        <v>IT</v>
      </c>
      <c r="G30" s="19" t="n">
        <f aca="false">IF(In!N211="","",In!N211)</f>
        <v>1</v>
      </c>
      <c r="H30" s="19" t="n">
        <f aca="false">IF(In!K211="","",In!K211)</f>
        <v>2029</v>
      </c>
      <c r="I30" s="19" t="n">
        <f aca="false">IF(In!L211="","",In!L211)</f>
        <v>12</v>
      </c>
      <c r="J30" s="19" t="n">
        <f aca="false">N(In!M211)</f>
        <v>0</v>
      </c>
      <c r="K30" s="24" t="n">
        <f aca="false">IF(OR(H30="",I30=""),9999,H30+I30/12)</f>
        <v>2030</v>
      </c>
      <c r="L30" s="24" t="n">
        <f aca="false">IF(E30="",0,IF(F30="設施",E30/1000/INDEX(Players!$D$13:$M$13,1,MAX(1,MIN(10,H30-2022))),E30/1000*g_ITtoFac))</f>
        <v>1.149</v>
      </c>
      <c r="M30" s="24" t="n">
        <f aca="false">K30</f>
        <v>2030</v>
      </c>
      <c r="N30" s="24" t="n">
        <f aca="false">IF(K30&gt;asof,K30+N(J30)/12,K30)</f>
        <v>2030</v>
      </c>
      <c r="O30" s="24" t="n">
        <f aca="false">IF(K30&gt;asof,K30+IF(N(J30)&gt;0,N(J30),dly_d1_m)/12,K30)</f>
        <v>2030.5</v>
      </c>
      <c r="P30" s="20" t="n">
        <f aca="false">IF(K30=9999,"",ROUNDUP(K30,0)-1)</f>
        <v>2029</v>
      </c>
      <c r="Q30" s="20" t="n">
        <f aca="false">IF(AND(N(G30)=1,K30&lt;9999,L30&gt;0),1,0)</f>
        <v>1</v>
      </c>
      <c r="R30" s="20" t="n">
        <f aca="false">IF(AND(K30&gt;asof,K30&lt;9999,N(S30)&lt;&gt;1,P30&gt;=dly_d2_y0,P30&lt;=dly_d2_y1),1,0)</f>
        <v>0</v>
      </c>
      <c r="S30" s="19" t="n">
        <f aca="false">IF(In!O211="","",In!O211)</f>
        <v>0</v>
      </c>
    </row>
    <row r="31" customFormat="false" ht="17.15" hidden="false" customHeight="false" outlineLevel="0" collapsed="false">
      <c r="A31" s="0" t="s">
        <v>638</v>
      </c>
      <c r="B31" s="19" t="str">
        <f aca="false">In!B212</f>
        <v>Ports Pike（SB Energy）首期 4.25 IT-GW 第 3 段</v>
      </c>
      <c r="C31" s="19" t="str">
        <f aca="false">IF(In!H212="","",In!H212)</f>
        <v>oai</v>
      </c>
      <c r="D31" s="19" t="str">
        <f aca="false">IF(In!I212="","",In!I212)</f>
        <v>oai</v>
      </c>
      <c r="E31" s="19" t="n">
        <f aca="false">IF(In!J212="","",In!J212)</f>
        <v>1149</v>
      </c>
      <c r="F31" s="19" t="str">
        <f aca="false">In!C212</f>
        <v>IT</v>
      </c>
      <c r="G31" s="19" t="n">
        <f aca="false">IF(In!N212="","",In!N212)</f>
        <v>1</v>
      </c>
      <c r="H31" s="19" t="n">
        <f aca="false">IF(In!K212="","",In!K212)</f>
        <v>2030</v>
      </c>
      <c r="I31" s="19" t="n">
        <f aca="false">IF(In!L212="","",In!L212)</f>
        <v>12</v>
      </c>
      <c r="J31" s="19" t="n">
        <f aca="false">N(In!M212)</f>
        <v>0</v>
      </c>
      <c r="K31" s="24" t="n">
        <f aca="false">IF(OR(H31="",I31=""),9999,H31+I31/12)</f>
        <v>2031</v>
      </c>
      <c r="L31" s="24" t="n">
        <f aca="false">IF(E31="",0,IF(F31="設施",E31/1000/INDEX(Players!$D$13:$M$13,1,MAX(1,MIN(10,H31-2022))),E31/1000*g_ITtoFac))</f>
        <v>1.149</v>
      </c>
      <c r="M31" s="24" t="n">
        <f aca="false">K31</f>
        <v>2031</v>
      </c>
      <c r="N31" s="24" t="n">
        <f aca="false">IF(K31&gt;asof,K31+N(J31)/12,K31)</f>
        <v>2031</v>
      </c>
      <c r="O31" s="24" t="n">
        <f aca="false">IF(K31&gt;asof,K31+IF(N(J31)&gt;0,N(J31),dly_d1_m)/12,K31)</f>
        <v>2031.5</v>
      </c>
      <c r="P31" s="20" t="n">
        <f aca="false">IF(K31=9999,"",ROUNDUP(K31,0)-1)</f>
        <v>2030</v>
      </c>
      <c r="Q31" s="20" t="n">
        <f aca="false">IF(AND(N(G31)=1,K31&lt;9999,L31&gt;0),1,0)</f>
        <v>1</v>
      </c>
      <c r="R31" s="20" t="n">
        <f aca="false">IF(AND(K31&gt;asof,K31&lt;9999,N(S31)&lt;&gt;1,P31&gt;=dly_d2_y0,P31&lt;=dly_d2_y1),1,0)</f>
        <v>0</v>
      </c>
      <c r="S31" s="19" t="n">
        <f aca="false">IF(In!O212="","",In!O212)</f>
        <v>0</v>
      </c>
    </row>
    <row r="32" customFormat="false" ht="17.15" hidden="false" customHeight="false" outlineLevel="0" collapsed="false">
      <c r="A32" s="0" t="s">
        <v>641</v>
      </c>
      <c r="B32" s="19" t="str">
        <f aca="false">In!B213</f>
        <v>Humain 首期（Riyadh、Dammam 各 100 MW）</v>
      </c>
      <c r="C32" s="19" t="str">
        <f aca="false">IF(In!H213="","",In!H213)</f>
        <v>sov</v>
      </c>
      <c r="D32" s="19" t="str">
        <f aca="false">IF(In!I213="","",In!I213)</f>
        <v/>
      </c>
      <c r="E32" s="19" t="n">
        <f aca="false">IF(In!J213="","",In!J213)</f>
        <v>200</v>
      </c>
      <c r="F32" s="19" t="str">
        <f aca="false">In!C213</f>
        <v>未說明</v>
      </c>
      <c r="G32" s="19" t="n">
        <f aca="false">IF(In!N213="","",In!N213)</f>
        <v>1</v>
      </c>
      <c r="H32" s="19" t="n">
        <f aca="false">IF(In!K213="","",In!K213)</f>
        <v>2026</v>
      </c>
      <c r="I32" s="19" t="n">
        <f aca="false">IF(In!L213="","",In!L213)</f>
        <v>12</v>
      </c>
      <c r="J32" s="19" t="n">
        <f aca="false">N(In!M213)</f>
        <v>0</v>
      </c>
      <c r="K32" s="24" t="n">
        <f aca="false">IF(OR(H32="",I32=""),9999,H32+I32/12)</f>
        <v>2027</v>
      </c>
      <c r="L32" s="24" t="n">
        <f aca="false">IF(E32="",0,IF(F32="設施",E32/1000/INDEX(Players!$D$13:$M$13,1,MAX(1,MIN(10,H32-2022))),E32/1000*g_ITtoFac))</f>
        <v>0.2</v>
      </c>
      <c r="M32" s="24" t="n">
        <f aca="false">K32</f>
        <v>2027</v>
      </c>
      <c r="N32" s="24" t="n">
        <f aca="false">IF(K32&gt;asof,K32+N(J32)/12,K32)</f>
        <v>2027</v>
      </c>
      <c r="O32" s="24" t="n">
        <f aca="false">IF(K32&gt;asof,K32+IF(N(J32)&gt;0,N(J32),dly_d1_m)/12,K32)</f>
        <v>2027.5</v>
      </c>
      <c r="P32" s="20" t="n">
        <f aca="false">IF(K32=9999,"",ROUNDUP(K32,0)-1)</f>
        <v>2026</v>
      </c>
      <c r="Q32" s="20" t="n">
        <f aca="false">IF(AND(N(G32)=1,K32&lt;9999,L32&gt;0),1,0)</f>
        <v>1</v>
      </c>
      <c r="R32" s="20" t="n">
        <f aca="false">IF(AND(K32&gt;asof,K32&lt;9999,N(S32)&lt;&gt;1,P32&gt;=dly_d2_y0,P32&lt;=dly_d2_y1),1,0)</f>
        <v>0</v>
      </c>
      <c r="S32" s="19" t="n">
        <f aca="false">IF(In!O213="","",In!O213)</f>
        <v>0</v>
      </c>
    </row>
    <row r="33" customFormat="false" ht="17.15" hidden="false" customHeight="false" outlineLevel="0" collapsed="false">
      <c r="A33" s="0" t="s">
        <v>645</v>
      </c>
      <c r="B33" s="19" t="str">
        <f aca="false">In!B214</f>
        <v>Humain 至 1.9 GW（2030）</v>
      </c>
      <c r="C33" s="19" t="str">
        <f aca="false">IF(In!H214="","",In!H214)</f>
        <v>sov</v>
      </c>
      <c r="D33" s="19" t="str">
        <f aca="false">IF(In!I214="","",In!I214)</f>
        <v/>
      </c>
      <c r="E33" s="19" t="n">
        <f aca="false">IF(In!J214="","",In!J214)</f>
        <v>1500</v>
      </c>
      <c r="F33" s="19" t="str">
        <f aca="false">In!C214</f>
        <v>未說明</v>
      </c>
      <c r="G33" s="19" t="n">
        <f aca="false">IF(In!N214="","",In!N214)</f>
        <v>1</v>
      </c>
      <c r="H33" s="19" t="n">
        <f aca="false">IF(In!K214="","",In!K214)</f>
        <v>2027</v>
      </c>
      <c r="I33" s="19" t="n">
        <f aca="false">IF(In!L214="","",In!L214)</f>
        <v>12</v>
      </c>
      <c r="J33" s="19" t="n">
        <f aca="false">N(In!M214)</f>
        <v>0</v>
      </c>
      <c r="K33" s="24" t="n">
        <f aca="false">IF(OR(H33="",I33=""),9999,H33+I33/12)</f>
        <v>2028</v>
      </c>
      <c r="L33" s="24" t="n">
        <f aca="false">IF(E33="",0,IF(F33="設施",E33/1000/INDEX(Players!$D$13:$M$13,1,MAX(1,MIN(10,H33-2022))),E33/1000*g_ITtoFac))</f>
        <v>1.5</v>
      </c>
      <c r="M33" s="24" t="n">
        <f aca="false">K33</f>
        <v>2028</v>
      </c>
      <c r="N33" s="24" t="n">
        <f aca="false">IF(K33&gt;asof,K33+N(J33)/12,K33)</f>
        <v>2028</v>
      </c>
      <c r="O33" s="24" t="n">
        <f aca="false">IF(K33&gt;asof,K33+IF(N(J33)&gt;0,N(J33),dly_d1_m)/12,K33)</f>
        <v>2028.5</v>
      </c>
      <c r="P33" s="20" t="n">
        <f aca="false">IF(K33=9999,"",ROUNDUP(K33,0)-1)</f>
        <v>2027</v>
      </c>
      <c r="Q33" s="20" t="n">
        <f aca="false">IF(AND(N(G33)=1,K33&lt;9999,L33&gt;0),1,0)</f>
        <v>1</v>
      </c>
      <c r="R33" s="20" t="n">
        <f aca="false">IF(AND(K33&gt;asof,K33&lt;9999,N(S33)&lt;&gt;1,P33&gt;=dly_d2_y0,P33&lt;=dly_d2_y1),1,0)</f>
        <v>1</v>
      </c>
      <c r="S33" s="19" t="n">
        <f aca="false">IF(In!O214="","",In!O214)</f>
        <v>0</v>
      </c>
    </row>
    <row r="34" customFormat="false" ht="15" hidden="false" customHeight="false" outlineLevel="0" collapsed="false">
      <c r="A34" s="0" t="s">
        <v>648</v>
      </c>
      <c r="B34" s="19" t="str">
        <f aca="false">In!B215</f>
        <v>Nebius Lappeenranta</v>
      </c>
      <c r="C34" s="19" t="str">
        <f aca="false">IF(In!H215="","",In!H215)</f>
        <v>nbis</v>
      </c>
      <c r="D34" s="19" t="str">
        <f aca="false">IF(In!I215="","",In!I215)</f>
        <v/>
      </c>
      <c r="E34" s="19" t="n">
        <f aca="false">IF(In!J215="","",In!J215)</f>
        <v>310</v>
      </c>
      <c r="F34" s="19" t="str">
        <f aca="false">In!C215</f>
        <v>未說明</v>
      </c>
      <c r="G34" s="19" t="n">
        <f aca="false">IF(In!N215="","",In!N215)</f>
        <v>0</v>
      </c>
      <c r="H34" s="19" t="n">
        <f aca="false">IF(In!K215="","",In!K215)</f>
        <v>2027</v>
      </c>
      <c r="I34" s="19" t="n">
        <f aca="false">IF(In!L215="","",In!L215)</f>
        <v>12</v>
      </c>
      <c r="J34" s="19" t="n">
        <f aca="false">N(In!M215)</f>
        <v>0</v>
      </c>
      <c r="K34" s="24" t="n">
        <f aca="false">IF(OR(H34="",I34=""),9999,H34+I34/12)</f>
        <v>2028</v>
      </c>
      <c r="L34" s="24" t="n">
        <f aca="false">IF(E34="",0,IF(F34="設施",E34/1000/INDEX(Players!$D$13:$M$13,1,MAX(1,MIN(10,H34-2022))),E34/1000*g_ITtoFac))</f>
        <v>0.31</v>
      </c>
      <c r="M34" s="24" t="n">
        <f aca="false">K34</f>
        <v>2028</v>
      </c>
      <c r="N34" s="24" t="n">
        <f aca="false">IF(K34&gt;asof,K34+N(J34)/12,K34)</f>
        <v>2028</v>
      </c>
      <c r="O34" s="24" t="n">
        <f aca="false">IF(K34&gt;asof,K34+IF(N(J34)&gt;0,N(J34),dly_d1_m)/12,K34)</f>
        <v>2028.5</v>
      </c>
      <c r="P34" s="20" t="n">
        <f aca="false">IF(K34=9999,"",ROUNDUP(K34,0)-1)</f>
        <v>2027</v>
      </c>
      <c r="Q34" s="20" t="n">
        <f aca="false">IF(AND(N(G34)=1,K34&lt;9999,L34&gt;0),1,0)</f>
        <v>0</v>
      </c>
      <c r="R34" s="20" t="n">
        <f aca="false">IF(AND(K34&gt;asof,K34&lt;9999,N(S34)&lt;&gt;1,P34&gt;=dly_d2_y0,P34&lt;=dly_d2_y1),1,0)</f>
        <v>1</v>
      </c>
      <c r="S34" s="19" t="n">
        <f aca="false">IF(In!O215="","",In!O215)</f>
        <v>0</v>
      </c>
    </row>
    <row r="35" customFormat="false" ht="15" hidden="false" customHeight="false" outlineLevel="0" collapsed="false">
      <c r="A35" s="0" t="s">
        <v>652</v>
      </c>
      <c r="B35" s="19" t="str">
        <f aca="false">In!B216</f>
        <v>Nebius Independence, Missouri</v>
      </c>
      <c r="C35" s="19" t="str">
        <f aca="false">IF(In!H216="","",In!H216)</f>
        <v>nbis</v>
      </c>
      <c r="D35" s="19" t="str">
        <f aca="false">IF(In!I216="","",In!I216)</f>
        <v/>
      </c>
      <c r="E35" s="19" t="n">
        <f aca="false">IF(In!J216="","",In!J216)</f>
        <v>200</v>
      </c>
      <c r="F35" s="19" t="str">
        <f aca="false">In!C216</f>
        <v>未說明</v>
      </c>
      <c r="G35" s="19" t="n">
        <f aca="false">IF(In!N216="","",In!N216)</f>
        <v>0</v>
      </c>
      <c r="H35" s="19" t="n">
        <f aca="false">IF(In!K216="","",In!K216)</f>
        <v>2027</v>
      </c>
      <c r="I35" s="19" t="n">
        <f aca="false">IF(In!L216="","",In!L216)</f>
        <v>12</v>
      </c>
      <c r="J35" s="19" t="n">
        <f aca="false">N(In!M216)</f>
        <v>0</v>
      </c>
      <c r="K35" s="24" t="n">
        <f aca="false">IF(OR(H35="",I35=""),9999,H35+I35/12)</f>
        <v>2028</v>
      </c>
      <c r="L35" s="24" t="n">
        <f aca="false">IF(E35="",0,IF(F35="設施",E35/1000/INDEX(Players!$D$13:$M$13,1,MAX(1,MIN(10,H35-2022))),E35/1000*g_ITtoFac))</f>
        <v>0.2</v>
      </c>
      <c r="M35" s="24" t="n">
        <f aca="false">K35</f>
        <v>2028</v>
      </c>
      <c r="N35" s="24" t="n">
        <f aca="false">IF(K35&gt;asof,K35+N(J35)/12,K35)</f>
        <v>2028</v>
      </c>
      <c r="O35" s="24" t="n">
        <f aca="false">IF(K35&gt;asof,K35+IF(N(J35)&gt;0,N(J35),dly_d1_m)/12,K35)</f>
        <v>2028.5</v>
      </c>
      <c r="P35" s="20" t="n">
        <f aca="false">IF(K35=9999,"",ROUNDUP(K35,0)-1)</f>
        <v>2027</v>
      </c>
      <c r="Q35" s="20" t="n">
        <f aca="false">IF(AND(N(G35)=1,K35&lt;9999,L35&gt;0),1,0)</f>
        <v>0</v>
      </c>
      <c r="R35" s="20" t="n">
        <f aca="false">IF(AND(K35&gt;asof,K35&lt;9999,N(S35)&lt;&gt;1,P35&gt;=dly_d2_y0,P35&lt;=dly_d2_y1),1,0)</f>
        <v>1</v>
      </c>
      <c r="S35" s="19" t="n">
        <f aca="false">IF(In!O216="","",In!O216)</f>
        <v>0</v>
      </c>
    </row>
    <row r="36" customFormat="false" ht="15" hidden="false" customHeight="false" outlineLevel="0" collapsed="false">
      <c r="A36" s="0" t="s">
        <v>655</v>
      </c>
      <c r="B36" s="19" t="str">
        <f aca="false">In!B217</f>
        <v>Nebius Pennsylvania</v>
      </c>
      <c r="C36" s="19" t="str">
        <f aca="false">IF(In!H217="","",In!H217)</f>
        <v>nbis</v>
      </c>
      <c r="D36" s="19" t="str">
        <f aca="false">IF(In!I217="","",In!I217)</f>
        <v/>
      </c>
      <c r="E36" s="19" t="n">
        <f aca="false">IF(In!J217="","",In!J217)</f>
        <v>1200</v>
      </c>
      <c r="F36" s="19" t="str">
        <f aca="false">In!C217</f>
        <v>未說明</v>
      </c>
      <c r="G36" s="19" t="n">
        <f aca="false">IF(In!N217="","",In!N217)</f>
        <v>0</v>
      </c>
      <c r="H36" s="19" t="n">
        <f aca="false">IF(In!K217="","",In!K217)</f>
        <v>2027</v>
      </c>
      <c r="I36" s="19" t="n">
        <f aca="false">IF(In!L217="","",In!L217)</f>
        <v>12</v>
      </c>
      <c r="J36" s="19" t="n">
        <f aca="false">N(In!M217)</f>
        <v>0</v>
      </c>
      <c r="K36" s="24" t="n">
        <f aca="false">IF(OR(H36="",I36=""),9999,H36+I36/12)</f>
        <v>2028</v>
      </c>
      <c r="L36" s="24" t="n">
        <f aca="false">IF(E36="",0,IF(F36="設施",E36/1000/INDEX(Players!$D$13:$M$13,1,MAX(1,MIN(10,H36-2022))),E36/1000*g_ITtoFac))</f>
        <v>1.2</v>
      </c>
      <c r="M36" s="24" t="n">
        <f aca="false">K36</f>
        <v>2028</v>
      </c>
      <c r="N36" s="24" t="n">
        <f aca="false">IF(K36&gt;asof,K36+N(J36)/12,K36)</f>
        <v>2028</v>
      </c>
      <c r="O36" s="24" t="n">
        <f aca="false">IF(K36&gt;asof,K36+IF(N(J36)&gt;0,N(J36),dly_d1_m)/12,K36)</f>
        <v>2028.5</v>
      </c>
      <c r="P36" s="20" t="n">
        <f aca="false">IF(K36=9999,"",ROUNDUP(K36,0)-1)</f>
        <v>2027</v>
      </c>
      <c r="Q36" s="20" t="n">
        <f aca="false">IF(AND(N(G36)=1,K36&lt;9999,L36&gt;0),1,0)</f>
        <v>0</v>
      </c>
      <c r="R36" s="20" t="n">
        <f aca="false">IF(AND(K36&gt;asof,K36&lt;9999,N(S36)&lt;&gt;1,P36&gt;=dly_d2_y0,P36&lt;=dly_d2_y1),1,0)</f>
        <v>1</v>
      </c>
      <c r="S36" s="19" t="n">
        <f aca="false">IF(In!O217="","",In!O217)</f>
        <v>0</v>
      </c>
    </row>
    <row r="37" customFormat="false" ht="15" hidden="false" customHeight="false" outlineLevel="0" collapsed="false">
      <c r="A37" s="0" t="s">
        <v>658</v>
      </c>
      <c r="B37" s="19" t="str">
        <f aca="false">In!B218</f>
        <v>CoreWeave Lancaster PA</v>
      </c>
      <c r="C37" s="19" t="str">
        <f aca="false">IF(In!H218="","",In!H218)</f>
        <v>crwv</v>
      </c>
      <c r="D37" s="19" t="str">
        <f aca="false">IF(In!I218="","",In!I218)</f>
        <v/>
      </c>
      <c r="E37" s="19" t="n">
        <f aca="false">IF(In!J218="","",In!J218)</f>
        <v>100</v>
      </c>
      <c r="F37" s="19" t="str">
        <f aca="false">In!C218</f>
        <v>未說明</v>
      </c>
      <c r="G37" s="19" t="n">
        <f aca="false">IF(In!N218="","",In!N218)</f>
        <v>0</v>
      </c>
      <c r="H37" s="19" t="n">
        <f aca="false">IF(In!K218="","",In!K218)</f>
        <v>2027</v>
      </c>
      <c r="I37" s="19" t="n">
        <f aca="false">IF(In!L218="","",In!L218)</f>
        <v>12</v>
      </c>
      <c r="J37" s="19" t="n">
        <f aca="false">N(In!M218)</f>
        <v>0</v>
      </c>
      <c r="K37" s="24" t="n">
        <f aca="false">IF(OR(H37="",I37=""),9999,H37+I37/12)</f>
        <v>2028</v>
      </c>
      <c r="L37" s="24" t="n">
        <f aca="false">IF(E37="",0,IF(F37="設施",E37/1000/INDEX(Players!$D$13:$M$13,1,MAX(1,MIN(10,H37-2022))),E37/1000*g_ITtoFac))</f>
        <v>0.1</v>
      </c>
      <c r="M37" s="24" t="n">
        <f aca="false">K37</f>
        <v>2028</v>
      </c>
      <c r="N37" s="24" t="n">
        <f aca="false">IF(K37&gt;asof,K37+N(J37)/12,K37)</f>
        <v>2028</v>
      </c>
      <c r="O37" s="24" t="n">
        <f aca="false">IF(K37&gt;asof,K37+IF(N(J37)&gt;0,N(J37),dly_d1_m)/12,K37)</f>
        <v>2028.5</v>
      </c>
      <c r="P37" s="20" t="n">
        <f aca="false">IF(K37=9999,"",ROUNDUP(K37,0)-1)</f>
        <v>2027</v>
      </c>
      <c r="Q37" s="20" t="n">
        <f aca="false">IF(AND(N(G37)=1,K37&lt;9999,L37&gt;0),1,0)</f>
        <v>0</v>
      </c>
      <c r="R37" s="20" t="n">
        <f aca="false">IF(AND(K37&gt;asof,K37&lt;9999,N(S37)&lt;&gt;1,P37&gt;=dly_d2_y0,P37&lt;=dly_d2_y1),1,0)</f>
        <v>1</v>
      </c>
      <c r="S37" s="19" t="n">
        <f aca="false">IF(In!O218="","",In!O218)</f>
        <v>0</v>
      </c>
    </row>
    <row r="38" customFormat="false" ht="17.15" hidden="false" customHeight="false" outlineLevel="0" collapsed="false">
      <c r="A38" s="0" t="s">
        <v>661</v>
      </c>
      <c r="B38" s="19" t="str">
        <f aca="false">In!B219</f>
        <v>Cipher Black Pearl（Amazon）</v>
      </c>
      <c r="C38" s="19" t="str">
        <f aca="false">IF(In!H219="","",In!H219)</f>
        <v>amzn</v>
      </c>
      <c r="D38" s="19" t="str">
        <f aca="false">IF(In!I219="","",In!I219)</f>
        <v/>
      </c>
      <c r="E38" s="19" t="n">
        <f aca="false">IF(In!J219="","",In!J219)</f>
        <v>216</v>
      </c>
      <c r="F38" s="19" t="str">
        <f aca="false">In!C219</f>
        <v>IT</v>
      </c>
      <c r="G38" s="19" t="n">
        <f aca="false">IF(In!N219="","",In!N219)</f>
        <v>0</v>
      </c>
      <c r="H38" s="19" t="n">
        <f aca="false">IF(In!K219="","",In!K219)</f>
        <v>2026</v>
      </c>
      <c r="I38" s="19" t="n">
        <f aca="false">IF(In!L219="","",In!L219)</f>
        <v>10</v>
      </c>
      <c r="J38" s="19" t="n">
        <f aca="false">N(In!M219)</f>
        <v>0</v>
      </c>
      <c r="K38" s="24" t="n">
        <f aca="false">IF(OR(H38="",I38=""),9999,H38+I38/12)</f>
        <v>2026.83333333333</v>
      </c>
      <c r="L38" s="24" t="n">
        <f aca="false">IF(E38="",0,IF(F38="設施",E38/1000/INDEX(Players!$D$13:$M$13,1,MAX(1,MIN(10,H38-2022))),E38/1000*g_ITtoFac))</f>
        <v>0.216</v>
      </c>
      <c r="M38" s="24" t="n">
        <f aca="false">K38</f>
        <v>2026.83333333333</v>
      </c>
      <c r="N38" s="24" t="n">
        <f aca="false">IF(K38&gt;asof,K38+N(J38)/12,K38)</f>
        <v>2026.83333333333</v>
      </c>
      <c r="O38" s="24" t="n">
        <f aca="false">IF(K38&gt;asof,K38+IF(N(J38)&gt;0,N(J38),dly_d1_m)/12,K38)</f>
        <v>2027.33333333333</v>
      </c>
      <c r="P38" s="20" t="n">
        <f aca="false">IF(K38=9999,"",ROUNDUP(K38,0)-1)</f>
        <v>2026</v>
      </c>
      <c r="Q38" s="20" t="n">
        <f aca="false">IF(AND(N(G38)=1,K38&lt;9999,L38&gt;0),1,0)</f>
        <v>0</v>
      </c>
      <c r="R38" s="20" t="n">
        <f aca="false">IF(AND(K38&gt;asof,K38&lt;9999,N(S38)&lt;&gt;1,P38&gt;=dly_d2_y0,P38&lt;=dly_d2_y1),1,0)</f>
        <v>0</v>
      </c>
      <c r="S38" s="19" t="n">
        <f aca="false">IF(In!O219="","",In!O219)</f>
        <v>0</v>
      </c>
    </row>
    <row r="39" customFormat="false" ht="17.15" hidden="false" customHeight="false" outlineLevel="0" collapsed="false">
      <c r="A39" s="0" t="s">
        <v>664</v>
      </c>
      <c r="B39" s="19" t="str">
        <f aca="false">In!B220</f>
        <v>Google–Blackstone TPU 雲合資</v>
      </c>
      <c r="C39" s="19" t="str">
        <f aca="false">IF(In!H220="","",In!H220)</f>
        <v>googl</v>
      </c>
      <c r="D39" s="19" t="str">
        <f aca="false">IF(In!I220="","",In!I220)</f>
        <v/>
      </c>
      <c r="E39" s="19" t="n">
        <f aca="false">IF(In!J220="","",In!J220)</f>
        <v>500</v>
      </c>
      <c r="F39" s="19" t="str">
        <f aca="false">In!C220</f>
        <v>未說明</v>
      </c>
      <c r="G39" s="19" t="n">
        <f aca="false">IF(In!N220="","",In!N220)</f>
        <v>0</v>
      </c>
      <c r="H39" s="19" t="n">
        <f aca="false">IF(In!K220="","",In!K220)</f>
        <v>2027</v>
      </c>
      <c r="I39" s="19" t="n">
        <f aca="false">IF(In!L220="","",In!L220)</f>
        <v>12</v>
      </c>
      <c r="J39" s="19" t="n">
        <f aca="false">N(In!M220)</f>
        <v>0</v>
      </c>
      <c r="K39" s="24" t="n">
        <f aca="false">IF(OR(H39="",I39=""),9999,H39+I39/12)</f>
        <v>2028</v>
      </c>
      <c r="L39" s="24" t="n">
        <f aca="false">IF(E39="",0,IF(F39="設施",E39/1000/INDEX(Players!$D$13:$M$13,1,MAX(1,MIN(10,H39-2022))),E39/1000*g_ITtoFac))</f>
        <v>0.5</v>
      </c>
      <c r="M39" s="24" t="n">
        <f aca="false">K39</f>
        <v>2028</v>
      </c>
      <c r="N39" s="24" t="n">
        <f aca="false">IF(K39&gt;asof,K39+N(J39)/12,K39)</f>
        <v>2028</v>
      </c>
      <c r="O39" s="24" t="n">
        <f aca="false">IF(K39&gt;asof,K39+IF(N(J39)&gt;0,N(J39),dly_d1_m)/12,K39)</f>
        <v>2028.5</v>
      </c>
      <c r="P39" s="20" t="n">
        <f aca="false">IF(K39=9999,"",ROUNDUP(K39,0)-1)</f>
        <v>2027</v>
      </c>
      <c r="Q39" s="20" t="n">
        <f aca="false">IF(AND(N(G39)=1,K39&lt;9999,L39&gt;0),1,0)</f>
        <v>0</v>
      </c>
      <c r="R39" s="20" t="n">
        <f aca="false">IF(AND(K39&gt;asof,K39&lt;9999,N(S39)&lt;&gt;1,P39&gt;=dly_d2_y0,P39&lt;=dly_d2_y1),1,0)</f>
        <v>1</v>
      </c>
      <c r="S39" s="19" t="n">
        <f aca="false">IF(In!O220="","",In!O220)</f>
        <v>0</v>
      </c>
    </row>
    <row r="40" customFormat="false" ht="15" hidden="false" customHeight="false" outlineLevel="0" collapsed="false">
      <c r="A40" s="0" t="s">
        <v>667</v>
      </c>
      <c r="B40" s="19" t="str">
        <f aca="false">In!B221</f>
        <v>Stargate Milam County</v>
      </c>
      <c r="C40" s="19" t="str">
        <f aca="false">IF(In!H221="","",In!H221)</f>
        <v>oai</v>
      </c>
      <c r="D40" s="19" t="str">
        <f aca="false">IF(In!I221="","",In!I221)</f>
        <v>oai</v>
      </c>
      <c r="E40" s="19" t="n">
        <f aca="false">IF(In!J221="","",In!J221)</f>
        <v>308</v>
      </c>
      <c r="F40" s="19" t="str">
        <f aca="false">In!C221</f>
        <v>IT</v>
      </c>
      <c r="G40" s="19" t="n">
        <f aca="false">IF(In!N221="","",In!N221)</f>
        <v>1</v>
      </c>
      <c r="H40" s="19" t="n">
        <f aca="false">IF(In!K221="","",In!K221)</f>
        <v>2027</v>
      </c>
      <c r="I40" s="19" t="n">
        <f aca="false">IF(In!L221="","",In!L221)</f>
        <v>6</v>
      </c>
      <c r="J40" s="19" t="n">
        <f aca="false">N(In!M221)</f>
        <v>0</v>
      </c>
      <c r="K40" s="24" t="n">
        <f aca="false">IF(OR(H40="",I40=""),9999,H40+I40/12)</f>
        <v>2027.5</v>
      </c>
      <c r="L40" s="24" t="n">
        <f aca="false">IF(E40="",0,IF(F40="設施",E40/1000/INDEX(Players!$D$13:$M$13,1,MAX(1,MIN(10,H40-2022))),E40/1000*g_ITtoFac))</f>
        <v>0.308</v>
      </c>
      <c r="M40" s="24" t="n">
        <f aca="false">K40</f>
        <v>2027.5</v>
      </c>
      <c r="N40" s="24" t="n">
        <f aca="false">IF(K40&gt;asof,K40+N(J40)/12,K40)</f>
        <v>2027.5</v>
      </c>
      <c r="O40" s="24" t="n">
        <f aca="false">IF(K40&gt;asof,K40+IF(N(J40)&gt;0,N(J40),dly_d1_m)/12,K40)</f>
        <v>2028</v>
      </c>
      <c r="P40" s="20" t="n">
        <f aca="false">IF(K40=9999,"",ROUNDUP(K40,0)-1)</f>
        <v>2027</v>
      </c>
      <c r="Q40" s="20" t="n">
        <f aca="false">IF(AND(N(G40)=1,K40&lt;9999,L40&gt;0),1,0)</f>
        <v>1</v>
      </c>
      <c r="R40" s="20" t="n">
        <f aca="false">IF(AND(K40&gt;asof,K40&lt;9999,N(S40)&lt;&gt;1,P40&gt;=dly_d2_y0,P40&lt;=dly_d2_y1),1,0)</f>
        <v>1</v>
      </c>
      <c r="S40" s="19" t="n">
        <f aca="false">IF(In!O221="","",In!O221)</f>
        <v>0</v>
      </c>
    </row>
    <row r="41" customFormat="false" ht="15" hidden="false" customHeight="false" outlineLevel="0" collapsed="false">
      <c r="A41" s="0" t="s">
        <v>670</v>
      </c>
      <c r="B41" s="19" t="str">
        <f aca="false">In!B222</f>
        <v>Stargate Lordstown</v>
      </c>
      <c r="C41" s="19" t="str">
        <f aca="false">IF(In!H222="","",In!H222)</f>
        <v>oai</v>
      </c>
      <c r="D41" s="19" t="str">
        <f aca="false">IF(In!I222="","",In!I222)</f>
        <v>oai</v>
      </c>
      <c r="E41" s="19" t="n">
        <f aca="false">IF(In!J222="","",In!J222)</f>
        <v>214</v>
      </c>
      <c r="F41" s="19" t="str">
        <f aca="false">In!C222</f>
        <v>IT</v>
      </c>
      <c r="G41" s="19" t="n">
        <f aca="false">IF(In!N222="","",In!N222)</f>
        <v>0</v>
      </c>
      <c r="H41" s="19" t="n">
        <f aca="false">IF(In!K222="","",In!K222)</f>
        <v>2027</v>
      </c>
      <c r="I41" s="19" t="n">
        <f aca="false">IF(In!L222="","",In!L222)</f>
        <v>3</v>
      </c>
      <c r="J41" s="19" t="n">
        <f aca="false">N(In!M222)</f>
        <v>0</v>
      </c>
      <c r="K41" s="24" t="n">
        <f aca="false">IF(OR(H41="",I41=""),9999,H41+I41/12)</f>
        <v>2027.25</v>
      </c>
      <c r="L41" s="24" t="n">
        <f aca="false">IF(E41="",0,IF(F41="設施",E41/1000/INDEX(Players!$D$13:$M$13,1,MAX(1,MIN(10,H41-2022))),E41/1000*g_ITtoFac))</f>
        <v>0.214</v>
      </c>
      <c r="M41" s="24" t="n">
        <f aca="false">K41</f>
        <v>2027.25</v>
      </c>
      <c r="N41" s="24" t="n">
        <f aca="false">IF(K41&gt;asof,K41+N(J41)/12,K41)</f>
        <v>2027.25</v>
      </c>
      <c r="O41" s="24" t="n">
        <f aca="false">IF(K41&gt;asof,K41+IF(N(J41)&gt;0,N(J41),dly_d1_m)/12,K41)</f>
        <v>2027.75</v>
      </c>
      <c r="P41" s="20" t="n">
        <f aca="false">IF(K41=9999,"",ROUNDUP(K41,0)-1)</f>
        <v>2027</v>
      </c>
      <c r="Q41" s="20" t="n">
        <f aca="false">IF(AND(N(G41)=1,K41&lt;9999,L41&gt;0),1,0)</f>
        <v>0</v>
      </c>
      <c r="R41" s="20" t="n">
        <f aca="false">IF(AND(K41&gt;asof,K41&lt;9999,N(S41)&lt;&gt;1,P41&gt;=dly_d2_y0,P41&lt;=dly_d2_y1),1,0)</f>
        <v>1</v>
      </c>
      <c r="S41" s="19" t="n">
        <f aca="false">IF(In!O222="","",In!O222)</f>
        <v>0</v>
      </c>
    </row>
    <row r="42" customFormat="false" ht="17.15" hidden="false" customHeight="false" outlineLevel="0" collapsed="false">
      <c r="A42" s="0" t="s">
        <v>673</v>
      </c>
      <c r="B42" s="19" t="str">
        <f aca="false">In!B223</f>
        <v>Cerebras（OpenAI）</v>
      </c>
      <c r="C42" s="19" t="str">
        <f aca="false">IF(In!H223="","",In!H223)</f>
        <v>neo</v>
      </c>
      <c r="D42" s="19" t="str">
        <f aca="false">IF(In!I223="","",In!I223)</f>
        <v>oai</v>
      </c>
      <c r="E42" s="19" t="n">
        <f aca="false">IF(In!J223="","",In!J223)</f>
        <v>750</v>
      </c>
      <c r="F42" s="19" t="str">
        <f aca="false">In!C223</f>
        <v>IT</v>
      </c>
      <c r="G42" s="19" t="n">
        <f aca="false">IF(In!N223="","",In!N223)</f>
        <v>0</v>
      </c>
      <c r="H42" s="19" t="n">
        <f aca="false">IF(In!K223="","",In!K223)</f>
        <v>2028</v>
      </c>
      <c r="I42" s="19" t="n">
        <f aca="false">IF(In!L223="","",In!L223)</f>
        <v>12</v>
      </c>
      <c r="J42" s="19" t="n">
        <f aca="false">N(In!M223)</f>
        <v>0</v>
      </c>
      <c r="K42" s="24" t="n">
        <f aca="false">IF(OR(H42="",I42=""),9999,H42+I42/12)</f>
        <v>2029</v>
      </c>
      <c r="L42" s="24" t="n">
        <f aca="false">IF(E42="",0,IF(F42="設施",E42/1000/INDEX(Players!$D$13:$M$13,1,MAX(1,MIN(10,H42-2022))),E42/1000*g_ITtoFac))</f>
        <v>0.75</v>
      </c>
      <c r="M42" s="24" t="n">
        <f aca="false">K42</f>
        <v>2029</v>
      </c>
      <c r="N42" s="24" t="n">
        <f aca="false">IF(K42&gt;asof,K42+N(J42)/12,K42)</f>
        <v>2029</v>
      </c>
      <c r="O42" s="24" t="n">
        <f aca="false">IF(K42&gt;asof,K42+IF(N(J42)&gt;0,N(J42),dly_d1_m)/12,K42)</f>
        <v>2029.5</v>
      </c>
      <c r="P42" s="20" t="n">
        <f aca="false">IF(K42=9999,"",ROUNDUP(K42,0)-1)</f>
        <v>2028</v>
      </c>
      <c r="Q42" s="20" t="n">
        <f aca="false">IF(AND(N(G42)=1,K42&lt;9999,L42&gt;0),1,0)</f>
        <v>0</v>
      </c>
      <c r="R42" s="20" t="n">
        <f aca="false">IF(AND(K42&gt;asof,K42&lt;9999,N(S42)&lt;&gt;1,P42&gt;=dly_d2_y0,P42&lt;=dly_d2_y1),1,0)</f>
        <v>1</v>
      </c>
      <c r="S42" s="19" t="n">
        <f aca="false">IF(In!O223="","",In!O223)</f>
        <v>0</v>
      </c>
    </row>
    <row r="43" customFormat="false" ht="17.15" hidden="false" customHeight="false" outlineLevel="0" collapsed="false">
      <c r="A43" s="0" t="s">
        <v>676</v>
      </c>
      <c r="B43" s="19" t="str">
        <f aca="false">In!B224</f>
        <v>Stargate UAE 第一期</v>
      </c>
      <c r="C43" s="19" t="str">
        <f aca="false">IF(In!H224="","",In!H224)</f>
        <v>sov</v>
      </c>
      <c r="D43" s="19" t="str">
        <f aca="false">IF(In!I224="","",In!I224)</f>
        <v>oai</v>
      </c>
      <c r="E43" s="19" t="n">
        <f aca="false">IF(In!J224="","",In!J224)</f>
        <v>200</v>
      </c>
      <c r="F43" s="19" t="str">
        <f aca="false">In!C224</f>
        <v>未說明</v>
      </c>
      <c r="G43" s="19" t="n">
        <f aca="false">IF(In!N224="","",In!N224)</f>
        <v>1</v>
      </c>
      <c r="H43" s="19" t="n">
        <f aca="false">IF(In!K224="","",In!K224)</f>
        <v>2026</v>
      </c>
      <c r="I43" s="19" t="n">
        <f aca="false">IF(In!L224="","",In!L224)</f>
        <v>12</v>
      </c>
      <c r="J43" s="19" t="n">
        <f aca="false">N(In!M224)</f>
        <v>0</v>
      </c>
      <c r="K43" s="24" t="n">
        <f aca="false">IF(OR(H43="",I43=""),9999,H43+I43/12)</f>
        <v>2027</v>
      </c>
      <c r="L43" s="24" t="n">
        <f aca="false">IF(E43="",0,IF(F43="設施",E43/1000/INDEX(Players!$D$13:$M$13,1,MAX(1,MIN(10,H43-2022))),E43/1000*g_ITtoFac))</f>
        <v>0.2</v>
      </c>
      <c r="M43" s="24" t="n">
        <f aca="false">K43</f>
        <v>2027</v>
      </c>
      <c r="N43" s="24" t="n">
        <f aca="false">IF(K43&gt;asof,K43+N(J43)/12,K43)</f>
        <v>2027</v>
      </c>
      <c r="O43" s="24" t="n">
        <f aca="false">IF(K43&gt;asof,K43+IF(N(J43)&gt;0,N(J43),dly_d1_m)/12,K43)</f>
        <v>2027.5</v>
      </c>
      <c r="P43" s="20" t="n">
        <f aca="false">IF(K43=9999,"",ROUNDUP(K43,0)-1)</f>
        <v>2026</v>
      </c>
      <c r="Q43" s="20" t="n">
        <f aca="false">IF(AND(N(G43)=1,K43&lt;9999,L43&gt;0),1,0)</f>
        <v>1</v>
      </c>
      <c r="R43" s="20" t="n">
        <f aca="false">IF(AND(K43&gt;asof,K43&lt;9999,N(S43)&lt;&gt;1,P43&gt;=dly_d2_y0,P43&lt;=dly_d2_y1),1,0)</f>
        <v>0</v>
      </c>
      <c r="S43" s="19" t="n">
        <f aca="false">IF(In!O224="","",In!O224)</f>
        <v>0</v>
      </c>
    </row>
    <row r="44" customFormat="false" ht="17.15" hidden="false" customHeight="false" outlineLevel="0" collapsed="false">
      <c r="A44" s="0" t="s">
        <v>679</v>
      </c>
      <c r="B44" s="19" t="str">
        <f aca="false">In!B225</f>
        <v>Mistral／MGX 法國</v>
      </c>
      <c r="C44" s="19" t="str">
        <f aca="false">IF(In!H225="","",In!H225)</f>
        <v>sov</v>
      </c>
      <c r="D44" s="19" t="str">
        <f aca="false">IF(In!I225="","",In!I225)</f>
        <v/>
      </c>
      <c r="E44" s="19" t="n">
        <f aca="false">IF(In!J225="","",In!J225)</f>
        <v>96</v>
      </c>
      <c r="F44" s="19" t="str">
        <f aca="false">In!C225</f>
        <v>未說明</v>
      </c>
      <c r="G44" s="19" t="n">
        <f aca="false">IF(In!N225="","",In!N225)</f>
        <v>1</v>
      </c>
      <c r="H44" s="19" t="n">
        <f aca="false">IF(In!K225="","",In!K225)</f>
        <v>2028</v>
      </c>
      <c r="I44" s="19" t="n">
        <f aca="false">IF(In!L225="","",In!L225)</f>
        <v>3</v>
      </c>
      <c r="J44" s="19" t="n">
        <f aca="false">N(In!M225)</f>
        <v>0</v>
      </c>
      <c r="K44" s="24" t="n">
        <f aca="false">IF(OR(H44="",I44=""),9999,H44+I44/12)</f>
        <v>2028.25</v>
      </c>
      <c r="L44" s="24" t="n">
        <f aca="false">IF(E44="",0,IF(F44="設施",E44/1000/INDEX(Players!$D$13:$M$13,1,MAX(1,MIN(10,H44-2022))),E44/1000*g_ITtoFac))</f>
        <v>0.096</v>
      </c>
      <c r="M44" s="24" t="n">
        <f aca="false">K44</f>
        <v>2028.25</v>
      </c>
      <c r="N44" s="24" t="n">
        <f aca="false">IF(K44&gt;asof,K44+N(J44)/12,K44)</f>
        <v>2028.25</v>
      </c>
      <c r="O44" s="24" t="n">
        <f aca="false">IF(K44&gt;asof,K44+IF(N(J44)&gt;0,N(J44),dly_d1_m)/12,K44)</f>
        <v>2028.75</v>
      </c>
      <c r="P44" s="20" t="n">
        <f aca="false">IF(K44=9999,"",ROUNDUP(K44,0)-1)</f>
        <v>2028</v>
      </c>
      <c r="Q44" s="20" t="n">
        <f aca="false">IF(AND(N(G44)=1,K44&lt;9999,L44&gt;0),1,0)</f>
        <v>1</v>
      </c>
      <c r="R44" s="20" t="n">
        <f aca="false">IF(AND(K44&gt;asof,K44&lt;9999,N(S44)&lt;&gt;1,P44&gt;=dly_d2_y0,P44&lt;=dly_d2_y1),1,0)</f>
        <v>1</v>
      </c>
      <c r="S44" s="19" t="n">
        <f aca="false">IF(In!O225="","",In!O225)</f>
        <v>0</v>
      </c>
    </row>
    <row r="45" customFormat="false" ht="17.15" hidden="false" customHeight="false" outlineLevel="0" collapsed="false">
      <c r="A45" s="0" t="s">
        <v>682</v>
      </c>
      <c r="B45" s="19" t="str">
        <f aca="false">In!B226</f>
        <v>Nexus Hubbard TX（Anthropic）</v>
      </c>
      <c r="C45" s="19" t="str">
        <f aca="false">IF(In!H226="","",In!H226)</f>
        <v>neo</v>
      </c>
      <c r="D45" s="19" t="str">
        <f aca="false">IF(In!I226="","",In!I226)</f>
        <v>ant</v>
      </c>
      <c r="E45" s="19" t="n">
        <f aca="false">IF(In!J226="","",In!J226)</f>
        <v>500</v>
      </c>
      <c r="F45" s="19" t="str">
        <f aca="false">In!C226</f>
        <v>未說明</v>
      </c>
      <c r="G45" s="19" t="n">
        <f aca="false">IF(In!N226="","",In!N226)</f>
        <v>0</v>
      </c>
      <c r="H45" s="19" t="n">
        <f aca="false">IF(In!K226="","",In!K226)</f>
        <v>2026</v>
      </c>
      <c r="I45" s="19" t="n">
        <f aca="false">IF(In!L226="","",In!L226)</f>
        <v>12</v>
      </c>
      <c r="J45" s="19" t="n">
        <f aca="false">N(In!M226)</f>
        <v>0</v>
      </c>
      <c r="K45" s="24" t="n">
        <f aca="false">IF(OR(H45="",I45=""),9999,H45+I45/12)</f>
        <v>2027</v>
      </c>
      <c r="L45" s="24" t="n">
        <f aca="false">IF(E45="",0,IF(F45="設施",E45/1000/INDEX(Players!$D$13:$M$13,1,MAX(1,MIN(10,H45-2022))),E45/1000*g_ITtoFac))</f>
        <v>0.5</v>
      </c>
      <c r="M45" s="24" t="n">
        <f aca="false">K45</f>
        <v>2027</v>
      </c>
      <c r="N45" s="24" t="n">
        <f aca="false">IF(K45&gt;asof,K45+N(J45)/12,K45)</f>
        <v>2027</v>
      </c>
      <c r="O45" s="24" t="n">
        <f aca="false">IF(K45&gt;asof,K45+IF(N(J45)&gt;0,N(J45),dly_d1_m)/12,K45)</f>
        <v>2027.5</v>
      </c>
      <c r="P45" s="20" t="n">
        <f aca="false">IF(K45=9999,"",ROUNDUP(K45,0)-1)</f>
        <v>2026</v>
      </c>
      <c r="Q45" s="20" t="n">
        <f aca="false">IF(AND(N(G45)=1,K45&lt;9999,L45&gt;0),1,0)</f>
        <v>0</v>
      </c>
      <c r="R45" s="20" t="n">
        <f aca="false">IF(AND(K45&gt;asof,K45&lt;9999,N(S45)&lt;&gt;1,P45&gt;=dly_d2_y0,P45&lt;=dly_d2_y1),1,0)</f>
        <v>0</v>
      </c>
      <c r="S45" s="19" t="n">
        <f aca="false">IF(In!O226="","",In!O226)</f>
        <v>0</v>
      </c>
    </row>
    <row r="46" customFormat="false" ht="17.15" hidden="false" customHeight="false" outlineLevel="0" collapsed="false">
      <c r="A46" s="0" t="s">
        <v>685</v>
      </c>
      <c r="B46" s="19" t="str">
        <f aca="false">In!B227</f>
        <v>Hut 8 River Bend（Fluidstack／Anthropic）</v>
      </c>
      <c r="C46" s="19" t="str">
        <f aca="false">IF(In!H227="","",In!H227)</f>
        <v>neo</v>
      </c>
      <c r="D46" s="19" t="str">
        <f aca="false">IF(In!I227="","",In!I227)</f>
        <v>ant</v>
      </c>
      <c r="E46" s="19" t="n">
        <f aca="false">IF(In!J227="","",In!J227)</f>
        <v>245</v>
      </c>
      <c r="F46" s="19" t="str">
        <f aca="false">In!C227</f>
        <v>未說明</v>
      </c>
      <c r="G46" s="19" t="n">
        <f aca="false">IF(In!N227="","",In!N227)</f>
        <v>0</v>
      </c>
      <c r="H46" s="19" t="n">
        <f aca="false">IF(In!K227="","",In!K227)</f>
        <v>2027</v>
      </c>
      <c r="I46" s="19" t="n">
        <f aca="false">IF(In!L227="","",In!L227)</f>
        <v>6</v>
      </c>
      <c r="J46" s="19" t="n">
        <f aca="false">N(In!M227)</f>
        <v>0</v>
      </c>
      <c r="K46" s="24" t="n">
        <f aca="false">IF(OR(H46="",I46=""),9999,H46+I46/12)</f>
        <v>2027.5</v>
      </c>
      <c r="L46" s="24" t="n">
        <f aca="false">IF(E46="",0,IF(F46="設施",E46/1000/INDEX(Players!$D$13:$M$13,1,MAX(1,MIN(10,H46-2022))),E46/1000*g_ITtoFac))</f>
        <v>0.245</v>
      </c>
      <c r="M46" s="24" t="n">
        <f aca="false">K46</f>
        <v>2027.5</v>
      </c>
      <c r="N46" s="24" t="n">
        <f aca="false">IF(K46&gt;asof,K46+N(J46)/12,K46)</f>
        <v>2027.5</v>
      </c>
      <c r="O46" s="24" t="n">
        <f aca="false">IF(K46&gt;asof,K46+IF(N(J46)&gt;0,N(J46),dly_d1_m)/12,K46)</f>
        <v>2028</v>
      </c>
      <c r="P46" s="20" t="n">
        <f aca="false">IF(K46=9999,"",ROUNDUP(K46,0)-1)</f>
        <v>2027</v>
      </c>
      <c r="Q46" s="20" t="n">
        <f aca="false">IF(AND(N(G46)=1,K46&lt;9999,L46&gt;0),1,0)</f>
        <v>0</v>
      </c>
      <c r="R46" s="20" t="n">
        <f aca="false">IF(AND(K46&gt;asof,K46&lt;9999,N(S46)&lt;&gt;1,P46&gt;=dly_d2_y0,P46&lt;=dly_d2_y1),1,0)</f>
        <v>1</v>
      </c>
      <c r="S46" s="19" t="n">
        <f aca="false">IF(In!O227="","",In!O227)</f>
        <v>0</v>
      </c>
    </row>
    <row r="47" customFormat="false" ht="17.15" hidden="false" customHeight="false" outlineLevel="0" collapsed="false">
      <c r="A47" s="0" t="s">
        <v>688</v>
      </c>
      <c r="B47" s="19" t="str">
        <f aca="false">In!B228</f>
        <v>Colossus 2 增量（1,531 MW-IT 2027）</v>
      </c>
      <c r="C47" s="19" t="str">
        <f aca="false">IF(In!H228="","",In!H228)</f>
        <v>xai</v>
      </c>
      <c r="D47" s="19" t="str">
        <f aca="false">IF(In!I228="","",In!I228)</f>
        <v/>
      </c>
      <c r="E47" s="19" t="n">
        <f aca="false">IF(In!J228="","",In!J228)</f>
        <v>585</v>
      </c>
      <c r="F47" s="19" t="str">
        <f aca="false">In!C228</f>
        <v>IT</v>
      </c>
      <c r="G47" s="19" t="n">
        <f aca="false">IF(In!N228="","",In!N228)</f>
        <v>1</v>
      </c>
      <c r="H47" s="19" t="n">
        <f aca="false">IF(In!K228="","",In!K228)</f>
        <v>2027</v>
      </c>
      <c r="I47" s="19" t="n">
        <f aca="false">IF(In!L228="","",In!L228)</f>
        <v>3</v>
      </c>
      <c r="J47" s="19" t="n">
        <f aca="false">N(In!M228)</f>
        <v>0</v>
      </c>
      <c r="K47" s="24" t="n">
        <f aca="false">IF(OR(H47="",I47=""),9999,H47+I47/12)</f>
        <v>2027.25</v>
      </c>
      <c r="L47" s="24" t="n">
        <f aca="false">IF(E47="",0,IF(F47="設施",E47/1000/INDEX(Players!$D$13:$M$13,1,MAX(1,MIN(10,H47-2022))),E47/1000*g_ITtoFac))</f>
        <v>0.585</v>
      </c>
      <c r="M47" s="24" t="n">
        <f aca="false">K47</f>
        <v>2027.25</v>
      </c>
      <c r="N47" s="24" t="n">
        <f aca="false">IF(K47&gt;asof,K47+N(J47)/12,K47)</f>
        <v>2027.25</v>
      </c>
      <c r="O47" s="24" t="n">
        <f aca="false">IF(K47&gt;asof,K47+IF(N(J47)&gt;0,N(J47),dly_d1_m)/12,K47)</f>
        <v>2027.75</v>
      </c>
      <c r="P47" s="20" t="n">
        <f aca="false">IF(K47=9999,"",ROUNDUP(K47,0)-1)</f>
        <v>2027</v>
      </c>
      <c r="Q47" s="20" t="n">
        <f aca="false">IF(AND(N(G47)=1,K47&lt;9999,L47&gt;0),1,0)</f>
        <v>1</v>
      </c>
      <c r="R47" s="20" t="n">
        <f aca="false">IF(AND(K47&gt;asof,K47&lt;9999,N(S47)&lt;&gt;1,P47&gt;=dly_d2_y0,P47&lt;=dly_d2_y1),1,0)</f>
        <v>1</v>
      </c>
      <c r="S47" s="19" t="n">
        <f aca="false">IF(In!O228="","",In!O228)</f>
        <v>0</v>
      </c>
    </row>
    <row r="48" customFormat="false" ht="17.15" hidden="false" customHeight="false" outlineLevel="0" collapsed="false">
      <c r="A48" s="0" t="s">
        <v>691</v>
      </c>
      <c r="B48" s="19" t="str">
        <f aca="false">In!B229</f>
        <v>Fairwater Atlanta B3–4（636 − 321）</v>
      </c>
      <c r="C48" s="19" t="str">
        <f aca="false">IF(In!H229="","",In!H229)</f>
        <v>msft</v>
      </c>
      <c r="D48" s="19" t="str">
        <f aca="false">IF(In!I229="","",In!I229)</f>
        <v/>
      </c>
      <c r="E48" s="19" t="n">
        <f aca="false">IF(In!J229="","",In!J229)</f>
        <v>315</v>
      </c>
      <c r="F48" s="19" t="str">
        <f aca="false">In!C229</f>
        <v>IT</v>
      </c>
      <c r="G48" s="19" t="n">
        <f aca="false">IF(In!N229="","",In!N229)</f>
        <v>1</v>
      </c>
      <c r="H48" s="19" t="n">
        <f aca="false">IF(In!K229="","",In!K229)</f>
        <v>2026</v>
      </c>
      <c r="I48" s="19" t="n">
        <f aca="false">IF(In!L229="","",In!L229)</f>
        <v>6</v>
      </c>
      <c r="J48" s="19" t="n">
        <f aca="false">N(In!M229)</f>
        <v>0</v>
      </c>
      <c r="K48" s="24" t="n">
        <f aca="false">IF(OR(H48="",I48=""),9999,H48+I48/12)</f>
        <v>2026.5</v>
      </c>
      <c r="L48" s="24" t="n">
        <f aca="false">IF(E48="",0,IF(F48="設施",E48/1000/INDEX(Players!$D$13:$M$13,1,MAX(1,MIN(10,H48-2022))),E48/1000*g_ITtoFac))</f>
        <v>0.315</v>
      </c>
      <c r="M48" s="24" t="n">
        <f aca="false">K48</f>
        <v>2026.5</v>
      </c>
      <c r="N48" s="24" t="n">
        <f aca="false">IF(K48&gt;asof,K48+N(J48)/12,K48)</f>
        <v>2026.5</v>
      </c>
      <c r="O48" s="24" t="n">
        <f aca="false">IF(K48&gt;asof,K48+IF(N(J48)&gt;0,N(J48),dly_d1_m)/12,K48)</f>
        <v>2026.5</v>
      </c>
      <c r="P48" s="20" t="n">
        <f aca="false">IF(K48=9999,"",ROUNDUP(K48,0)-1)</f>
        <v>2026</v>
      </c>
      <c r="Q48" s="20" t="n">
        <f aca="false">IF(AND(N(G48)=1,K48&lt;9999,L48&gt;0),1,0)</f>
        <v>1</v>
      </c>
      <c r="R48" s="20" t="n">
        <f aca="false">IF(AND(K48&gt;asof,K48&lt;9999,N(S48)&lt;&gt;1,P48&gt;=dly_d2_y0,P48&lt;=dly_d2_y1),1,0)</f>
        <v>0</v>
      </c>
      <c r="S48" s="19" t="n">
        <f aca="false">IF(In!O229="","",In!O229)</f>
        <v>0</v>
      </c>
    </row>
    <row r="49" customFormat="false" ht="17.15" hidden="false" customHeight="false" outlineLevel="0" collapsed="false">
      <c r="A49" s="0" t="s">
        <v>695</v>
      </c>
      <c r="B49" s="19" t="str">
        <f aca="false">In!B230</f>
        <v>Fairwater Wisconsin 2027-02 增量</v>
      </c>
      <c r="C49" s="19" t="str">
        <f aca="false">IF(In!H230="","",In!H230)</f>
        <v>msft</v>
      </c>
      <c r="D49" s="19" t="str">
        <f aca="false">IF(In!I230="","",In!I230)</f>
        <v/>
      </c>
      <c r="E49" s="19" t="n">
        <f aca="false">IF(In!J230="","",In!J230)</f>
        <v>368</v>
      </c>
      <c r="F49" s="19" t="str">
        <f aca="false">In!C230</f>
        <v>IT</v>
      </c>
      <c r="G49" s="19" t="n">
        <f aca="false">IF(In!N230="","",In!N230)</f>
        <v>1</v>
      </c>
      <c r="H49" s="19" t="n">
        <f aca="false">IF(In!K230="","",In!K230)</f>
        <v>2027</v>
      </c>
      <c r="I49" s="19" t="n">
        <f aca="false">IF(In!L230="","",In!L230)</f>
        <v>2</v>
      </c>
      <c r="J49" s="19" t="n">
        <f aca="false">N(In!M230)</f>
        <v>0</v>
      </c>
      <c r="K49" s="24" t="n">
        <f aca="false">IF(OR(H49="",I49=""),9999,H49+I49/12)</f>
        <v>2027.16666666667</v>
      </c>
      <c r="L49" s="24" t="n">
        <f aca="false">IF(E49="",0,IF(F49="設施",E49/1000/INDEX(Players!$D$13:$M$13,1,MAX(1,MIN(10,H49-2022))),E49/1000*g_ITtoFac))</f>
        <v>0.368</v>
      </c>
      <c r="M49" s="24" t="n">
        <f aca="false">K49</f>
        <v>2027.16666666667</v>
      </c>
      <c r="N49" s="24" t="n">
        <f aca="false">IF(K49&gt;asof,K49+N(J49)/12,K49)</f>
        <v>2027.16666666667</v>
      </c>
      <c r="O49" s="24" t="n">
        <f aca="false">IF(K49&gt;asof,K49+IF(N(J49)&gt;0,N(J49),dly_d1_m)/12,K49)</f>
        <v>2027.66666666667</v>
      </c>
      <c r="P49" s="20" t="n">
        <f aca="false">IF(K49=9999,"",ROUNDUP(K49,0)-1)</f>
        <v>2027</v>
      </c>
      <c r="Q49" s="20" t="n">
        <f aca="false">IF(AND(N(G49)=1,K49&lt;9999,L49&gt;0),1,0)</f>
        <v>1</v>
      </c>
      <c r="R49" s="20" t="n">
        <f aca="false">IF(AND(K49&gt;asof,K49&lt;9999,N(S49)&lt;&gt;1,P49&gt;=dly_d2_y0,P49&lt;=dly_d2_y1),1,0)</f>
        <v>1</v>
      </c>
      <c r="S49" s="19" t="n">
        <f aca="false">IF(In!O230="","",In!O230)</f>
        <v>0</v>
      </c>
    </row>
    <row r="50" customFormat="false" ht="17.15" hidden="false" customHeight="false" outlineLevel="0" collapsed="false">
      <c r="A50" s="0" t="s">
        <v>698</v>
      </c>
      <c r="B50" s="19" t="str">
        <f aca="false">In!B231</f>
        <v>Abilene 鄰近園區第二棟（Microsoft 承租）</v>
      </c>
      <c r="C50" s="19" t="str">
        <f aca="false">IF(In!H231="","",In!H231)</f>
        <v>msft</v>
      </c>
      <c r="D50" s="19" t="str">
        <f aca="false">IF(In!I231="","",In!I231)</f>
        <v>self</v>
      </c>
      <c r="E50" s="19" t="n">
        <f aca="false">IF(In!J231="","",In!J231)</f>
        <v>336</v>
      </c>
      <c r="F50" s="19" t="str">
        <f aca="false">In!C231</f>
        <v>IT</v>
      </c>
      <c r="G50" s="19" t="n">
        <f aca="false">IF(In!N231="","",In!N231)</f>
        <v>1</v>
      </c>
      <c r="H50" s="19" t="n">
        <f aca="false">IF(In!K231="","",In!K231)</f>
        <v>2027</v>
      </c>
      <c r="I50" s="19" t="n">
        <f aca="false">IF(In!L231="","",In!L231)</f>
        <v>12</v>
      </c>
      <c r="J50" s="19" t="n">
        <f aca="false">N(In!M231)</f>
        <v>0</v>
      </c>
      <c r="K50" s="24" t="n">
        <f aca="false">IF(OR(H50="",I50=""),9999,H50+I50/12)</f>
        <v>2028</v>
      </c>
      <c r="L50" s="24" t="n">
        <f aca="false">IF(E50="",0,IF(F50="設施",E50/1000/INDEX(Players!$D$13:$M$13,1,MAX(1,MIN(10,H50-2022))),E50/1000*g_ITtoFac))</f>
        <v>0.336</v>
      </c>
      <c r="M50" s="24" t="n">
        <f aca="false">K50</f>
        <v>2028</v>
      </c>
      <c r="N50" s="24" t="n">
        <f aca="false">IF(K50&gt;asof,K50+N(J50)/12,K50)</f>
        <v>2028</v>
      </c>
      <c r="O50" s="24" t="n">
        <f aca="false">IF(K50&gt;asof,K50+IF(N(J50)&gt;0,N(J50),dly_d1_m)/12,K50)</f>
        <v>2028.5</v>
      </c>
      <c r="P50" s="20" t="n">
        <f aca="false">IF(K50=9999,"",ROUNDUP(K50,0)-1)</f>
        <v>2027</v>
      </c>
      <c r="Q50" s="20" t="n">
        <f aca="false">IF(AND(N(G50)=1,K50&lt;9999,L50&gt;0),1,0)</f>
        <v>1</v>
      </c>
      <c r="R50" s="20" t="n">
        <f aca="false">IF(AND(K50&gt;asof,K50&lt;9999,N(S50)&lt;&gt;1,P50&gt;=dly_d2_y0,P50&lt;=dly_d2_y1),1,0)</f>
        <v>1</v>
      </c>
      <c r="S50" s="19" t="n">
        <f aca="false">IF(In!O231="","",In!O231)</f>
        <v>0</v>
      </c>
    </row>
    <row r="51" customFormat="false" ht="17.15" hidden="false" customHeight="false" outlineLevel="0" collapsed="false">
      <c r="A51" s="0" t="s">
        <v>701</v>
      </c>
      <c r="B51" s="19" t="str">
        <f aca="false">In!B232</f>
        <v>Ports Pike（SB Energy）首期 4.25 IT-GW 第 4 段</v>
      </c>
      <c r="C51" s="19" t="str">
        <f aca="false">IF(In!H232="","",In!H232)</f>
        <v>oai</v>
      </c>
      <c r="D51" s="19" t="str">
        <f aca="false">IF(In!I232="","",In!I232)</f>
        <v>oai</v>
      </c>
      <c r="E51" s="19" t="n">
        <f aca="false">IF(In!J232="","",In!J232)</f>
        <v>1150</v>
      </c>
      <c r="F51" s="19" t="str">
        <f aca="false">In!C232</f>
        <v>IT</v>
      </c>
      <c r="G51" s="19" t="n">
        <f aca="false">IF(In!N232="","",In!N232)</f>
        <v>1</v>
      </c>
      <c r="H51" s="19" t="n">
        <f aca="false">IF(In!K232="","",In!K232)</f>
        <v>2031</v>
      </c>
      <c r="I51" s="19" t="n">
        <f aca="false">IF(In!L232="","",In!L232)</f>
        <v>12</v>
      </c>
      <c r="J51" s="19" t="n">
        <f aca="false">N(In!M232)</f>
        <v>0</v>
      </c>
      <c r="K51" s="24" t="n">
        <f aca="false">IF(OR(H51="",I51=""),9999,H51+I51/12)</f>
        <v>2032</v>
      </c>
      <c r="L51" s="24" t="n">
        <f aca="false">IF(E51="",0,IF(F51="設施",E51/1000/INDEX(Players!$D$13:$M$13,1,MAX(1,MIN(10,H51-2022))),E51/1000*g_ITtoFac))</f>
        <v>1.15</v>
      </c>
      <c r="M51" s="24" t="n">
        <f aca="false">K51</f>
        <v>2032</v>
      </c>
      <c r="N51" s="24" t="n">
        <f aca="false">IF(K51&gt;asof,K51+N(J51)/12,K51)</f>
        <v>2032</v>
      </c>
      <c r="O51" s="24" t="n">
        <f aca="false">IF(K51&gt;asof,K51+IF(N(J51)&gt;0,N(J51),dly_d1_m)/12,K51)</f>
        <v>2032.5</v>
      </c>
      <c r="P51" s="20" t="n">
        <f aca="false">IF(K51=9999,"",ROUNDUP(K51,0)-1)</f>
        <v>2031</v>
      </c>
      <c r="Q51" s="20" t="n">
        <f aca="false">IF(AND(N(G51)=1,K51&lt;9999,L51&gt;0),1,0)</f>
        <v>1</v>
      </c>
      <c r="R51" s="20" t="n">
        <f aca="false">IF(AND(K51&gt;asof,K51&lt;9999,N(S51)&lt;&gt;1,P51&gt;=dly_d2_y0,P51&lt;=dly_d2_y1),1,0)</f>
        <v>0</v>
      </c>
      <c r="S51" s="19" t="n">
        <f aca="false">IF(In!O232="","",In!O232)</f>
        <v>0</v>
      </c>
    </row>
    <row r="52" customFormat="false" ht="17.15" hidden="false" customHeight="false" outlineLevel="0" collapsed="false">
      <c r="A52" s="0" t="s">
        <v>704</v>
      </c>
      <c r="B52" s="19" t="str">
        <f aca="false">In!B233</f>
        <v>Stargate Milam County 2（SB Energy）</v>
      </c>
      <c r="C52" s="19" t="str">
        <f aca="false">IF(In!H233="","",In!H233)</f>
        <v>oai</v>
      </c>
      <c r="D52" s="19" t="str">
        <f aca="false">IF(In!I233="","",In!I233)</f>
        <v>oai</v>
      </c>
      <c r="E52" s="19" t="n">
        <f aca="false">IF(In!J233="","",In!J233)</f>
        <v>445</v>
      </c>
      <c r="F52" s="19" t="str">
        <f aca="false">In!C233</f>
        <v>IT</v>
      </c>
      <c r="G52" s="19" t="n">
        <f aca="false">IF(In!N233="","",In!N233)</f>
        <v>1</v>
      </c>
      <c r="H52" s="19" t="n">
        <f aca="false">IF(In!K233="","",In!K233)</f>
        <v>2028</v>
      </c>
      <c r="I52" s="19" t="n">
        <f aca="false">IF(In!L233="","",In!L233)</f>
        <v>12</v>
      </c>
      <c r="J52" s="19" t="n">
        <f aca="false">N(In!M233)</f>
        <v>0</v>
      </c>
      <c r="K52" s="24" t="n">
        <f aca="false">IF(OR(H52="",I52=""),9999,H52+I52/12)</f>
        <v>2029</v>
      </c>
      <c r="L52" s="24" t="n">
        <f aca="false">IF(E52="",0,IF(F52="設施",E52/1000/INDEX(Players!$D$13:$M$13,1,MAX(1,MIN(10,H52-2022))),E52/1000*g_ITtoFac))</f>
        <v>0.445</v>
      </c>
      <c r="M52" s="24" t="n">
        <f aca="false">K52</f>
        <v>2029</v>
      </c>
      <c r="N52" s="24" t="n">
        <f aca="false">IF(K52&gt;asof,K52+N(J52)/12,K52)</f>
        <v>2029</v>
      </c>
      <c r="O52" s="24" t="n">
        <f aca="false">IF(K52&gt;asof,K52+IF(N(J52)&gt;0,N(J52),dly_d1_m)/12,K52)</f>
        <v>2029.5</v>
      </c>
      <c r="P52" s="20" t="n">
        <f aca="false">IF(K52=9999,"",ROUNDUP(K52,0)-1)</f>
        <v>2028</v>
      </c>
      <c r="Q52" s="20" t="n">
        <f aca="false">IF(AND(N(G52)=1,K52&lt;9999,L52&gt;0),1,0)</f>
        <v>1</v>
      </c>
      <c r="R52" s="20" t="n">
        <f aca="false">IF(AND(K52&gt;asof,K52&lt;9999,N(S52)&lt;&gt;1,P52&gt;=dly_d2_y0,P52&lt;=dly_d2_y1),1,0)</f>
        <v>1</v>
      </c>
      <c r="S52" s="19" t="n">
        <f aca="false">IF(In!O233="","",In!O233)</f>
        <v>0</v>
      </c>
    </row>
    <row r="53" customFormat="false" ht="17.15" hidden="false" customHeight="false" outlineLevel="0" collapsed="false">
      <c r="A53" s="0" t="s">
        <v>707</v>
      </c>
      <c r="B53" s="19" t="str">
        <f aca="false">In!B234</f>
        <v>Humain 2027→2030 餘量（至 1.9 GW）</v>
      </c>
      <c r="C53" s="19" t="str">
        <f aca="false">IF(In!H234="","",In!H234)</f>
        <v>sov</v>
      </c>
      <c r="D53" s="19" t="str">
        <f aca="false">IF(In!I234="","",In!I234)</f>
        <v/>
      </c>
      <c r="E53" s="19" t="n">
        <f aca="false">IF(In!J234="","",In!J234)</f>
        <v>200</v>
      </c>
      <c r="F53" s="19" t="str">
        <f aca="false">In!C234</f>
        <v>未說明</v>
      </c>
      <c r="G53" s="19" t="n">
        <f aca="false">IF(In!N234="","",In!N234)</f>
        <v>1</v>
      </c>
      <c r="H53" s="19" t="n">
        <f aca="false">IF(In!K234="","",In!K234)</f>
        <v>2030</v>
      </c>
      <c r="I53" s="19" t="n">
        <f aca="false">IF(In!L234="","",In!L234)</f>
        <v>12</v>
      </c>
      <c r="J53" s="19" t="n">
        <f aca="false">N(In!M234)</f>
        <v>0</v>
      </c>
      <c r="K53" s="24" t="n">
        <f aca="false">IF(OR(H53="",I53=""),9999,H53+I53/12)</f>
        <v>2031</v>
      </c>
      <c r="L53" s="24" t="n">
        <f aca="false">IF(E53="",0,IF(F53="設施",E53/1000/INDEX(Players!$D$13:$M$13,1,MAX(1,MIN(10,H53-2022))),E53/1000*g_ITtoFac))</f>
        <v>0.2</v>
      </c>
      <c r="M53" s="24" t="n">
        <f aca="false">K53</f>
        <v>2031</v>
      </c>
      <c r="N53" s="24" t="n">
        <f aca="false">IF(K53&gt;asof,K53+N(J53)/12,K53)</f>
        <v>2031</v>
      </c>
      <c r="O53" s="24" t="n">
        <f aca="false">IF(K53&gt;asof,K53+IF(N(J53)&gt;0,N(J53),dly_d1_m)/12,K53)</f>
        <v>2031.5</v>
      </c>
      <c r="P53" s="20" t="n">
        <f aca="false">IF(K53=9999,"",ROUNDUP(K53,0)-1)</f>
        <v>2030</v>
      </c>
      <c r="Q53" s="20" t="n">
        <f aca="false">IF(AND(N(G53)=1,K53&lt;9999,L53&gt;0),1,0)</f>
        <v>1</v>
      </c>
      <c r="R53" s="20" t="n">
        <f aca="false">IF(AND(K53&gt;asof,K53&lt;9999,N(S53)&lt;&gt;1,P53&gt;=dly_d2_y0,P53&lt;=dly_d2_y1),1,0)</f>
        <v>0</v>
      </c>
      <c r="S53" s="19" t="n">
        <f aca="false">IF(In!O234="","",In!O234)</f>
        <v>0</v>
      </c>
    </row>
    <row r="54" customFormat="false" ht="17.15" hidden="false" customHeight="false" outlineLevel="0" collapsed="false">
      <c r="A54" s="0" t="s">
        <v>710</v>
      </c>
      <c r="B54" s="19" t="str">
        <f aca="false">In!B235</f>
        <v>AWS Ridgeland B6–14（840 − 284）</v>
      </c>
      <c r="C54" s="19" t="str">
        <f aca="false">IF(In!H235="","",In!H235)</f>
        <v>amzn</v>
      </c>
      <c r="D54" s="19" t="str">
        <f aca="false">IF(In!I235="","",In!I235)</f>
        <v/>
      </c>
      <c r="E54" s="19" t="n">
        <f aca="false">IF(In!J235="","",In!J235)</f>
        <v>556</v>
      </c>
      <c r="F54" s="19" t="str">
        <f aca="false">In!C235</f>
        <v>IT</v>
      </c>
      <c r="G54" s="19" t="n">
        <f aca="false">IF(In!N235="","",In!N235)</f>
        <v>1</v>
      </c>
      <c r="H54" s="19" t="n">
        <f aca="false">IF(In!K235="","",In!K235)</f>
        <v>2028</v>
      </c>
      <c r="I54" s="19" t="n">
        <f aca="false">IF(In!L235="","",In!L235)</f>
        <v>9</v>
      </c>
      <c r="J54" s="19" t="n">
        <f aca="false">N(In!M235)</f>
        <v>0</v>
      </c>
      <c r="K54" s="24" t="n">
        <f aca="false">IF(OR(H54="",I54=""),9999,H54+I54/12)</f>
        <v>2028.75</v>
      </c>
      <c r="L54" s="24" t="n">
        <f aca="false">IF(E54="",0,IF(F54="設施",E54/1000/INDEX(Players!$D$13:$M$13,1,MAX(1,MIN(10,H54-2022))),E54/1000*g_ITtoFac))</f>
        <v>0.556</v>
      </c>
      <c r="M54" s="24" t="n">
        <f aca="false">K54</f>
        <v>2028.75</v>
      </c>
      <c r="N54" s="24" t="n">
        <f aca="false">IF(K54&gt;asof,K54+N(J54)/12,K54)</f>
        <v>2028.75</v>
      </c>
      <c r="O54" s="24" t="n">
        <f aca="false">IF(K54&gt;asof,K54+IF(N(J54)&gt;0,N(J54),dly_d1_m)/12,K54)</f>
        <v>2029.25</v>
      </c>
      <c r="P54" s="20" t="n">
        <f aca="false">IF(K54=9999,"",ROUNDUP(K54,0)-1)</f>
        <v>2028</v>
      </c>
      <c r="Q54" s="20" t="n">
        <f aca="false">IF(AND(N(G54)=1,K54&lt;9999,L54&gt;0),1,0)</f>
        <v>1</v>
      </c>
      <c r="R54" s="20" t="n">
        <f aca="false">IF(AND(K54&gt;asof,K54&lt;9999,N(S54)&lt;&gt;1,P54&gt;=dly_d2_y0,P54&lt;=dly_d2_y1),1,0)</f>
        <v>1</v>
      </c>
      <c r="S54" s="19" t="n">
        <f aca="false">IF(In!O235="","",In!O235)</f>
        <v>0</v>
      </c>
    </row>
    <row r="55" customFormat="false" ht="17.15" hidden="false" customHeight="false" outlineLevel="0" collapsed="false">
      <c r="A55" s="0" t="s">
        <v>713</v>
      </c>
      <c r="B55" s="19" t="str">
        <f aca="false">In!B236</f>
        <v>SK–AWS 蔚山 一期</v>
      </c>
      <c r="C55" s="19" t="str">
        <f aca="false">IF(In!H236="","",In!H236)</f>
        <v>amzn</v>
      </c>
      <c r="D55" s="19" t="str">
        <f aca="false">IF(In!I236="","",In!I236)</f>
        <v/>
      </c>
      <c r="E55" s="19" t="n">
        <f aca="false">IF(In!J236="","",In!J236)</f>
        <v>41</v>
      </c>
      <c r="F55" s="19" t="str">
        <f aca="false">In!C236</f>
        <v>未說明</v>
      </c>
      <c r="G55" s="19" t="n">
        <f aca="false">IF(In!N236="","",In!N236)</f>
        <v>1</v>
      </c>
      <c r="H55" s="19" t="n">
        <f aca="false">IF(In!K236="","",In!K236)</f>
        <v>2027</v>
      </c>
      <c r="I55" s="19" t="n">
        <f aca="false">IF(In!L236="","",In!L236)</f>
        <v>11</v>
      </c>
      <c r="J55" s="19" t="n">
        <f aca="false">N(In!M236)</f>
        <v>0</v>
      </c>
      <c r="K55" s="24" t="n">
        <f aca="false">IF(OR(H55="",I55=""),9999,H55+I55/12)</f>
        <v>2027.91666666667</v>
      </c>
      <c r="L55" s="24" t="n">
        <f aca="false">IF(E55="",0,IF(F55="設施",E55/1000/INDEX(Players!$D$13:$M$13,1,MAX(1,MIN(10,H55-2022))),E55/1000*g_ITtoFac))</f>
        <v>0.041</v>
      </c>
      <c r="M55" s="24" t="n">
        <f aca="false">K55</f>
        <v>2027.91666666667</v>
      </c>
      <c r="N55" s="24" t="n">
        <f aca="false">IF(K55&gt;asof,K55+N(J55)/12,K55)</f>
        <v>2027.91666666667</v>
      </c>
      <c r="O55" s="24" t="n">
        <f aca="false">IF(K55&gt;asof,K55+IF(N(J55)&gt;0,N(J55),dly_d1_m)/12,K55)</f>
        <v>2028.41666666667</v>
      </c>
      <c r="P55" s="20" t="n">
        <f aca="false">IF(K55=9999,"",ROUNDUP(K55,0)-1)</f>
        <v>2027</v>
      </c>
      <c r="Q55" s="20" t="n">
        <f aca="false">IF(AND(N(G55)=1,K55&lt;9999,L55&gt;0),1,0)</f>
        <v>1</v>
      </c>
      <c r="R55" s="20" t="n">
        <f aca="false">IF(AND(K55&gt;asof,K55&lt;9999,N(S55)&lt;&gt;1,P55&gt;=dly_d2_y0,P55&lt;=dly_d2_y1),1,0)</f>
        <v>1</v>
      </c>
      <c r="S55" s="19" t="n">
        <f aca="false">IF(In!O236="","",In!O236)</f>
        <v>0</v>
      </c>
    </row>
    <row r="56" customFormat="false" ht="17.15" hidden="false" customHeight="false" outlineLevel="0" collapsed="false">
      <c r="A56" s="0" t="s">
        <v>716</v>
      </c>
      <c r="B56" s="19" t="str">
        <f aca="false">In!B237</f>
        <v>SK–AWS 蔚山 至 103 MW 增量</v>
      </c>
      <c r="C56" s="19" t="str">
        <f aca="false">IF(In!H237="","",In!H237)</f>
        <v>amzn</v>
      </c>
      <c r="D56" s="19" t="str">
        <f aca="false">IF(In!I237="","",In!I237)</f>
        <v/>
      </c>
      <c r="E56" s="19" t="n">
        <f aca="false">IF(In!J237="","",In!J237)</f>
        <v>62</v>
      </c>
      <c r="F56" s="19" t="str">
        <f aca="false">In!C237</f>
        <v>未說明</v>
      </c>
      <c r="G56" s="19" t="n">
        <f aca="false">IF(In!N237="","",In!N237)</f>
        <v>1</v>
      </c>
      <c r="H56" s="19" t="n">
        <f aca="false">IF(In!K237="","",In!K237)</f>
        <v>2029</v>
      </c>
      <c r="I56" s="19" t="n">
        <f aca="false">IF(In!L237="","",In!L237)</f>
        <v>2</v>
      </c>
      <c r="J56" s="19" t="n">
        <f aca="false">N(In!M237)</f>
        <v>0</v>
      </c>
      <c r="K56" s="24" t="n">
        <f aca="false">IF(OR(H56="",I56=""),9999,H56+I56/12)</f>
        <v>2029.16666666667</v>
      </c>
      <c r="L56" s="24" t="n">
        <f aca="false">IF(E56="",0,IF(F56="設施",E56/1000/INDEX(Players!$D$13:$M$13,1,MAX(1,MIN(10,H56-2022))),E56/1000*g_ITtoFac))</f>
        <v>0.062</v>
      </c>
      <c r="M56" s="24" t="n">
        <f aca="false">K56</f>
        <v>2029.16666666667</v>
      </c>
      <c r="N56" s="24" t="n">
        <f aca="false">IF(K56&gt;asof,K56+N(J56)/12,K56)</f>
        <v>2029.16666666667</v>
      </c>
      <c r="O56" s="24" t="n">
        <f aca="false">IF(K56&gt;asof,K56+IF(N(J56)&gt;0,N(J56),dly_d1_m)/12,K56)</f>
        <v>2029.66666666667</v>
      </c>
      <c r="P56" s="20" t="n">
        <f aca="false">IF(K56=9999,"",ROUNDUP(K56,0)-1)</f>
        <v>2029</v>
      </c>
      <c r="Q56" s="20" t="n">
        <f aca="false">IF(AND(N(G56)=1,K56&lt;9999,L56&gt;0),1,0)</f>
        <v>1</v>
      </c>
      <c r="R56" s="20" t="n">
        <f aca="false">IF(AND(K56&gt;asof,K56&lt;9999,N(S56)&lt;&gt;1,P56&gt;=dly_d2_y0,P56&lt;=dly_d2_y1),1,0)</f>
        <v>0</v>
      </c>
      <c r="S56" s="19" t="n">
        <f aca="false">IF(In!O237="","",In!O237)</f>
        <v>0</v>
      </c>
    </row>
    <row r="57" customFormat="false" ht="17.15" hidden="false" customHeight="false" outlineLevel="0" collapsed="false">
      <c r="A57" s="0" t="s">
        <v>719</v>
      </c>
      <c r="B57" s="19" t="str">
        <f aca="false">In!B238</f>
        <v>Cipher Barber Lake（168 ＋ 39）</v>
      </c>
      <c r="C57" s="19" t="str">
        <f aca="false">IF(In!H238="","",In!H238)</f>
        <v>neo</v>
      </c>
      <c r="D57" s="19" t="str">
        <f aca="false">IF(In!I238="","",In!I238)</f>
        <v/>
      </c>
      <c r="E57" s="19" t="n">
        <f aca="false">IF(In!J238="","",In!J238)</f>
        <v>207</v>
      </c>
      <c r="F57" s="19" t="str">
        <f aca="false">In!C238</f>
        <v>IT</v>
      </c>
      <c r="G57" s="19" t="n">
        <f aca="false">IF(In!N238="","",In!N238)</f>
        <v>1</v>
      </c>
      <c r="H57" s="19" t="n">
        <f aca="false">IF(In!K238="","",In!K238)</f>
        <v>2027</v>
      </c>
      <c r="I57" s="19" t="n">
        <f aca="false">IF(In!L238="","",In!L238)</f>
        <v>3</v>
      </c>
      <c r="J57" s="19" t="n">
        <f aca="false">N(In!M238)</f>
        <v>0</v>
      </c>
      <c r="K57" s="24" t="n">
        <f aca="false">IF(OR(H57="",I57=""),9999,H57+I57/12)</f>
        <v>2027.25</v>
      </c>
      <c r="L57" s="24" t="n">
        <f aca="false">IF(E57="",0,IF(F57="設施",E57/1000/INDEX(Players!$D$13:$M$13,1,MAX(1,MIN(10,H57-2022))),E57/1000*g_ITtoFac))</f>
        <v>0.207</v>
      </c>
      <c r="M57" s="24" t="n">
        <f aca="false">K57</f>
        <v>2027.25</v>
      </c>
      <c r="N57" s="24" t="n">
        <f aca="false">IF(K57&gt;asof,K57+N(J57)/12,K57)</f>
        <v>2027.25</v>
      </c>
      <c r="O57" s="24" t="n">
        <f aca="false">IF(K57&gt;asof,K57+IF(N(J57)&gt;0,N(J57),dly_d1_m)/12,K57)</f>
        <v>2027.75</v>
      </c>
      <c r="P57" s="20" t="n">
        <f aca="false">IF(K57=9999,"",ROUNDUP(K57,0)-1)</f>
        <v>2027</v>
      </c>
      <c r="Q57" s="20" t="n">
        <f aca="false">IF(AND(N(G57)=1,K57&lt;9999,L57&gt;0),1,0)</f>
        <v>1</v>
      </c>
      <c r="R57" s="20" t="n">
        <f aca="false">IF(AND(K57&gt;asof,K57&lt;9999,N(S57)&lt;&gt;1,P57&gt;=dly_d2_y0,P57&lt;=dly_d2_y1),1,0)</f>
        <v>1</v>
      </c>
      <c r="S57" s="19" t="n">
        <f aca="false">IF(In!O238="","",In!O238)</f>
        <v>0</v>
      </c>
    </row>
    <row r="58" customFormat="false" ht="15" hidden="false" customHeight="false" outlineLevel="0" collapsed="false">
      <c r="A58" s="0" t="s">
        <v>722</v>
      </c>
      <c r="B58" s="19" t="str">
        <f aca="false">In!B239</f>
        <v>Applied Digital Polaris Forge 2</v>
      </c>
      <c r="C58" s="19" t="str">
        <f aca="false">IF(In!H239="","",In!H239)</f>
        <v>neo</v>
      </c>
      <c r="D58" s="19" t="str">
        <f aca="false">IF(In!I239="","",In!I239)</f>
        <v/>
      </c>
      <c r="E58" s="19" t="n">
        <f aca="false">IF(In!J239="","",In!J239)</f>
        <v>200</v>
      </c>
      <c r="F58" s="19" t="str">
        <f aca="false">In!C239</f>
        <v>IT</v>
      </c>
      <c r="G58" s="19" t="n">
        <f aca="false">IF(In!N239="","",In!N239)</f>
        <v>1</v>
      </c>
      <c r="H58" s="19" t="n">
        <f aca="false">IF(In!K239="","",In!K239)</f>
        <v>2027</v>
      </c>
      <c r="I58" s="19" t="n">
        <f aca="false">IF(In!L239="","",In!L239)</f>
        <v>12</v>
      </c>
      <c r="J58" s="19" t="n">
        <f aca="false">N(In!M239)</f>
        <v>0</v>
      </c>
      <c r="K58" s="24" t="n">
        <f aca="false">IF(OR(H58="",I58=""),9999,H58+I58/12)</f>
        <v>2028</v>
      </c>
      <c r="L58" s="24" t="n">
        <f aca="false">IF(E58="",0,IF(F58="設施",E58/1000/INDEX(Players!$D$13:$M$13,1,MAX(1,MIN(10,H58-2022))),E58/1000*g_ITtoFac))</f>
        <v>0.2</v>
      </c>
      <c r="M58" s="24" t="n">
        <f aca="false">K58</f>
        <v>2028</v>
      </c>
      <c r="N58" s="24" t="n">
        <f aca="false">IF(K58&gt;asof,K58+N(J58)/12,K58)</f>
        <v>2028</v>
      </c>
      <c r="O58" s="24" t="n">
        <f aca="false">IF(K58&gt;asof,K58+IF(N(J58)&gt;0,N(J58),dly_d1_m)/12,K58)</f>
        <v>2028.5</v>
      </c>
      <c r="P58" s="20" t="n">
        <f aca="false">IF(K58=9999,"",ROUNDUP(K58,0)-1)</f>
        <v>2027</v>
      </c>
      <c r="Q58" s="20" t="n">
        <f aca="false">IF(AND(N(G58)=1,K58&lt;9999,L58&gt;0),1,0)</f>
        <v>1</v>
      </c>
      <c r="R58" s="20" t="n">
        <f aca="false">IF(AND(K58&gt;asof,K58&lt;9999,N(S58)&lt;&gt;1,P58&gt;=dly_d2_y0,P58&lt;=dly_d2_y1),1,0)</f>
        <v>1</v>
      </c>
      <c r="S58" s="19" t="n">
        <f aca="false">IF(In!O239="","",In!O239)</f>
        <v>0</v>
      </c>
    </row>
    <row r="59" customFormat="false" ht="17.15" hidden="false" customHeight="false" outlineLevel="0" collapsed="false">
      <c r="A59" s="0" t="s">
        <v>725</v>
      </c>
      <c r="B59" s="19" t="str">
        <f aca="false">In!B240</f>
        <v>Nscale Monarch 一期</v>
      </c>
      <c r="C59" s="19" t="str">
        <f aca="false">IF(In!H240="","",In!H240)</f>
        <v>neo</v>
      </c>
      <c r="D59" s="19" t="str">
        <f aca="false">IF(In!I240="","",In!I240)</f>
        <v/>
      </c>
      <c r="E59" s="19" t="n">
        <f aca="false">IF(In!J240="","",In!J240)</f>
        <v>1350</v>
      </c>
      <c r="F59" s="19" t="str">
        <f aca="false">In!C240</f>
        <v>未說明</v>
      </c>
      <c r="G59" s="19" t="n">
        <f aca="false">IF(In!N240="","",In!N240)</f>
        <v>1</v>
      </c>
      <c r="H59" s="19" t="n">
        <f aca="false">IF(In!K240="","",In!K240)</f>
        <v>2028</v>
      </c>
      <c r="I59" s="19" t="n">
        <f aca="false">IF(In!L240="","",In!L240)</f>
        <v>3</v>
      </c>
      <c r="J59" s="19" t="n">
        <f aca="false">N(In!M240)</f>
        <v>0</v>
      </c>
      <c r="K59" s="24" t="n">
        <f aca="false">IF(OR(H59="",I59=""),9999,H59+I59/12)</f>
        <v>2028.25</v>
      </c>
      <c r="L59" s="24" t="n">
        <f aca="false">IF(E59="",0,IF(F59="設施",E59/1000/INDEX(Players!$D$13:$M$13,1,MAX(1,MIN(10,H59-2022))),E59/1000*g_ITtoFac))</f>
        <v>1.35</v>
      </c>
      <c r="M59" s="24" t="n">
        <f aca="false">K59</f>
        <v>2028.25</v>
      </c>
      <c r="N59" s="24" t="n">
        <f aca="false">IF(K59&gt;asof,K59+N(J59)/12,K59)</f>
        <v>2028.25</v>
      </c>
      <c r="O59" s="24" t="n">
        <f aca="false">IF(K59&gt;asof,K59+IF(N(J59)&gt;0,N(J59),dly_d1_m)/12,K59)</f>
        <v>2028.75</v>
      </c>
      <c r="P59" s="20" t="n">
        <f aca="false">IF(K59=9999,"",ROUNDUP(K59,0)-1)</f>
        <v>2028</v>
      </c>
      <c r="Q59" s="20" t="n">
        <f aca="false">IF(AND(N(G59)=1,K59&lt;9999,L59&gt;0),1,0)</f>
        <v>1</v>
      </c>
      <c r="R59" s="20" t="n">
        <f aca="false">IF(AND(K59&gt;asof,K59&lt;9999,N(S59)&lt;&gt;1,P59&gt;=dly_d2_y0,P59&lt;=dly_d2_y1),1,0)</f>
        <v>1</v>
      </c>
      <c r="S59" s="19" t="n">
        <f aca="false">IF(In!O240="","",In!O240)</f>
        <v>0</v>
      </c>
    </row>
    <row r="60" customFormat="false" ht="17.15" hidden="false" customHeight="false" outlineLevel="0" collapsed="false">
      <c r="A60" s="0" t="s">
        <v>728</v>
      </c>
      <c r="B60" s="19" t="str">
        <f aca="false">In!B241</f>
        <v>Hut 8 Beacon Point（Nueces County）</v>
      </c>
      <c r="C60" s="19" t="str">
        <f aca="false">IF(In!H241="","",In!H241)</f>
        <v>neo</v>
      </c>
      <c r="D60" s="19" t="str">
        <f aca="false">IF(In!I241="","",In!I241)</f>
        <v/>
      </c>
      <c r="E60" s="19" t="n">
        <f aca="false">IF(In!J241="","",In!J241)</f>
        <v>352</v>
      </c>
      <c r="F60" s="19" t="str">
        <f aca="false">In!C241</f>
        <v>IT</v>
      </c>
      <c r="G60" s="19" t="n">
        <f aca="false">IF(In!N241="","",In!N241)</f>
        <v>1</v>
      </c>
      <c r="H60" s="19" t="n">
        <f aca="false">IF(In!K241="","",In!K241)</f>
        <v>2028</v>
      </c>
      <c r="I60" s="19" t="n">
        <f aca="false">IF(In!L241="","",In!L241)</f>
        <v>3</v>
      </c>
      <c r="J60" s="19" t="n">
        <f aca="false">N(In!M241)</f>
        <v>0</v>
      </c>
      <c r="K60" s="24" t="n">
        <f aca="false">IF(OR(H60="",I60=""),9999,H60+I60/12)</f>
        <v>2028.25</v>
      </c>
      <c r="L60" s="24" t="n">
        <f aca="false">IF(E60="",0,IF(F60="設施",E60/1000/INDEX(Players!$D$13:$M$13,1,MAX(1,MIN(10,H60-2022))),E60/1000*g_ITtoFac))</f>
        <v>0.352</v>
      </c>
      <c r="M60" s="24" t="n">
        <f aca="false">K60</f>
        <v>2028.25</v>
      </c>
      <c r="N60" s="24" t="n">
        <f aca="false">IF(K60&gt;asof,K60+N(J60)/12,K60)</f>
        <v>2028.25</v>
      </c>
      <c r="O60" s="24" t="n">
        <f aca="false">IF(K60&gt;asof,K60+IF(N(J60)&gt;0,N(J60),dly_d1_m)/12,K60)</f>
        <v>2028.75</v>
      </c>
      <c r="P60" s="20" t="n">
        <f aca="false">IF(K60=9999,"",ROUNDUP(K60,0)-1)</f>
        <v>2028</v>
      </c>
      <c r="Q60" s="20" t="n">
        <f aca="false">IF(AND(N(G60)=1,K60&lt;9999,L60&gt;0),1,0)</f>
        <v>1</v>
      </c>
      <c r="R60" s="20" t="n">
        <f aca="false">IF(AND(K60&gt;asof,K60&lt;9999,N(S60)&lt;&gt;1,P60&gt;=dly_d2_y0,P60&lt;=dly_d2_y1),1,0)</f>
        <v>1</v>
      </c>
      <c r="S60" s="19" t="n">
        <f aca="false">IF(In!O241="","",In!O241)</f>
        <v>0</v>
      </c>
    </row>
    <row r="61" customFormat="false" ht="17.15" hidden="false" customHeight="false" outlineLevel="0" collapsed="false">
      <c r="A61" s="0" t="s">
        <v>731</v>
      </c>
      <c r="B61" s="19" t="str">
        <f aca="false">In!B242</f>
        <v>Hyperion 2→5 GW 餘量</v>
      </c>
      <c r="C61" s="19" t="str">
        <f aca="false">IF(In!H242="","",In!H242)</f>
        <v>meta</v>
      </c>
      <c r="D61" s="19" t="str">
        <f aca="false">IF(In!I242="","",In!I242)</f>
        <v>meta</v>
      </c>
      <c r="E61" s="19" t="n">
        <f aca="false">IF(In!J242="","",In!J242)</f>
        <v>3000</v>
      </c>
      <c r="F61" s="19" t="str">
        <f aca="false">In!C242</f>
        <v>未說明</v>
      </c>
      <c r="G61" s="19" t="n">
        <f aca="false">IF(In!N242="","",In!N242)</f>
        <v>0</v>
      </c>
      <c r="H61" s="19" t="n">
        <f aca="false">IF(In!K242="","",In!K242)</f>
        <v>2032</v>
      </c>
      <c r="I61" s="19" t="n">
        <f aca="false">IF(In!L242="","",In!L242)</f>
        <v>12</v>
      </c>
      <c r="J61" s="19" t="n">
        <f aca="false">N(In!M242)</f>
        <v>0</v>
      </c>
      <c r="K61" s="24" t="n">
        <f aca="false">IF(OR(H61="",I61=""),9999,H61+I61/12)</f>
        <v>2033</v>
      </c>
      <c r="L61" s="24" t="n">
        <f aca="false">IF(E61="",0,IF(F61="設施",E61/1000/INDEX(Players!$D$13:$M$13,1,MAX(1,MIN(10,H61-2022))),E61/1000*g_ITtoFac))</f>
        <v>3</v>
      </c>
      <c r="M61" s="24" t="n">
        <f aca="false">K61</f>
        <v>2033</v>
      </c>
      <c r="N61" s="24" t="n">
        <f aca="false">IF(K61&gt;asof,K61+N(J61)/12,K61)</f>
        <v>2033</v>
      </c>
      <c r="O61" s="24" t="n">
        <f aca="false">IF(K61&gt;asof,K61+IF(N(J61)&gt;0,N(J61),dly_d1_m)/12,K61)</f>
        <v>2033.5</v>
      </c>
      <c r="P61" s="20" t="n">
        <f aca="false">IF(K61=9999,"",ROUNDUP(K61,0)-1)</f>
        <v>2032</v>
      </c>
      <c r="Q61" s="20" t="n">
        <f aca="false">IF(AND(N(G61)=1,K61&lt;9999,L61&gt;0),1,0)</f>
        <v>0</v>
      </c>
      <c r="R61" s="20" t="n">
        <f aca="false">IF(AND(K61&gt;asof,K61&lt;9999,N(S61)&lt;&gt;1,P61&gt;=dly_d2_y0,P61&lt;=dly_d2_y1),1,0)</f>
        <v>0</v>
      </c>
      <c r="S61" s="19" t="n">
        <f aca="false">IF(In!O242="","",In!O242)</f>
        <v>0</v>
      </c>
    </row>
    <row r="62" customFormat="false" ht="17.15" hidden="false" customHeight="false" outlineLevel="0" collapsed="false">
      <c r="A62" s="0" t="s">
        <v>734</v>
      </c>
      <c r="B62" s="19" t="str">
        <f aca="false">In!B243</f>
        <v>SoftBank 北海道苫小牧</v>
      </c>
      <c r="C62" s="19" t="str">
        <f aca="false">IF(In!H243="","",In!H243)</f>
        <v>oth</v>
      </c>
      <c r="D62" s="19" t="str">
        <f aca="false">IF(In!I243="","",In!I243)</f>
        <v/>
      </c>
      <c r="E62" s="19" t="n">
        <f aca="false">IF(In!J243="","",In!J243)</f>
        <v>50</v>
      </c>
      <c r="F62" s="19" t="str">
        <f aca="false">In!C243</f>
        <v>設施</v>
      </c>
      <c r="G62" s="19" t="n">
        <f aca="false">IF(In!N243="","",In!N243)</f>
        <v>0</v>
      </c>
      <c r="H62" s="19" t="n">
        <f aca="false">IF(In!K243="","",In!K243)</f>
        <v>2027</v>
      </c>
      <c r="I62" s="19" t="n">
        <f aca="false">IF(In!L243="","",In!L243)</f>
        <v>3</v>
      </c>
      <c r="J62" s="19" t="n">
        <f aca="false">N(In!M243)</f>
        <v>0</v>
      </c>
      <c r="K62" s="24" t="n">
        <f aca="false">IF(OR(H62="",I62=""),9999,H62+I62/12)</f>
        <v>2027.25</v>
      </c>
      <c r="L62" s="24" t="n">
        <f aca="false">IF(E62="",0,IF(F62="設施",E62/1000/INDEX(Players!$D$13:$M$13,1,MAX(1,MIN(10,H62-2022))),E62/1000*g_ITtoFac))</f>
        <v>0.0416666666666667</v>
      </c>
      <c r="M62" s="24" t="n">
        <f aca="false">K62</f>
        <v>2027.25</v>
      </c>
      <c r="N62" s="24" t="n">
        <f aca="false">IF(K62&gt;asof,K62+N(J62)/12,K62)</f>
        <v>2027.25</v>
      </c>
      <c r="O62" s="24" t="n">
        <f aca="false">IF(K62&gt;asof,K62+IF(N(J62)&gt;0,N(J62),dly_d1_m)/12,K62)</f>
        <v>2027.75</v>
      </c>
      <c r="P62" s="20" t="n">
        <f aca="false">IF(K62=9999,"",ROUNDUP(K62,0)-1)</f>
        <v>2027</v>
      </c>
      <c r="Q62" s="20" t="n">
        <f aca="false">IF(AND(N(G62)=1,K62&lt;9999,L62&gt;0),1,0)</f>
        <v>0</v>
      </c>
      <c r="R62" s="20" t="n">
        <f aca="false">IF(AND(K62&gt;asof,K62&lt;9999,N(S62)&lt;&gt;1,P62&gt;=dly_d2_y0,P62&lt;=dly_d2_y1),1,0)</f>
        <v>1</v>
      </c>
      <c r="S62" s="19" t="n">
        <f aca="false">IF(In!O243="","",In!O243)</f>
        <v>0</v>
      </c>
    </row>
    <row r="63" customFormat="false" ht="17.15" hidden="false" customHeight="false" outlineLevel="0" collapsed="false">
      <c r="A63" s="0" t="s">
        <v>738</v>
      </c>
      <c r="B63" s="19" t="str">
        <f aca="false">In!B244</f>
        <v>DataVolt Oxagon（Nebius 最多 50 MW）</v>
      </c>
      <c r="C63" s="19" t="str">
        <f aca="false">IF(In!H244="","",In!H244)</f>
        <v>nbis</v>
      </c>
      <c r="D63" s="19" t="str">
        <f aca="false">IF(In!I244="","",In!I244)</f>
        <v/>
      </c>
      <c r="E63" s="19" t="n">
        <f aca="false">IF(In!J244="","",In!J244)</f>
        <v>50</v>
      </c>
      <c r="F63" s="19" t="str">
        <f aca="false">In!C244</f>
        <v>未說明</v>
      </c>
      <c r="G63" s="19" t="n">
        <f aca="false">IF(In!N244="","",In!N244)</f>
        <v>0</v>
      </c>
      <c r="H63" s="19" t="n">
        <f aca="false">IF(In!K244="","",In!K244)</f>
        <v>2028</v>
      </c>
      <c r="I63" s="19" t="n">
        <f aca="false">IF(In!L244="","",In!L244)</f>
        <v>12</v>
      </c>
      <c r="J63" s="19" t="n">
        <f aca="false">N(In!M244)</f>
        <v>0</v>
      </c>
      <c r="K63" s="24" t="n">
        <f aca="false">IF(OR(H63="",I63=""),9999,H63+I63/12)</f>
        <v>2029</v>
      </c>
      <c r="L63" s="24" t="n">
        <f aca="false">IF(E63="",0,IF(F63="設施",E63/1000/INDEX(Players!$D$13:$M$13,1,MAX(1,MIN(10,H63-2022))),E63/1000*g_ITtoFac))</f>
        <v>0.05</v>
      </c>
      <c r="M63" s="24" t="n">
        <f aca="false">K63</f>
        <v>2029</v>
      </c>
      <c r="N63" s="24" t="n">
        <f aca="false">IF(K63&gt;asof,K63+N(J63)/12,K63)</f>
        <v>2029</v>
      </c>
      <c r="O63" s="24" t="n">
        <f aca="false">IF(K63&gt;asof,K63+IF(N(J63)&gt;0,N(J63),dly_d1_m)/12,K63)</f>
        <v>2029.5</v>
      </c>
      <c r="P63" s="20" t="n">
        <f aca="false">IF(K63=9999,"",ROUNDUP(K63,0)-1)</f>
        <v>2028</v>
      </c>
      <c r="Q63" s="20" t="n">
        <f aca="false">IF(AND(N(G63)=1,K63&lt;9999,L63&gt;0),1,0)</f>
        <v>0</v>
      </c>
      <c r="R63" s="20" t="n">
        <f aca="false">IF(AND(K63&gt;asof,K63&lt;9999,N(S63)&lt;&gt;1,P63&gt;=dly_d2_y0,P63&lt;=dly_d2_y1),1,0)</f>
        <v>1</v>
      </c>
      <c r="S63" s="19" t="n">
        <f aca="false">IF(In!O244="","",In!O244)</f>
        <v>0</v>
      </c>
    </row>
    <row r="64" customFormat="false" ht="17.15" hidden="false" customHeight="false" outlineLevel="0" collapsed="false">
      <c r="A64" s="0" t="s">
        <v>741</v>
      </c>
      <c r="B64" s="19" t="str">
        <f aca="false">In!B245</f>
        <v>Khazna Ajman（QAJ1）</v>
      </c>
      <c r="C64" s="19" t="str">
        <f aca="false">IF(In!H245="","",In!H245)</f>
        <v>sov</v>
      </c>
      <c r="D64" s="19" t="str">
        <f aca="false">IF(In!I245="","",In!I245)</f>
        <v/>
      </c>
      <c r="E64" s="19" t="n">
        <f aca="false">IF(In!J245="","",In!J245)</f>
        <v>30</v>
      </c>
      <c r="F64" s="19" t="str">
        <f aca="false">In!C245</f>
        <v>IT</v>
      </c>
      <c r="G64" s="19" t="n">
        <f aca="false">IF(In!N245="","",In!N245)</f>
        <v>0</v>
      </c>
      <c r="H64" s="19" t="n">
        <f aca="false">IF(In!K245="","",In!K245)</f>
        <v>2026</v>
      </c>
      <c r="I64" s="19" t="n">
        <f aca="false">IF(In!L245="","",In!L245)</f>
        <v>12</v>
      </c>
      <c r="J64" s="19" t="n">
        <f aca="false">N(In!M245)</f>
        <v>0</v>
      </c>
      <c r="K64" s="24" t="n">
        <f aca="false">IF(OR(H64="",I64=""),9999,H64+I64/12)</f>
        <v>2027</v>
      </c>
      <c r="L64" s="24" t="n">
        <f aca="false">IF(E64="",0,IF(F64="設施",E64/1000/INDEX(Players!$D$13:$M$13,1,MAX(1,MIN(10,H64-2022))),E64/1000*g_ITtoFac))</f>
        <v>0.03</v>
      </c>
      <c r="M64" s="24" t="n">
        <f aca="false">K64</f>
        <v>2027</v>
      </c>
      <c r="N64" s="24" t="n">
        <f aca="false">IF(K64&gt;asof,K64+N(J64)/12,K64)</f>
        <v>2027</v>
      </c>
      <c r="O64" s="24" t="n">
        <f aca="false">IF(K64&gt;asof,K64+IF(N(J64)&gt;0,N(J64),dly_d1_m)/12,K64)</f>
        <v>2027.5</v>
      </c>
      <c r="P64" s="20" t="n">
        <f aca="false">IF(K64=9999,"",ROUNDUP(K64,0)-1)</f>
        <v>2026</v>
      </c>
      <c r="Q64" s="20" t="n">
        <f aca="false">IF(AND(N(G64)=1,K64&lt;9999,L64&gt;0),1,0)</f>
        <v>0</v>
      </c>
      <c r="R64" s="20" t="n">
        <f aca="false">IF(AND(K64&gt;asof,K64&lt;9999,N(S64)&lt;&gt;1,P64&gt;=dly_d2_y0,P64&lt;=dly_d2_y1),1,0)</f>
        <v>0</v>
      </c>
      <c r="S64" s="19" t="n">
        <f aca="false">IF(In!O245="","",In!O245)</f>
        <v>0</v>
      </c>
    </row>
    <row r="66" customFormat="false" ht="17.15" hidden="false" customHeight="false" outlineLevel="0" collapsed="false">
      <c r="A66" s="8" t="s">
        <v>1331</v>
      </c>
    </row>
    <row r="67" customFormat="false" ht="15" hidden="false" customHeight="false" outlineLevel="0" collapsed="false">
      <c r="A67" s="6" t="s">
        <v>1332</v>
      </c>
      <c r="B67" s="6" t="s">
        <v>14</v>
      </c>
      <c r="C67" s="6" t="s">
        <v>1333</v>
      </c>
      <c r="D67" s="7" t="s">
        <v>21</v>
      </c>
      <c r="E67" s="7" t="s">
        <v>22</v>
      </c>
      <c r="F67" s="7" t="s">
        <v>23</v>
      </c>
      <c r="G67" s="7" t="s">
        <v>24</v>
      </c>
      <c r="H67" s="7" t="s">
        <v>25</v>
      </c>
      <c r="I67" s="7" t="s">
        <v>26</v>
      </c>
      <c r="J67" s="7" t="s">
        <v>27</v>
      </c>
      <c r="K67" s="7" t="s">
        <v>28</v>
      </c>
      <c r="L67" s="7" t="s">
        <v>29</v>
      </c>
      <c r="M67" s="7" t="s">
        <v>30</v>
      </c>
    </row>
    <row r="68" customFormat="false" ht="17.15" hidden="false" customHeight="false" outlineLevel="0" collapsed="false">
      <c r="A68" s="0" t="s">
        <v>1301</v>
      </c>
      <c r="B68" s="0" t="s">
        <v>506</v>
      </c>
      <c r="C68" s="5" t="s">
        <v>1334</v>
      </c>
      <c r="E68" s="24" t="n">
        <f aca="false">Players!E36-SUMIFS($L$5:$L$64,$C$5:$C$64,"msft",$Q$5:$Q$64,1,$P$5:$P$64,2024)</f>
        <v>0</v>
      </c>
      <c r="F68" s="24" t="n">
        <f aca="false">Players!F36-SUMIFS($L$5:$L$64,$C$5:$C$64,"msft",$Q$5:$Q$64,1,$P$5:$P$64,2025)</f>
        <v>1.81427</v>
      </c>
      <c r="G68" s="24" t="n">
        <f aca="false">Players!G36-SUMIFS($L$5:$L$64,$C$5:$C$64,"msft",$Q$5:$Q$64,1,$P$5:$P$64,2026)</f>
        <v>0.0869549999999999</v>
      </c>
      <c r="H68" s="24" t="n">
        <f aca="false">Players!H36-SUMIFS($L$5:$L$64,$C$5:$C$64,"msft",$Q$5:$Q$64,1,$P$5:$P$64,2027)</f>
        <v>0</v>
      </c>
      <c r="I68" s="24" t="n">
        <f aca="false">Players!I36-SUMIFS($L$5:$L$64,$C$5:$C$64,"msft",$Q$5:$Q$64,1,$P$5:$P$64,2028)</f>
        <v>0</v>
      </c>
      <c r="J68" s="24" t="n">
        <f aca="false">Players!J36-SUMIFS($L$5:$L$64,$C$5:$C$64,"msft",$Q$5:$Q$64,1,$P$5:$P$64,2029)</f>
        <v>0</v>
      </c>
      <c r="K68" s="24" t="n">
        <f aca="false">Players!K36-SUMIFS($L$5:$L$64,$C$5:$C$64,"msft",$Q$5:$Q$64,1,$P$5:$P$64,2030)</f>
        <v>0</v>
      </c>
      <c r="L68" s="24" t="n">
        <f aca="false">Players!L36-SUMIFS($L$5:$L$64,$C$5:$C$64,"msft",$Q$5:$Q$64,1,$P$5:$P$64,2031)</f>
        <v>0</v>
      </c>
      <c r="M68" s="24" t="n">
        <f aca="false">Players!M36-SUMIFS($L$5:$L$64,$C$5:$C$64,"msft",$Q$5:$Q$64,1,$P$5:$P$64,2032)</f>
        <v>0</v>
      </c>
    </row>
    <row r="69" customFormat="false" ht="17.15" hidden="false" customHeight="false" outlineLevel="0" collapsed="false">
      <c r="A69" s="0" t="s">
        <v>1302</v>
      </c>
      <c r="B69" s="0" t="s">
        <v>511</v>
      </c>
      <c r="C69" s="5" t="s">
        <v>1334</v>
      </c>
      <c r="E69" s="24" t="n">
        <f aca="false">Players!E55-SUMIFS($L$5:$L$64,$C$5:$C$64,"googl",$Q$5:$Q$64,1,$P$5:$P$64,2024)</f>
        <v>1.32980834349181</v>
      </c>
      <c r="F69" s="24" t="n">
        <f aca="false">Players!F55-SUMIFS($L$5:$L$64,$C$5:$C$64,"googl",$Q$5:$Q$64,1,$P$5:$P$64,2025)</f>
        <v>2.40961330082622</v>
      </c>
      <c r="G69" s="24" t="n">
        <f aca="false">Players!G55-SUMIFS($L$5:$L$64,$C$5:$C$64,"googl",$Q$5:$Q$64,1,$P$5:$P$64,2026)</f>
        <v>1.29267912772586</v>
      </c>
      <c r="H69" s="24" t="n">
        <f aca="false">Players!H55-SUMIFS($L$5:$L$64,$C$5:$C$64,"googl",$Q$5:$Q$64,1,$P$5:$P$64,2027)</f>
        <v>0</v>
      </c>
      <c r="I69" s="24" t="n">
        <f aca="false">Players!I55-SUMIFS($L$5:$L$64,$C$5:$C$64,"googl",$Q$5:$Q$64,1,$P$5:$P$64,2028)</f>
        <v>0</v>
      </c>
      <c r="J69" s="24" t="n">
        <f aca="false">Players!J55-SUMIFS($L$5:$L$64,$C$5:$C$64,"googl",$Q$5:$Q$64,1,$P$5:$P$64,2029)</f>
        <v>0</v>
      </c>
      <c r="K69" s="24" t="n">
        <f aca="false">Players!K55-SUMIFS($L$5:$L$64,$C$5:$C$64,"googl",$Q$5:$Q$64,1,$P$5:$P$64,2030)</f>
        <v>0</v>
      </c>
      <c r="L69" s="24" t="n">
        <f aca="false">Players!L55-SUMIFS($L$5:$L$64,$C$5:$C$64,"googl",$Q$5:$Q$64,1,$P$5:$P$64,2031)</f>
        <v>0</v>
      </c>
      <c r="M69" s="24" t="n">
        <f aca="false">Players!M55-SUMIFS($L$5:$L$64,$C$5:$C$64,"googl",$Q$5:$Q$64,1,$P$5:$P$64,2032)</f>
        <v>0</v>
      </c>
    </row>
    <row r="70" customFormat="false" ht="17.15" hidden="false" customHeight="false" outlineLevel="0" collapsed="false">
      <c r="A70" s="0" t="s">
        <v>1303</v>
      </c>
      <c r="B70" s="0" t="s">
        <v>519</v>
      </c>
      <c r="C70" s="5" t="s">
        <v>1334</v>
      </c>
      <c r="E70" s="24" t="n">
        <f aca="false">Players!E74-SUMIFS($L$5:$L$64,$C$5:$C$64,"amzn",$Q$5:$Q$64,1,$P$5:$P$64,2024)</f>
        <v>0</v>
      </c>
      <c r="F70" s="24" t="n">
        <f aca="false">Players!F74-SUMIFS($L$5:$L$64,$C$5:$C$64,"amzn",$Q$5:$Q$64,1,$P$5:$P$64,2025)</f>
        <v>1.38971599402093</v>
      </c>
      <c r="G70" s="24" t="n">
        <f aca="false">Players!G74-SUMIFS($L$5:$L$64,$C$5:$C$64,"amzn",$Q$5:$Q$64,1,$P$5:$P$64,2026)</f>
        <v>0.4</v>
      </c>
      <c r="H70" s="24" t="n">
        <f aca="false">Players!H74-SUMIFS($L$5:$L$64,$C$5:$C$64,"amzn",$Q$5:$Q$64,1,$P$5:$P$64,2027)</f>
        <v>0</v>
      </c>
      <c r="I70" s="24" t="n">
        <f aca="false">Players!I74-SUMIFS($L$5:$L$64,$C$5:$C$64,"amzn",$Q$5:$Q$64,1,$P$5:$P$64,2028)</f>
        <v>0</v>
      </c>
      <c r="J70" s="24" t="n">
        <f aca="false">Players!J74-SUMIFS($L$5:$L$64,$C$5:$C$64,"amzn",$Q$5:$Q$64,1,$P$5:$P$64,2029)</f>
        <v>2.77555756156289E-016</v>
      </c>
      <c r="K70" s="24" t="n">
        <f aca="false">Players!K74-SUMIFS($L$5:$L$64,$C$5:$C$64,"amzn",$Q$5:$Q$64,1,$P$5:$P$64,2030)</f>
        <v>0</v>
      </c>
      <c r="L70" s="24" t="n">
        <f aca="false">Players!L74-SUMIFS($L$5:$L$64,$C$5:$C$64,"amzn",$Q$5:$Q$64,1,$P$5:$P$64,2031)</f>
        <v>0</v>
      </c>
      <c r="M70" s="24" t="n">
        <f aca="false">Players!M74-SUMIFS($L$5:$L$64,$C$5:$C$64,"amzn",$Q$5:$Q$64,1,$P$5:$P$64,2032)</f>
        <v>0</v>
      </c>
    </row>
    <row r="71" customFormat="false" ht="15" hidden="false" customHeight="false" outlineLevel="0" collapsed="false">
      <c r="A71" s="0" t="s">
        <v>1038</v>
      </c>
      <c r="B71" s="0" t="s">
        <v>526</v>
      </c>
      <c r="C71" s="5" t="s">
        <v>1334</v>
      </c>
      <c r="E71" s="24" t="n">
        <f aca="false">Players!E93-SUMIFS($L$5:$L$64,$C$5:$C$64,"meta",$Q$5:$Q$64,1,$P$5:$P$64,2024)</f>
        <v>0</v>
      </c>
      <c r="F71" s="24" t="n">
        <f aca="false">Players!F93-SUMIFS($L$5:$L$64,$C$5:$C$64,"meta",$Q$5:$Q$64,1,$P$5:$P$64,2025)</f>
        <v>1.50812</v>
      </c>
      <c r="G71" s="24" t="n">
        <f aca="false">Players!G93-SUMIFS($L$5:$L$64,$C$5:$C$64,"meta",$Q$5:$Q$64,1,$P$5:$P$64,2026)</f>
        <v>0</v>
      </c>
      <c r="H71" s="24" t="n">
        <f aca="false">Players!H93-SUMIFS($L$5:$L$64,$C$5:$C$64,"meta",$Q$5:$Q$64,1,$P$5:$P$64,2027)</f>
        <v>0</v>
      </c>
      <c r="I71" s="24" t="n">
        <f aca="false">Players!I93-SUMIFS($L$5:$L$64,$C$5:$C$64,"meta",$Q$5:$Q$64,1,$P$5:$P$64,2028)</f>
        <v>0</v>
      </c>
      <c r="J71" s="24" t="n">
        <f aca="false">Players!J93-SUMIFS($L$5:$L$64,$C$5:$C$64,"meta",$Q$5:$Q$64,1,$P$5:$P$64,2029)</f>
        <v>0</v>
      </c>
      <c r="K71" s="24" t="n">
        <f aca="false">Players!K93-SUMIFS($L$5:$L$64,$C$5:$C$64,"meta",$Q$5:$Q$64,1,$P$5:$P$64,2030)</f>
        <v>0</v>
      </c>
      <c r="L71" s="24" t="n">
        <f aca="false">Players!L93-SUMIFS($L$5:$L$64,$C$5:$C$64,"meta",$Q$5:$Q$64,1,$P$5:$P$64,2031)</f>
        <v>0</v>
      </c>
      <c r="M71" s="24" t="n">
        <f aca="false">Players!M93-SUMIFS($L$5:$L$64,$C$5:$C$64,"meta",$Q$5:$Q$64,1,$P$5:$P$64,2032)</f>
        <v>0</v>
      </c>
    </row>
    <row r="72" customFormat="false" ht="17.15" hidden="false" customHeight="false" outlineLevel="0" collapsed="false">
      <c r="A72" s="0" t="s">
        <v>1304</v>
      </c>
      <c r="B72" s="0" t="s">
        <v>530</v>
      </c>
      <c r="C72" s="5" t="s">
        <v>1334</v>
      </c>
      <c r="E72" s="24" t="n">
        <f aca="false">Players!E112-SUMIFS($L$5:$L$64,$C$5:$C$64,"orcl",$Q$5:$Q$64,1,$P$5:$P$64,2024)</f>
        <v>0</v>
      </c>
      <c r="F72" s="24" t="n">
        <f aca="false">Players!F112-SUMIFS($L$5:$L$64,$C$5:$C$64,"orcl",$Q$5:$Q$64,1,$P$5:$P$64,2025)</f>
        <v>0.816405</v>
      </c>
      <c r="G72" s="24" t="n">
        <f aca="false">Players!G112-SUMIFS($L$5:$L$64,$C$5:$C$64,"orcl",$Q$5:$Q$64,1,$P$5:$P$64,2026)</f>
        <v>1.34013</v>
      </c>
      <c r="H72" s="24" t="n">
        <f aca="false">Players!H112-SUMIFS($L$5:$L$64,$C$5:$C$64,"orcl",$Q$5:$Q$64,1,$P$5:$P$64,2027)</f>
        <v>0</v>
      </c>
      <c r="I72" s="24" t="n">
        <f aca="false">Players!I112-SUMIFS($L$5:$L$64,$C$5:$C$64,"orcl",$Q$5:$Q$64,1,$P$5:$P$64,2028)</f>
        <v>0</v>
      </c>
      <c r="J72" s="24" t="n">
        <f aca="false">Players!J112-SUMIFS($L$5:$L$64,$C$5:$C$64,"orcl",$Q$5:$Q$64,1,$P$5:$P$64,2029)</f>
        <v>0</v>
      </c>
      <c r="K72" s="24" t="n">
        <f aca="false">Players!K112-SUMIFS($L$5:$L$64,$C$5:$C$64,"orcl",$Q$5:$Q$64,1,$P$5:$P$64,2030)</f>
        <v>0</v>
      </c>
      <c r="L72" s="24" t="n">
        <f aca="false">Players!L112-SUMIFS($L$5:$L$64,$C$5:$C$64,"orcl",$Q$5:$Q$64,1,$P$5:$P$64,2031)</f>
        <v>0</v>
      </c>
      <c r="M72" s="24" t="n">
        <f aca="false">Players!M112-SUMIFS($L$5:$L$64,$C$5:$C$64,"orcl",$Q$5:$Q$64,1,$P$5:$P$64,2032)</f>
        <v>0</v>
      </c>
    </row>
    <row r="73" customFormat="false" ht="15" hidden="false" customHeight="false" outlineLevel="0" collapsed="false">
      <c r="A73" s="0" t="s">
        <v>1076</v>
      </c>
      <c r="B73" s="0" t="s">
        <v>620</v>
      </c>
      <c r="C73" s="5" t="s">
        <v>1334</v>
      </c>
      <c r="E73" s="24" t="n">
        <f aca="false">Players!E131-SUMIFS($L$5:$L$64,$C$5:$C$64,"crwv",$Q$5:$Q$64,1,$P$5:$P$64,2024)</f>
        <v>0.29</v>
      </c>
      <c r="F73" s="24" t="n">
        <f aca="false">Players!F131-SUMIFS($L$5:$L$64,$C$5:$C$64,"crwv",$Q$5:$Q$64,1,$P$5:$P$64,2025)</f>
        <v>0.49</v>
      </c>
      <c r="G73" s="24" t="n">
        <f aca="false">Players!G131-SUMIFS($L$5:$L$64,$C$5:$C$64,"crwv",$Q$5:$Q$64,1,$P$5:$P$64,2026)</f>
        <v>1</v>
      </c>
      <c r="H73" s="24" t="n">
        <f aca="false">Players!H131-SUMIFS($L$5:$L$64,$C$5:$C$64,"crwv",$Q$5:$Q$64,1,$P$5:$P$64,2027)</f>
        <v>1.2775</v>
      </c>
      <c r="I73" s="24" t="n">
        <f aca="false">Players!I131-SUMIFS($L$5:$L$64,$C$5:$C$64,"crwv",$Q$5:$Q$64,1,$P$5:$P$64,2028)</f>
        <v>1.5375</v>
      </c>
      <c r="J73" s="24" t="n">
        <f aca="false">Players!J131-SUMIFS($L$5:$L$64,$C$5:$C$64,"crwv",$Q$5:$Q$64,1,$P$5:$P$64,2029)</f>
        <v>1.5375</v>
      </c>
      <c r="K73" s="24" t="n">
        <f aca="false">Players!K131-SUMIFS($L$5:$L$64,$C$5:$C$64,"crwv",$Q$5:$Q$64,1,$P$5:$P$64,2030)</f>
        <v>1.5375</v>
      </c>
      <c r="L73" s="24" t="n">
        <f aca="false">Players!L131-SUMIFS($L$5:$L$64,$C$5:$C$64,"crwv",$Q$5:$Q$64,1,$P$5:$P$64,2031)</f>
        <v>0</v>
      </c>
      <c r="M73" s="24" t="n">
        <f aca="false">Players!M131-SUMIFS($L$5:$L$64,$C$5:$C$64,"crwv",$Q$5:$Q$64,1,$P$5:$P$64,2032)</f>
        <v>0</v>
      </c>
    </row>
    <row r="74" customFormat="false" ht="15" hidden="false" customHeight="false" outlineLevel="0" collapsed="false">
      <c r="A74" s="0" t="s">
        <v>1095</v>
      </c>
      <c r="B74" s="0" t="s">
        <v>651</v>
      </c>
      <c r="C74" s="5" t="s">
        <v>1334</v>
      </c>
      <c r="E74" s="24" t="n">
        <f aca="false">Players!E150-SUMIFS($L$5:$L$64,$C$5:$C$64,"nbis",$Q$5:$Q$64,1,$P$5:$P$64,2024)</f>
        <v>0</v>
      </c>
      <c r="F74" s="24" t="n">
        <f aca="false">Players!F150-SUMIFS($L$5:$L$64,$C$5:$C$64,"nbis",$Q$5:$Q$64,1,$P$5:$P$64,2025)</f>
        <v>0</v>
      </c>
      <c r="G74" s="24" t="n">
        <f aca="false">Players!G150-SUMIFS($L$5:$L$64,$C$5:$C$64,"nbis",$Q$5:$Q$64,1,$P$5:$P$64,2026)</f>
        <v>0.73</v>
      </c>
      <c r="H74" s="24" t="n">
        <f aca="false">Players!H150-SUMIFS($L$5:$L$64,$C$5:$C$64,"nbis",$Q$5:$Q$64,1,$P$5:$P$64,2027)</f>
        <v>0</v>
      </c>
      <c r="I74" s="24" t="n">
        <f aca="false">Players!I150-SUMIFS($L$5:$L$64,$C$5:$C$64,"nbis",$Q$5:$Q$64,1,$P$5:$P$64,2028)</f>
        <v>0</v>
      </c>
      <c r="J74" s="24" t="n">
        <f aca="false">Players!J150-SUMIFS($L$5:$L$64,$C$5:$C$64,"nbis",$Q$5:$Q$64,1,$P$5:$P$64,2029)</f>
        <v>0</v>
      </c>
      <c r="K74" s="24" t="n">
        <f aca="false">Players!K150-SUMIFS($L$5:$L$64,$C$5:$C$64,"nbis",$Q$5:$Q$64,1,$P$5:$P$64,2030)</f>
        <v>0</v>
      </c>
      <c r="L74" s="24" t="n">
        <f aca="false">Players!L150-SUMIFS($L$5:$L$64,$C$5:$C$64,"nbis",$Q$5:$Q$64,1,$P$5:$P$64,2031)</f>
        <v>0</v>
      </c>
      <c r="M74" s="24" t="n">
        <f aca="false">Players!M150-SUMIFS($L$5:$L$64,$C$5:$C$64,"nbis",$Q$5:$Q$64,1,$P$5:$P$64,2032)</f>
        <v>0</v>
      </c>
    </row>
    <row r="75" customFormat="false" ht="17.15" hidden="false" customHeight="false" outlineLevel="0" collapsed="false">
      <c r="A75" s="0" t="s">
        <v>1305</v>
      </c>
      <c r="B75" s="0" t="s">
        <v>1115</v>
      </c>
      <c r="C75" s="5" t="s">
        <v>1334</v>
      </c>
      <c r="E75" s="24" t="n">
        <f aca="false">Players!E169-SUMIFS($L$5:$L$64,$C$5:$C$64,"wyfi",$Q$5:$Q$64,1,$P$5:$P$64,2024)</f>
        <v>0</v>
      </c>
      <c r="F75" s="24" t="n">
        <f aca="false">Players!F169-SUMIFS($L$5:$L$64,$C$5:$C$64,"wyfi",$Q$5:$Q$64,1,$P$5:$P$64,2025)</f>
        <v>0</v>
      </c>
      <c r="G75" s="24" t="n">
        <f aca="false">Players!G169-SUMIFS($L$5:$L$64,$C$5:$C$64,"wyfi",$Q$5:$Q$64,1,$P$5:$P$64,2026)</f>
        <v>0.009074</v>
      </c>
      <c r="H75" s="24" t="n">
        <f aca="false">Players!H169-SUMIFS($L$5:$L$64,$C$5:$C$64,"wyfi",$Q$5:$Q$64,1,$P$5:$P$64,2027)</f>
        <v>0.001974</v>
      </c>
      <c r="I75" s="24" t="n">
        <f aca="false">Players!I169-SUMIFS($L$5:$L$64,$C$5:$C$64,"wyfi",$Q$5:$Q$64,1,$P$5:$P$64,2028)</f>
        <v>0</v>
      </c>
      <c r="J75" s="24" t="n">
        <f aca="false">Players!J169-SUMIFS($L$5:$L$64,$C$5:$C$64,"wyfi",$Q$5:$Q$64,1,$P$5:$P$64,2029)</f>
        <v>0</v>
      </c>
      <c r="K75" s="24" t="n">
        <f aca="false">Players!K169-SUMIFS($L$5:$L$64,$C$5:$C$64,"wyfi",$Q$5:$Q$64,1,$P$5:$P$64,2030)</f>
        <v>0</v>
      </c>
      <c r="L75" s="24" t="n">
        <f aca="false">Players!L169-SUMIFS($L$5:$L$64,$C$5:$C$64,"wyfi",$Q$5:$Q$64,1,$P$5:$P$64,2031)</f>
        <v>0</v>
      </c>
      <c r="M75" s="24" t="n">
        <f aca="false">Players!M169-SUMIFS($L$5:$L$64,$C$5:$C$64,"wyfi",$Q$5:$Q$64,1,$P$5:$P$64,2032)</f>
        <v>0</v>
      </c>
    </row>
    <row r="76" customFormat="false" ht="17.15" hidden="false" customHeight="false" outlineLevel="0" collapsed="false">
      <c r="A76" s="0" t="s">
        <v>1306</v>
      </c>
      <c r="B76" s="0" t="s">
        <v>535</v>
      </c>
      <c r="C76" s="5" t="s">
        <v>1334</v>
      </c>
      <c r="E76" s="24" t="n">
        <f aca="false">Players!E188-SUMIFS($L$5:$L$64,$C$5:$C$64,"xai",$Q$5:$Q$64,1,$P$5:$P$64,2024)</f>
        <v>0</v>
      </c>
      <c r="F76" s="24" t="n">
        <f aca="false">Players!F188-SUMIFS($L$5:$L$64,$C$5:$C$64,"xai",$Q$5:$Q$64,1,$P$5:$P$64,2025)</f>
        <v>0</v>
      </c>
      <c r="G76" s="24" t="n">
        <f aca="false">Players!G188-SUMIFS($L$5:$L$64,$C$5:$C$64,"xai",$Q$5:$Q$64,1,$P$5:$P$64,2026)</f>
        <v>1.4302</v>
      </c>
      <c r="H76" s="24" t="n">
        <f aca="false">Players!H188-SUMIFS($L$5:$L$64,$C$5:$C$64,"xai",$Q$5:$Q$64,1,$P$5:$P$64,2027)</f>
        <v>0</v>
      </c>
      <c r="I76" s="24" t="n">
        <f aca="false">Players!I188-SUMIFS($L$5:$L$64,$C$5:$C$64,"xai",$Q$5:$Q$64,1,$P$5:$P$64,2028)</f>
        <v>0</v>
      </c>
      <c r="J76" s="24" t="n">
        <f aca="false">Players!J188-SUMIFS($L$5:$L$64,$C$5:$C$64,"xai",$Q$5:$Q$64,1,$P$5:$P$64,2029)</f>
        <v>0</v>
      </c>
      <c r="K76" s="24" t="n">
        <f aca="false">Players!K188-SUMIFS($L$5:$L$64,$C$5:$C$64,"xai",$Q$5:$Q$64,1,$P$5:$P$64,2030)</f>
        <v>0</v>
      </c>
      <c r="L76" s="24" t="n">
        <f aca="false">Players!L188-SUMIFS($L$5:$L$64,$C$5:$C$64,"xai",$Q$5:$Q$64,1,$P$5:$P$64,2031)</f>
        <v>0</v>
      </c>
      <c r="M76" s="24" t="n">
        <f aca="false">Players!M188-SUMIFS($L$5:$L$64,$C$5:$C$64,"xai",$Q$5:$Q$64,1,$P$5:$P$64,2032)</f>
        <v>0</v>
      </c>
    </row>
    <row r="77" customFormat="false" ht="17.15" hidden="false" customHeight="false" outlineLevel="0" collapsed="false">
      <c r="A77" s="0" t="s">
        <v>1307</v>
      </c>
      <c r="B77" s="0" t="s">
        <v>531</v>
      </c>
      <c r="C77" s="5" t="s">
        <v>1334</v>
      </c>
      <c r="E77" s="24" t="n">
        <f aca="false">Players!E207-SUMIFS($L$5:$L$64,$C$5:$C$64,"oai",$Q$5:$Q$64,1,$P$5:$P$64,2024)</f>
        <v>0</v>
      </c>
      <c r="F77" s="24" t="n">
        <f aca="false">Players!F207-SUMIFS($L$5:$L$64,$C$5:$C$64,"oai",$Q$5:$Q$64,1,$P$5:$P$64,2025)</f>
        <v>0</v>
      </c>
      <c r="G77" s="24" t="n">
        <f aca="false">Players!G207-SUMIFS($L$5:$L$64,$C$5:$C$64,"oai",$Q$5:$Q$64,1,$P$5:$P$64,2026)</f>
        <v>0</v>
      </c>
      <c r="H77" s="24" t="n">
        <f aca="false">Players!H207-SUMIFS($L$5:$L$64,$C$5:$C$64,"oai",$Q$5:$Q$64,1,$P$5:$P$64,2027)</f>
        <v>0</v>
      </c>
      <c r="I77" s="24" t="n">
        <f aca="false">Players!I207-SUMIFS($L$5:$L$64,$C$5:$C$64,"oai",$Q$5:$Q$64,1,$P$5:$P$64,2028)</f>
        <v>0</v>
      </c>
      <c r="J77" s="24" t="n">
        <f aca="false">Players!J207-SUMIFS($L$5:$L$64,$C$5:$C$64,"oai",$Q$5:$Q$64,1,$P$5:$P$64,2029)</f>
        <v>0</v>
      </c>
      <c r="K77" s="24" t="n">
        <f aca="false">Players!K207-SUMIFS($L$5:$L$64,$C$5:$C$64,"oai",$Q$5:$Q$64,1,$P$5:$P$64,2030)</f>
        <v>0</v>
      </c>
      <c r="L77" s="24" t="n">
        <f aca="false">Players!L207-SUMIFS($L$5:$L$64,$C$5:$C$64,"oai",$Q$5:$Q$64,1,$P$5:$P$64,2031)</f>
        <v>0</v>
      </c>
      <c r="M77" s="24" t="n">
        <f aca="false">Players!M207-SUMIFS($L$5:$L$64,$C$5:$C$64,"oai",$Q$5:$Q$64,1,$P$5:$P$64,2032)</f>
        <v>0</v>
      </c>
    </row>
    <row r="78" customFormat="false" ht="17.15" hidden="false" customHeight="false" outlineLevel="0" collapsed="false">
      <c r="A78" s="0" t="s">
        <v>1308</v>
      </c>
      <c r="B78" s="0" t="s">
        <v>515</v>
      </c>
      <c r="C78" s="5" t="s">
        <v>1334</v>
      </c>
      <c r="E78" s="24" t="n">
        <f aca="false">Players!E226-SUMIFS($L$5:$L$64,$C$5:$C$64,"ant",$Q$5:$Q$64,1,$P$5:$P$64,2024)</f>
        <v>0</v>
      </c>
      <c r="F78" s="24" t="n">
        <f aca="false">Players!F226-SUMIFS($L$5:$L$64,$C$5:$C$64,"ant",$Q$5:$Q$64,1,$P$5:$P$64,2025)</f>
        <v>0</v>
      </c>
      <c r="G78" s="24" t="n">
        <f aca="false">Players!G226-SUMIFS($L$5:$L$64,$C$5:$C$64,"ant",$Q$5:$Q$64,1,$P$5:$P$64,2026)</f>
        <v>0</v>
      </c>
      <c r="H78" s="24" t="n">
        <f aca="false">Players!H226-SUMIFS($L$5:$L$64,$C$5:$C$64,"ant",$Q$5:$Q$64,1,$P$5:$P$64,2027)</f>
        <v>0</v>
      </c>
      <c r="I78" s="24" t="n">
        <f aca="false">Players!I226-SUMIFS($L$5:$L$64,$C$5:$C$64,"ant",$Q$5:$Q$64,1,$P$5:$P$64,2028)</f>
        <v>0</v>
      </c>
      <c r="J78" s="24" t="n">
        <f aca="false">Players!J226-SUMIFS($L$5:$L$64,$C$5:$C$64,"ant",$Q$5:$Q$64,1,$P$5:$P$64,2029)</f>
        <v>0</v>
      </c>
      <c r="K78" s="24" t="n">
        <f aca="false">Players!K226-SUMIFS($L$5:$L$64,$C$5:$C$64,"ant",$Q$5:$Q$64,1,$P$5:$P$64,2030)</f>
        <v>0</v>
      </c>
      <c r="L78" s="24" t="n">
        <f aca="false">Players!L226-SUMIFS($L$5:$L$64,$C$5:$C$64,"ant",$Q$5:$Q$64,1,$P$5:$P$64,2031)</f>
        <v>0</v>
      </c>
      <c r="M78" s="24" t="n">
        <f aca="false">Players!M226-SUMIFS($L$5:$L$64,$C$5:$C$64,"ant",$Q$5:$Q$64,1,$P$5:$P$64,2032)</f>
        <v>0</v>
      </c>
    </row>
    <row r="79" customFormat="false" ht="17.15" hidden="false" customHeight="false" outlineLevel="0" collapsed="false">
      <c r="A79" s="5" t="s">
        <v>1309</v>
      </c>
      <c r="B79" s="0" t="s">
        <v>545</v>
      </c>
      <c r="C79" s="5" t="s">
        <v>1334</v>
      </c>
      <c r="E79" s="24" t="n">
        <f aca="false">Players!E245-SUMIFS($L$5:$L$64,$C$5:$C$64,"neo",$Q$5:$Q$64,1,$P$5:$P$64,2024)</f>
        <v>0</v>
      </c>
      <c r="F79" s="24" t="n">
        <f aca="false">Players!F245-SUMIFS($L$5:$L$64,$C$5:$C$64,"neo",$Q$5:$Q$64,1,$P$5:$P$64,2025)</f>
        <v>0.3</v>
      </c>
      <c r="G79" s="24" t="n">
        <f aca="false">Players!G245-SUMIFS($L$5:$L$64,$C$5:$C$64,"neo",$Q$5:$Q$64,1,$P$5:$P$64,2026)</f>
        <v>0.7</v>
      </c>
      <c r="H79" s="24" t="n">
        <f aca="false">Players!H245-SUMIFS($L$5:$L$64,$C$5:$C$64,"neo",$Q$5:$Q$64,1,$P$5:$P$64,2027)</f>
        <v>0</v>
      </c>
      <c r="I79" s="24" t="n">
        <f aca="false">Players!I245-SUMIFS($L$5:$L$64,$C$5:$C$64,"neo",$Q$5:$Q$64,1,$P$5:$P$64,2028)</f>
        <v>0</v>
      </c>
      <c r="J79" s="24" t="n">
        <f aca="false">Players!J245-SUMIFS($L$5:$L$64,$C$5:$C$64,"neo",$Q$5:$Q$64,1,$P$5:$P$64,2029)</f>
        <v>0</v>
      </c>
      <c r="K79" s="24" t="n">
        <f aca="false">Players!K245-SUMIFS($L$5:$L$64,$C$5:$C$64,"neo",$Q$5:$Q$64,1,$P$5:$P$64,2030)</f>
        <v>0</v>
      </c>
      <c r="L79" s="24" t="n">
        <f aca="false">Players!L245-SUMIFS($L$5:$L$64,$C$5:$C$64,"neo",$Q$5:$Q$64,1,$P$5:$P$64,2031)</f>
        <v>0</v>
      </c>
      <c r="M79" s="24" t="n">
        <f aca="false">Players!M245-SUMIFS($L$5:$L$64,$C$5:$C$64,"neo",$Q$5:$Q$64,1,$P$5:$P$64,2032)</f>
        <v>0</v>
      </c>
    </row>
    <row r="80" customFormat="false" ht="17.15" hidden="false" customHeight="false" outlineLevel="0" collapsed="false">
      <c r="A80" s="5" t="s">
        <v>1310</v>
      </c>
      <c r="B80" s="0" t="s">
        <v>644</v>
      </c>
      <c r="C80" s="5" t="s">
        <v>1334</v>
      </c>
      <c r="E80" s="24" t="n">
        <f aca="false">Players!E264-SUMIFS($L$5:$L$64,$C$5:$C$64,"sov",$Q$5:$Q$64,1,$P$5:$P$64,2024)</f>
        <v>0</v>
      </c>
      <c r="F80" s="24" t="n">
        <f aca="false">Players!F264-SUMIFS($L$5:$L$64,$C$5:$C$64,"sov",$Q$5:$Q$64,1,$P$5:$P$64,2025)</f>
        <v>0</v>
      </c>
      <c r="G80" s="24" t="n">
        <f aca="false">Players!G264-SUMIFS($L$5:$L$64,$C$5:$C$64,"sov",$Q$5:$Q$64,1,$P$5:$P$64,2026)</f>
        <v>0</v>
      </c>
      <c r="H80" s="24" t="n">
        <f aca="false">Players!H264-SUMIFS($L$5:$L$64,$C$5:$C$64,"sov",$Q$5:$Q$64,1,$P$5:$P$64,2027)</f>
        <v>0</v>
      </c>
      <c r="I80" s="24" t="n">
        <f aca="false">Players!I264-SUMIFS($L$5:$L$64,$C$5:$C$64,"sov",$Q$5:$Q$64,1,$P$5:$P$64,2028)</f>
        <v>0</v>
      </c>
      <c r="J80" s="24" t="n">
        <f aca="false">Players!J264-SUMIFS($L$5:$L$64,$C$5:$C$64,"sov",$Q$5:$Q$64,1,$P$5:$P$64,2029)</f>
        <v>0</v>
      </c>
      <c r="K80" s="24" t="n">
        <f aca="false">Players!K264-SUMIFS($L$5:$L$64,$C$5:$C$64,"sov",$Q$5:$Q$64,1,$P$5:$P$64,2030)</f>
        <v>0</v>
      </c>
      <c r="L80" s="24" t="n">
        <f aca="false">Players!L264-SUMIFS($L$5:$L$64,$C$5:$C$64,"sov",$Q$5:$Q$64,1,$P$5:$P$64,2031)</f>
        <v>0</v>
      </c>
      <c r="M80" s="24" t="n">
        <f aca="false">Players!M264-SUMIFS($L$5:$L$64,$C$5:$C$64,"sov",$Q$5:$Q$64,1,$P$5:$P$64,2032)</f>
        <v>0</v>
      </c>
    </row>
    <row r="81" customFormat="false" ht="17.15" hidden="false" customHeight="false" outlineLevel="0" collapsed="false">
      <c r="A81" s="5" t="s">
        <v>1311</v>
      </c>
      <c r="B81" s="0" t="s">
        <v>552</v>
      </c>
      <c r="C81" s="5" t="s">
        <v>1334</v>
      </c>
      <c r="E81" s="24" t="n">
        <f aca="false">Players!E283-SUMIFS($L$5:$L$64,$C$5:$C$64,"cn",$Q$5:$Q$64,1,$P$5:$P$64,2024)</f>
        <v>0</v>
      </c>
      <c r="F81" s="24" t="n">
        <f aca="false">Players!F283-SUMIFS($L$5:$L$64,$C$5:$C$64,"cn",$Q$5:$Q$64,1,$P$5:$P$64,2025)</f>
        <v>0</v>
      </c>
      <c r="G81" s="24" t="n">
        <f aca="false">Players!G283-SUMIFS($L$5:$L$64,$C$5:$C$64,"cn",$Q$5:$Q$64,1,$P$5:$P$64,2026)</f>
        <v>3.33333333333333</v>
      </c>
      <c r="H81" s="24" t="n">
        <f aca="false">Players!H283-SUMIFS($L$5:$L$64,$C$5:$C$64,"cn",$Q$5:$Q$64,1,$P$5:$P$64,2027)</f>
        <v>1.9895044578405</v>
      </c>
      <c r="I81" s="24" t="n">
        <f aca="false">Players!I283-SUMIFS($L$5:$L$64,$C$5:$C$64,"cn",$Q$5:$Q$64,1,$P$5:$P$64,2028)</f>
        <v>2.28121406090902</v>
      </c>
      <c r="J81" s="24" t="n">
        <f aca="false">Players!J283-SUMIFS($L$5:$L$64,$C$5:$C$64,"cn",$Q$5:$Q$64,1,$P$5:$P$64,2029)</f>
        <v>2.61252133099745</v>
      </c>
      <c r="K81" s="24" t="n">
        <f aca="false">Players!K283-SUMIFS($L$5:$L$64,$C$5:$C$64,"cn",$Q$5:$Q$64,1,$P$5:$P$64,2030)</f>
        <v>2.9885550220479</v>
      </c>
      <c r="L81" s="24" t="n">
        <f aca="false">Players!L283-SUMIFS($L$5:$L$64,$C$5:$C$64,"cn",$Q$5:$Q$64,1,$P$5:$P$64,2031)</f>
        <v>2.15384615384616</v>
      </c>
      <c r="M81" s="24" t="n">
        <f aca="false">Players!M283-SUMIFS($L$5:$L$64,$C$5:$C$64,"cn",$Q$5:$Q$64,1,$P$5:$P$64,2032)</f>
        <v>2.36923076923077</v>
      </c>
    </row>
    <row r="82" customFormat="false" ht="17.15" hidden="false" customHeight="false" outlineLevel="0" collapsed="false">
      <c r="A82" s="5" t="s">
        <v>1312</v>
      </c>
      <c r="B82" s="0" t="s">
        <v>737</v>
      </c>
      <c r="C82" s="5" t="s">
        <v>1334</v>
      </c>
      <c r="E82" s="24" t="n">
        <f aca="false">Players!E302-SUMIFS($L$5:$L$64,$C$5:$C$64,"oth",$Q$5:$Q$64,1,$P$5:$P$64,2024)</f>
        <v>0</v>
      </c>
      <c r="F82" s="24" t="n">
        <f aca="false">Players!F302-SUMIFS($L$5:$L$64,$C$5:$C$64,"oth",$Q$5:$Q$64,1,$P$5:$P$64,2025)</f>
        <v>0</v>
      </c>
      <c r="G82" s="24" t="n">
        <f aca="false">Players!G302-SUMIFS($L$5:$L$64,$C$5:$C$64,"oth",$Q$5:$Q$64,1,$P$5:$P$64,2026)</f>
        <v>0</v>
      </c>
      <c r="H82" s="24" t="n">
        <f aca="false">Players!H302-SUMIFS($L$5:$L$64,$C$5:$C$64,"oth",$Q$5:$Q$64,1,$P$5:$P$64,2027)</f>
        <v>0</v>
      </c>
      <c r="I82" s="24" t="n">
        <f aca="false">Players!I302-SUMIFS($L$5:$L$64,$C$5:$C$64,"oth",$Q$5:$Q$64,1,$P$5:$P$64,2028)</f>
        <v>0</v>
      </c>
      <c r="J82" s="24" t="n">
        <f aca="false">Players!J302-SUMIFS($L$5:$L$64,$C$5:$C$64,"oth",$Q$5:$Q$64,1,$P$5:$P$64,2029)</f>
        <v>0</v>
      </c>
      <c r="K82" s="24" t="n">
        <f aca="false">Players!K302-SUMIFS($L$5:$L$64,$C$5:$C$64,"oth",$Q$5:$Q$64,1,$P$5:$P$64,2030)</f>
        <v>0</v>
      </c>
      <c r="L82" s="24" t="n">
        <f aca="false">Players!L302-SUMIFS($L$5:$L$64,$C$5:$C$64,"oth",$Q$5:$Q$64,1,$P$5:$P$64,2031)</f>
        <v>0</v>
      </c>
      <c r="M82" s="24" t="n">
        <f aca="false">Players!M302-SUMIFS($L$5:$L$64,$C$5:$C$64,"oth",$Q$5:$Q$64,1,$P$5:$P$64,2032)</f>
        <v>0</v>
      </c>
    </row>
    <row r="84" customFormat="false" ht="17.15" hidden="false" customHeight="false" outlineLevel="0" collapsed="false">
      <c r="A84" s="0" t="s">
        <v>1301</v>
      </c>
      <c r="B84" s="0" t="s">
        <v>506</v>
      </c>
      <c r="C84" s="5" t="s">
        <v>1335</v>
      </c>
      <c r="E84" s="24" t="n">
        <f aca="false">IF(Players!E31=2,E68,0)</f>
        <v>0</v>
      </c>
      <c r="F84" s="24" t="n">
        <f aca="false">IF(Players!F31=2,F68,0)</f>
        <v>0</v>
      </c>
      <c r="G84" s="24" t="n">
        <f aca="false">IF(Players!G31=2,G68,0)</f>
        <v>0.0869549999999999</v>
      </c>
      <c r="H84" s="24" t="n">
        <f aca="false">IF(Players!H31=2,H68,0)</f>
        <v>0</v>
      </c>
      <c r="I84" s="24" t="n">
        <f aca="false">IF(Players!I31=2,I68,0)</f>
        <v>0</v>
      </c>
      <c r="J84" s="24" t="n">
        <f aca="false">IF(Players!J31=2,J68,0)</f>
        <v>0</v>
      </c>
      <c r="K84" s="24" t="n">
        <f aca="false">IF(Players!K31=2,K68,0)</f>
        <v>0</v>
      </c>
      <c r="L84" s="24" t="n">
        <f aca="false">IF(Players!L31=2,L68,0)</f>
        <v>0</v>
      </c>
      <c r="M84" s="24" t="n">
        <f aca="false">IF(Players!M31=2,M68,0)</f>
        <v>0</v>
      </c>
    </row>
    <row r="85" customFormat="false" ht="17.15" hidden="false" customHeight="false" outlineLevel="0" collapsed="false">
      <c r="A85" s="0" t="s">
        <v>1302</v>
      </c>
      <c r="B85" s="0" t="s">
        <v>511</v>
      </c>
      <c r="C85" s="5" t="s">
        <v>1335</v>
      </c>
      <c r="E85" s="24" t="n">
        <f aca="false">IF(Players!E50=2,E69,0)</f>
        <v>0</v>
      </c>
      <c r="F85" s="24" t="n">
        <f aca="false">IF(Players!F50=2,F69,0)</f>
        <v>0</v>
      </c>
      <c r="G85" s="24" t="n">
        <f aca="false">IF(Players!G50=2,G69,0)</f>
        <v>1.29267912772586</v>
      </c>
      <c r="H85" s="24" t="n">
        <f aca="false">IF(Players!H50=2,H69,0)</f>
        <v>0</v>
      </c>
      <c r="I85" s="24" t="n">
        <f aca="false">IF(Players!I50=2,I69,0)</f>
        <v>0</v>
      </c>
      <c r="J85" s="24" t="n">
        <f aca="false">IF(Players!J50=2,J69,0)</f>
        <v>0</v>
      </c>
      <c r="K85" s="24" t="n">
        <f aca="false">IF(Players!K50=2,K69,0)</f>
        <v>0</v>
      </c>
      <c r="L85" s="24" t="n">
        <f aca="false">IF(Players!L50=2,L69,0)</f>
        <v>0</v>
      </c>
      <c r="M85" s="24" t="n">
        <f aca="false">IF(Players!M50=2,M69,0)</f>
        <v>0</v>
      </c>
    </row>
    <row r="86" customFormat="false" ht="17.15" hidden="false" customHeight="false" outlineLevel="0" collapsed="false">
      <c r="A86" s="0" t="s">
        <v>1303</v>
      </c>
      <c r="B86" s="0" t="s">
        <v>519</v>
      </c>
      <c r="C86" s="5" t="s">
        <v>1335</v>
      </c>
      <c r="E86" s="24" t="n">
        <f aca="false">IF(Players!E69=2,E70,0)</f>
        <v>0</v>
      </c>
      <c r="F86" s="24" t="n">
        <f aca="false">IF(Players!F69=2,F70,0)</f>
        <v>0</v>
      </c>
      <c r="G86" s="24" t="n">
        <f aca="false">IF(Players!G69=2,G70,0)</f>
        <v>0.4</v>
      </c>
      <c r="H86" s="24" t="n">
        <f aca="false">IF(Players!H69=2,H70,0)</f>
        <v>0</v>
      </c>
      <c r="I86" s="24" t="n">
        <f aca="false">IF(Players!I69=2,I70,0)</f>
        <v>0</v>
      </c>
      <c r="J86" s="24" t="n">
        <f aca="false">IF(Players!J69=2,J70,0)</f>
        <v>0</v>
      </c>
      <c r="K86" s="24" t="n">
        <f aca="false">IF(Players!K69=2,K70,0)</f>
        <v>0</v>
      </c>
      <c r="L86" s="24" t="n">
        <f aca="false">IF(Players!L69=2,L70,0)</f>
        <v>0</v>
      </c>
      <c r="M86" s="24" t="n">
        <f aca="false">IF(Players!M69=2,M70,0)</f>
        <v>0</v>
      </c>
    </row>
    <row r="87" customFormat="false" ht="15" hidden="false" customHeight="false" outlineLevel="0" collapsed="false">
      <c r="A87" s="0" t="s">
        <v>1038</v>
      </c>
      <c r="B87" s="0" t="s">
        <v>526</v>
      </c>
      <c r="C87" s="5" t="s">
        <v>1335</v>
      </c>
      <c r="E87" s="24" t="n">
        <f aca="false">IF(Players!E88=2,E71,0)</f>
        <v>0</v>
      </c>
      <c r="F87" s="24" t="n">
        <f aca="false">IF(Players!F88=2,F71,0)</f>
        <v>0</v>
      </c>
      <c r="G87" s="24" t="n">
        <f aca="false">IF(Players!G88=2,G71,0)</f>
        <v>0</v>
      </c>
      <c r="H87" s="24" t="n">
        <f aca="false">IF(Players!H88=2,H71,0)</f>
        <v>0</v>
      </c>
      <c r="I87" s="24" t="n">
        <f aca="false">IF(Players!I88=2,I71,0)</f>
        <v>0</v>
      </c>
      <c r="J87" s="24" t="n">
        <f aca="false">IF(Players!J88=2,J71,0)</f>
        <v>0</v>
      </c>
      <c r="K87" s="24" t="n">
        <f aca="false">IF(Players!K88=2,K71,0)</f>
        <v>0</v>
      </c>
      <c r="L87" s="24" t="n">
        <f aca="false">IF(Players!L88=2,L71,0)</f>
        <v>0</v>
      </c>
      <c r="M87" s="24" t="n">
        <f aca="false">IF(Players!M88=2,M71,0)</f>
        <v>0</v>
      </c>
    </row>
    <row r="88" customFormat="false" ht="17.15" hidden="false" customHeight="false" outlineLevel="0" collapsed="false">
      <c r="A88" s="0" t="s">
        <v>1304</v>
      </c>
      <c r="B88" s="0" t="s">
        <v>530</v>
      </c>
      <c r="C88" s="5" t="s">
        <v>1335</v>
      </c>
      <c r="E88" s="24" t="n">
        <f aca="false">IF(Players!E107=2,E72,0)</f>
        <v>0</v>
      </c>
      <c r="F88" s="24" t="n">
        <f aca="false">IF(Players!F107=2,F72,0)</f>
        <v>0</v>
      </c>
      <c r="G88" s="24" t="n">
        <f aca="false">IF(Players!G107=2,G72,0)</f>
        <v>1.34013</v>
      </c>
      <c r="H88" s="24" t="n">
        <f aca="false">IF(Players!H107=2,H72,0)</f>
        <v>0</v>
      </c>
      <c r="I88" s="24" t="n">
        <f aca="false">IF(Players!I107=2,I72,0)</f>
        <v>0</v>
      </c>
      <c r="J88" s="24" t="n">
        <f aca="false">IF(Players!J107=2,J72,0)</f>
        <v>0</v>
      </c>
      <c r="K88" s="24" t="n">
        <f aca="false">IF(Players!K107=2,K72,0)</f>
        <v>0</v>
      </c>
      <c r="L88" s="24" t="n">
        <f aca="false">IF(Players!L107=2,L72,0)</f>
        <v>0</v>
      </c>
      <c r="M88" s="24" t="n">
        <f aca="false">IF(Players!M107=2,M72,0)</f>
        <v>0</v>
      </c>
    </row>
    <row r="89" customFormat="false" ht="15" hidden="false" customHeight="false" outlineLevel="0" collapsed="false">
      <c r="A89" s="0" t="s">
        <v>1076</v>
      </c>
      <c r="B89" s="0" t="s">
        <v>620</v>
      </c>
      <c r="C89" s="5" t="s">
        <v>1335</v>
      </c>
      <c r="E89" s="24" t="n">
        <f aca="false">IF(Players!E126=2,E73,0)</f>
        <v>0</v>
      </c>
      <c r="F89" s="24" t="n">
        <f aca="false">IF(Players!F126=2,F73,0)</f>
        <v>0</v>
      </c>
      <c r="G89" s="24" t="n">
        <f aca="false">IF(Players!G126=2,G73,0)</f>
        <v>0</v>
      </c>
      <c r="H89" s="24" t="n">
        <f aca="false">IF(Players!H126=2,H73,0)</f>
        <v>0</v>
      </c>
      <c r="I89" s="24" t="n">
        <f aca="false">IF(Players!I126=2,I73,0)</f>
        <v>0</v>
      </c>
      <c r="J89" s="24" t="n">
        <f aca="false">IF(Players!J126=2,J73,0)</f>
        <v>0</v>
      </c>
      <c r="K89" s="24" t="n">
        <f aca="false">IF(Players!K126=2,K73,0)</f>
        <v>0</v>
      </c>
      <c r="L89" s="24" t="n">
        <f aca="false">IF(Players!L126=2,L73,0)</f>
        <v>0</v>
      </c>
      <c r="M89" s="24" t="n">
        <f aca="false">IF(Players!M126=2,M73,0)</f>
        <v>0</v>
      </c>
    </row>
    <row r="90" customFormat="false" ht="15" hidden="false" customHeight="false" outlineLevel="0" collapsed="false">
      <c r="A90" s="0" t="s">
        <v>1095</v>
      </c>
      <c r="B90" s="0" t="s">
        <v>651</v>
      </c>
      <c r="C90" s="5" t="s">
        <v>1335</v>
      </c>
      <c r="E90" s="24" t="n">
        <f aca="false">IF(Players!E145=2,E74,0)</f>
        <v>0</v>
      </c>
      <c r="F90" s="24" t="n">
        <f aca="false">IF(Players!F145=2,F74,0)</f>
        <v>0</v>
      </c>
      <c r="G90" s="24" t="n">
        <f aca="false">IF(Players!G145=2,G74,0)</f>
        <v>0</v>
      </c>
      <c r="H90" s="24" t="n">
        <f aca="false">IF(Players!H145=2,H74,0)</f>
        <v>0</v>
      </c>
      <c r="I90" s="24" t="n">
        <f aca="false">IF(Players!I145=2,I74,0)</f>
        <v>0</v>
      </c>
      <c r="J90" s="24" t="n">
        <f aca="false">IF(Players!J145=2,J74,0)</f>
        <v>0</v>
      </c>
      <c r="K90" s="24" t="n">
        <f aca="false">IF(Players!K145=2,K74,0)</f>
        <v>0</v>
      </c>
      <c r="L90" s="24" t="n">
        <f aca="false">IF(Players!L145=2,L74,0)</f>
        <v>0</v>
      </c>
      <c r="M90" s="24" t="n">
        <f aca="false">IF(Players!M145=2,M74,0)</f>
        <v>0</v>
      </c>
    </row>
    <row r="91" customFormat="false" ht="17.15" hidden="false" customHeight="false" outlineLevel="0" collapsed="false">
      <c r="A91" s="0" t="s">
        <v>1305</v>
      </c>
      <c r="B91" s="0" t="s">
        <v>1115</v>
      </c>
      <c r="C91" s="5" t="s">
        <v>1335</v>
      </c>
      <c r="E91" s="24" t="n">
        <f aca="false">IF(Players!E164=2,E75,0)</f>
        <v>0</v>
      </c>
      <c r="F91" s="24" t="n">
        <f aca="false">IF(Players!F164=2,F75,0)</f>
        <v>0</v>
      </c>
      <c r="G91" s="24" t="n">
        <f aca="false">IF(Players!G164=2,G75,0)</f>
        <v>0</v>
      </c>
      <c r="H91" s="24" t="n">
        <f aca="false">IF(Players!H164=2,H75,0)</f>
        <v>0</v>
      </c>
      <c r="I91" s="24" t="n">
        <f aca="false">IF(Players!I164=2,I75,0)</f>
        <v>0</v>
      </c>
      <c r="J91" s="24" t="n">
        <f aca="false">IF(Players!J164=2,J75,0)</f>
        <v>0</v>
      </c>
      <c r="K91" s="24" t="n">
        <f aca="false">IF(Players!K164=2,K75,0)</f>
        <v>0</v>
      </c>
      <c r="L91" s="24" t="n">
        <f aca="false">IF(Players!L164=2,L75,0)</f>
        <v>0</v>
      </c>
      <c r="M91" s="24" t="n">
        <f aca="false">IF(Players!M164=2,M75,0)</f>
        <v>0</v>
      </c>
    </row>
    <row r="92" customFormat="false" ht="17.15" hidden="false" customHeight="false" outlineLevel="0" collapsed="false">
      <c r="A92" s="0" t="s">
        <v>1306</v>
      </c>
      <c r="B92" s="0" t="s">
        <v>535</v>
      </c>
      <c r="C92" s="5" t="s">
        <v>1335</v>
      </c>
      <c r="E92" s="24" t="n">
        <f aca="false">IF(Players!E183=2,E76,0)</f>
        <v>0</v>
      </c>
      <c r="F92" s="24" t="n">
        <f aca="false">IF(Players!F183=2,F76,0)</f>
        <v>0</v>
      </c>
      <c r="G92" s="24" t="n">
        <f aca="false">IF(Players!G183=2,G76,0)</f>
        <v>0</v>
      </c>
      <c r="H92" s="24" t="n">
        <f aca="false">IF(Players!H183=2,H76,0)</f>
        <v>0</v>
      </c>
      <c r="I92" s="24" t="n">
        <f aca="false">IF(Players!I183=2,I76,0)</f>
        <v>0</v>
      </c>
      <c r="J92" s="24" t="n">
        <f aca="false">IF(Players!J183=2,J76,0)</f>
        <v>0</v>
      </c>
      <c r="K92" s="24" t="n">
        <f aca="false">IF(Players!K183=2,K76,0)</f>
        <v>0</v>
      </c>
      <c r="L92" s="24" t="n">
        <f aca="false">IF(Players!L183=2,L76,0)</f>
        <v>0</v>
      </c>
      <c r="M92" s="24" t="n">
        <f aca="false">IF(Players!M183=2,M76,0)</f>
        <v>0</v>
      </c>
    </row>
    <row r="93" customFormat="false" ht="17.15" hidden="false" customHeight="false" outlineLevel="0" collapsed="false">
      <c r="A93" s="0" t="s">
        <v>1307</v>
      </c>
      <c r="B93" s="0" t="s">
        <v>531</v>
      </c>
      <c r="C93" s="5" t="s">
        <v>1335</v>
      </c>
      <c r="E93" s="24" t="n">
        <f aca="false">IF(Players!E202=2,E77,0)</f>
        <v>0</v>
      </c>
      <c r="F93" s="24" t="n">
        <f aca="false">IF(Players!F202=2,F77,0)</f>
        <v>0</v>
      </c>
      <c r="G93" s="24" t="n">
        <f aca="false">IF(Players!G202=2,G77,0)</f>
        <v>0</v>
      </c>
      <c r="H93" s="24" t="n">
        <f aca="false">IF(Players!H202=2,H77,0)</f>
        <v>0</v>
      </c>
      <c r="I93" s="24" t="n">
        <f aca="false">IF(Players!I202=2,I77,0)</f>
        <v>0</v>
      </c>
      <c r="J93" s="24" t="n">
        <f aca="false">IF(Players!J202=2,J77,0)</f>
        <v>0</v>
      </c>
      <c r="K93" s="24" t="n">
        <f aca="false">IF(Players!K202=2,K77,0)</f>
        <v>0</v>
      </c>
      <c r="L93" s="24" t="n">
        <f aca="false">IF(Players!L202=2,L77,0)</f>
        <v>0</v>
      </c>
      <c r="M93" s="24" t="n">
        <f aca="false">IF(Players!M202=2,M77,0)</f>
        <v>0</v>
      </c>
    </row>
    <row r="94" customFormat="false" ht="17.15" hidden="false" customHeight="false" outlineLevel="0" collapsed="false">
      <c r="A94" s="0" t="s">
        <v>1308</v>
      </c>
      <c r="B94" s="0" t="s">
        <v>515</v>
      </c>
      <c r="C94" s="5" t="s">
        <v>1335</v>
      </c>
      <c r="E94" s="24" t="n">
        <f aca="false">IF(Players!E221=2,E78,0)</f>
        <v>0</v>
      </c>
      <c r="F94" s="24" t="n">
        <f aca="false">IF(Players!F221=2,F78,0)</f>
        <v>0</v>
      </c>
      <c r="G94" s="24" t="n">
        <f aca="false">IF(Players!G221=2,G78,0)</f>
        <v>0</v>
      </c>
      <c r="H94" s="24" t="n">
        <f aca="false">IF(Players!H221=2,H78,0)</f>
        <v>0</v>
      </c>
      <c r="I94" s="24" t="n">
        <f aca="false">IF(Players!I221=2,I78,0)</f>
        <v>0</v>
      </c>
      <c r="J94" s="24" t="n">
        <f aca="false">IF(Players!J221=2,J78,0)</f>
        <v>0</v>
      </c>
      <c r="K94" s="24" t="n">
        <f aca="false">IF(Players!K221=2,K78,0)</f>
        <v>0</v>
      </c>
      <c r="L94" s="24" t="n">
        <f aca="false">IF(Players!L221=2,L78,0)</f>
        <v>0</v>
      </c>
      <c r="M94" s="24" t="n">
        <f aca="false">IF(Players!M221=2,M78,0)</f>
        <v>0</v>
      </c>
    </row>
    <row r="95" customFormat="false" ht="17.15" hidden="false" customHeight="false" outlineLevel="0" collapsed="false">
      <c r="A95" s="5" t="s">
        <v>1309</v>
      </c>
      <c r="B95" s="0" t="s">
        <v>545</v>
      </c>
      <c r="C95" s="5" t="s">
        <v>1335</v>
      </c>
      <c r="E95" s="24" t="n">
        <f aca="false">IF(Players!E240=2,E79,0)</f>
        <v>0</v>
      </c>
      <c r="F95" s="24" t="n">
        <f aca="false">IF(Players!F240=2,F79,0)</f>
        <v>0</v>
      </c>
      <c r="G95" s="24" t="n">
        <f aca="false">IF(Players!G240=2,G79,0)</f>
        <v>0</v>
      </c>
      <c r="H95" s="24" t="n">
        <f aca="false">IF(Players!H240=2,H79,0)</f>
        <v>0</v>
      </c>
      <c r="I95" s="24" t="n">
        <f aca="false">IF(Players!I240=2,I79,0)</f>
        <v>0</v>
      </c>
      <c r="J95" s="24" t="n">
        <f aca="false">IF(Players!J240=2,J79,0)</f>
        <v>0</v>
      </c>
      <c r="K95" s="24" t="n">
        <f aca="false">IF(Players!K240=2,K79,0)</f>
        <v>0</v>
      </c>
      <c r="L95" s="24" t="n">
        <f aca="false">IF(Players!L240=2,L79,0)</f>
        <v>0</v>
      </c>
      <c r="M95" s="24" t="n">
        <f aca="false">IF(Players!M240=2,M79,0)</f>
        <v>0</v>
      </c>
    </row>
    <row r="96" customFormat="false" ht="17.15" hidden="false" customHeight="false" outlineLevel="0" collapsed="false">
      <c r="A96" s="5" t="s">
        <v>1310</v>
      </c>
      <c r="B96" s="0" t="s">
        <v>644</v>
      </c>
      <c r="C96" s="5" t="s">
        <v>1335</v>
      </c>
      <c r="E96" s="24" t="n">
        <f aca="false">IF(Players!E259=2,E80,0)</f>
        <v>0</v>
      </c>
      <c r="F96" s="24" t="n">
        <f aca="false">IF(Players!F259=2,F80,0)</f>
        <v>0</v>
      </c>
      <c r="G96" s="24" t="n">
        <f aca="false">IF(Players!G259=2,G80,0)</f>
        <v>0</v>
      </c>
      <c r="H96" s="24" t="n">
        <f aca="false">IF(Players!H259=2,H80,0)</f>
        <v>0</v>
      </c>
      <c r="I96" s="24" t="n">
        <f aca="false">IF(Players!I259=2,I80,0)</f>
        <v>0</v>
      </c>
      <c r="J96" s="24" t="n">
        <f aca="false">IF(Players!J259=2,J80,0)</f>
        <v>0</v>
      </c>
      <c r="K96" s="24" t="n">
        <f aca="false">IF(Players!K259=2,K80,0)</f>
        <v>0</v>
      </c>
      <c r="L96" s="24" t="n">
        <f aca="false">IF(Players!L259=2,L80,0)</f>
        <v>0</v>
      </c>
      <c r="M96" s="24" t="n">
        <f aca="false">IF(Players!M259=2,M80,0)</f>
        <v>0</v>
      </c>
    </row>
    <row r="97" customFormat="false" ht="17.15" hidden="false" customHeight="false" outlineLevel="0" collapsed="false">
      <c r="A97" s="5" t="s">
        <v>1311</v>
      </c>
      <c r="B97" s="0" t="s">
        <v>552</v>
      </c>
      <c r="C97" s="5" t="s">
        <v>1335</v>
      </c>
      <c r="E97" s="24" t="n">
        <f aca="false">IF(Players!E278=2,E81,0)</f>
        <v>0</v>
      </c>
      <c r="F97" s="24" t="n">
        <f aca="false">IF(Players!F278=2,F81,0)</f>
        <v>0</v>
      </c>
      <c r="G97" s="24" t="n">
        <f aca="false">IF(Players!G278=2,G81,0)</f>
        <v>0</v>
      </c>
      <c r="H97" s="24" t="n">
        <f aca="false">IF(Players!H278=2,H81,0)</f>
        <v>0</v>
      </c>
      <c r="I97" s="24" t="n">
        <f aca="false">IF(Players!I278=2,I81,0)</f>
        <v>0</v>
      </c>
      <c r="J97" s="24" t="n">
        <f aca="false">IF(Players!J278=2,J81,0)</f>
        <v>0</v>
      </c>
      <c r="K97" s="24" t="n">
        <f aca="false">IF(Players!K278=2,K81,0)</f>
        <v>0</v>
      </c>
      <c r="L97" s="24" t="n">
        <f aca="false">IF(Players!L278=2,L81,0)</f>
        <v>0</v>
      </c>
      <c r="M97" s="24" t="n">
        <f aca="false">IF(Players!M278=2,M81,0)</f>
        <v>0</v>
      </c>
    </row>
    <row r="98" customFormat="false" ht="17.15" hidden="false" customHeight="false" outlineLevel="0" collapsed="false">
      <c r="A98" s="5" t="s">
        <v>1312</v>
      </c>
      <c r="B98" s="0" t="s">
        <v>737</v>
      </c>
      <c r="C98" s="5" t="s">
        <v>1335</v>
      </c>
      <c r="E98" s="24" t="n">
        <f aca="false">IF(Players!E297=2,E82,0)</f>
        <v>0</v>
      </c>
      <c r="F98" s="24" t="n">
        <f aca="false">IF(Players!F297=2,F82,0)</f>
        <v>0</v>
      </c>
      <c r="G98" s="24" t="n">
        <f aca="false">IF(Players!G297=2,G82,0)</f>
        <v>0</v>
      </c>
      <c r="H98" s="24" t="n">
        <f aca="false">IF(Players!H297=2,H82,0)</f>
        <v>0</v>
      </c>
      <c r="I98" s="24" t="n">
        <f aca="false">IF(Players!I297=2,I82,0)</f>
        <v>0</v>
      </c>
      <c r="J98" s="24" t="n">
        <f aca="false">IF(Players!J297=2,J82,0)</f>
        <v>0</v>
      </c>
      <c r="K98" s="24" t="n">
        <f aca="false">IF(Players!K297=2,K82,0)</f>
        <v>0</v>
      </c>
      <c r="L98" s="24" t="n">
        <f aca="false">IF(Players!L297=2,L82,0)</f>
        <v>0</v>
      </c>
      <c r="M98" s="24" t="n">
        <f aca="false">IF(Players!M297=2,M82,0)</f>
        <v>0</v>
      </c>
    </row>
    <row r="100" customFormat="false" ht="17.15" hidden="false" customHeight="false" outlineLevel="0" collapsed="false">
      <c r="A100" s="0" t="s">
        <v>1301</v>
      </c>
      <c r="B100" s="0" t="s">
        <v>506</v>
      </c>
      <c r="C100" s="5" t="s">
        <v>1336</v>
      </c>
      <c r="E100" s="24" t="n">
        <f aca="false">E68-E84</f>
        <v>0</v>
      </c>
      <c r="F100" s="24" t="n">
        <f aca="false">F68-F84</f>
        <v>1.81427</v>
      </c>
      <c r="G100" s="24" t="n">
        <f aca="false">G68-G84</f>
        <v>0</v>
      </c>
      <c r="H100" s="24" t="n">
        <f aca="false">H68-H84</f>
        <v>0</v>
      </c>
      <c r="I100" s="24" t="n">
        <f aca="false">I68-I84</f>
        <v>0</v>
      </c>
      <c r="J100" s="24" t="n">
        <f aca="false">J68-J84</f>
        <v>0</v>
      </c>
      <c r="K100" s="24" t="n">
        <f aca="false">K68-K84</f>
        <v>0</v>
      </c>
      <c r="L100" s="24" t="n">
        <f aca="false">L68-L84</f>
        <v>0</v>
      </c>
      <c r="M100" s="24" t="n">
        <f aca="false">M68-M84</f>
        <v>0</v>
      </c>
    </row>
    <row r="101" customFormat="false" ht="17.15" hidden="false" customHeight="false" outlineLevel="0" collapsed="false">
      <c r="A101" s="0" t="s">
        <v>1302</v>
      </c>
      <c r="B101" s="0" t="s">
        <v>511</v>
      </c>
      <c r="C101" s="5" t="s">
        <v>1336</v>
      </c>
      <c r="E101" s="24" t="n">
        <f aca="false">E69-E85</f>
        <v>1.32980834349181</v>
      </c>
      <c r="F101" s="24" t="n">
        <f aca="false">F69-F85</f>
        <v>2.40961330082622</v>
      </c>
      <c r="G101" s="24" t="n">
        <f aca="false">G69-G85</f>
        <v>0</v>
      </c>
      <c r="H101" s="24" t="n">
        <f aca="false">H69-H85</f>
        <v>0</v>
      </c>
      <c r="I101" s="24" t="n">
        <f aca="false">I69-I85</f>
        <v>0</v>
      </c>
      <c r="J101" s="24" t="n">
        <f aca="false">J69-J85</f>
        <v>0</v>
      </c>
      <c r="K101" s="24" t="n">
        <f aca="false">K69-K85</f>
        <v>0</v>
      </c>
      <c r="L101" s="24" t="n">
        <f aca="false">L69-L85</f>
        <v>0</v>
      </c>
      <c r="M101" s="24" t="n">
        <f aca="false">M69-M85</f>
        <v>0</v>
      </c>
    </row>
    <row r="102" customFormat="false" ht="17.15" hidden="false" customHeight="false" outlineLevel="0" collapsed="false">
      <c r="A102" s="0" t="s">
        <v>1303</v>
      </c>
      <c r="B102" s="0" t="s">
        <v>519</v>
      </c>
      <c r="C102" s="5" t="s">
        <v>1336</v>
      </c>
      <c r="E102" s="24" t="n">
        <f aca="false">E70-E86</f>
        <v>0</v>
      </c>
      <c r="F102" s="24" t="n">
        <f aca="false">F70-F86</f>
        <v>1.38971599402093</v>
      </c>
      <c r="G102" s="24" t="n">
        <f aca="false">G70-G86</f>
        <v>0</v>
      </c>
      <c r="H102" s="24" t="n">
        <f aca="false">H70-H86</f>
        <v>0</v>
      </c>
      <c r="I102" s="24" t="n">
        <f aca="false">I70-I86</f>
        <v>0</v>
      </c>
      <c r="J102" s="24" t="n">
        <f aca="false">J70-J86</f>
        <v>2.77555756156289E-016</v>
      </c>
      <c r="K102" s="24" t="n">
        <f aca="false">K70-K86</f>
        <v>0</v>
      </c>
      <c r="L102" s="24" t="n">
        <f aca="false">L70-L86</f>
        <v>0</v>
      </c>
      <c r="M102" s="24" t="n">
        <f aca="false">M70-M86</f>
        <v>0</v>
      </c>
    </row>
    <row r="103" customFormat="false" ht="15" hidden="false" customHeight="false" outlineLevel="0" collapsed="false">
      <c r="A103" s="0" t="s">
        <v>1038</v>
      </c>
      <c r="B103" s="0" t="s">
        <v>526</v>
      </c>
      <c r="C103" s="5" t="s">
        <v>1336</v>
      </c>
      <c r="E103" s="24" t="n">
        <f aca="false">E71-E87</f>
        <v>0</v>
      </c>
      <c r="F103" s="24" t="n">
        <f aca="false">F71-F87</f>
        <v>1.50812</v>
      </c>
      <c r="G103" s="24" t="n">
        <f aca="false">G71-G87</f>
        <v>0</v>
      </c>
      <c r="H103" s="24" t="n">
        <f aca="false">H71-H87</f>
        <v>0</v>
      </c>
      <c r="I103" s="24" t="n">
        <f aca="false">I71-I87</f>
        <v>0</v>
      </c>
      <c r="J103" s="24" t="n">
        <f aca="false">J71-J87</f>
        <v>0</v>
      </c>
      <c r="K103" s="24" t="n">
        <f aca="false">K71-K87</f>
        <v>0</v>
      </c>
      <c r="L103" s="24" t="n">
        <f aca="false">L71-L87</f>
        <v>0</v>
      </c>
      <c r="M103" s="24" t="n">
        <f aca="false">M71-M87</f>
        <v>0</v>
      </c>
    </row>
    <row r="104" customFormat="false" ht="17.15" hidden="false" customHeight="false" outlineLevel="0" collapsed="false">
      <c r="A104" s="0" t="s">
        <v>1304</v>
      </c>
      <c r="B104" s="0" t="s">
        <v>530</v>
      </c>
      <c r="C104" s="5" t="s">
        <v>1336</v>
      </c>
      <c r="E104" s="24" t="n">
        <f aca="false">E72-E88</f>
        <v>0</v>
      </c>
      <c r="F104" s="24" t="n">
        <f aca="false">F72-F88</f>
        <v>0.816405</v>
      </c>
      <c r="G104" s="24" t="n">
        <f aca="false">G72-G88</f>
        <v>0</v>
      </c>
      <c r="H104" s="24" t="n">
        <f aca="false">H72-H88</f>
        <v>0</v>
      </c>
      <c r="I104" s="24" t="n">
        <f aca="false">I72-I88</f>
        <v>0</v>
      </c>
      <c r="J104" s="24" t="n">
        <f aca="false">J72-J88</f>
        <v>0</v>
      </c>
      <c r="K104" s="24" t="n">
        <f aca="false">K72-K88</f>
        <v>0</v>
      </c>
      <c r="L104" s="24" t="n">
        <f aca="false">L72-L88</f>
        <v>0</v>
      </c>
      <c r="M104" s="24" t="n">
        <f aca="false">M72-M88</f>
        <v>0</v>
      </c>
    </row>
    <row r="105" customFormat="false" ht="15" hidden="false" customHeight="false" outlineLevel="0" collapsed="false">
      <c r="A105" s="0" t="s">
        <v>1076</v>
      </c>
      <c r="B105" s="0" t="s">
        <v>620</v>
      </c>
      <c r="C105" s="5" t="s">
        <v>1336</v>
      </c>
      <c r="E105" s="24" t="n">
        <f aca="false">E73-E89</f>
        <v>0.29</v>
      </c>
      <c r="F105" s="24" t="n">
        <f aca="false">F73-F89</f>
        <v>0.49</v>
      </c>
      <c r="G105" s="24" t="n">
        <f aca="false">G73-G89</f>
        <v>1</v>
      </c>
      <c r="H105" s="24" t="n">
        <f aca="false">H73-H89</f>
        <v>1.2775</v>
      </c>
      <c r="I105" s="24" t="n">
        <f aca="false">I73-I89</f>
        <v>1.5375</v>
      </c>
      <c r="J105" s="24" t="n">
        <f aca="false">J73-J89</f>
        <v>1.5375</v>
      </c>
      <c r="K105" s="24" t="n">
        <f aca="false">K73-K89</f>
        <v>1.5375</v>
      </c>
      <c r="L105" s="24" t="n">
        <f aca="false">L73-L89</f>
        <v>0</v>
      </c>
      <c r="M105" s="24" t="n">
        <f aca="false">M73-M89</f>
        <v>0</v>
      </c>
    </row>
    <row r="106" customFormat="false" ht="15" hidden="false" customHeight="false" outlineLevel="0" collapsed="false">
      <c r="A106" s="0" t="s">
        <v>1095</v>
      </c>
      <c r="B106" s="0" t="s">
        <v>651</v>
      </c>
      <c r="C106" s="5" t="s">
        <v>1336</v>
      </c>
      <c r="E106" s="24" t="n">
        <f aca="false">E74-E90</f>
        <v>0</v>
      </c>
      <c r="F106" s="24" t="n">
        <f aca="false">F74-F90</f>
        <v>0</v>
      </c>
      <c r="G106" s="24" t="n">
        <f aca="false">G74-G90</f>
        <v>0.73</v>
      </c>
      <c r="H106" s="24" t="n">
        <f aca="false">H74-H90</f>
        <v>0</v>
      </c>
      <c r="I106" s="24" t="n">
        <f aca="false">I74-I90</f>
        <v>0</v>
      </c>
      <c r="J106" s="24" t="n">
        <f aca="false">J74-J90</f>
        <v>0</v>
      </c>
      <c r="K106" s="24" t="n">
        <f aca="false">K74-K90</f>
        <v>0</v>
      </c>
      <c r="L106" s="24" t="n">
        <f aca="false">L74-L90</f>
        <v>0</v>
      </c>
      <c r="M106" s="24" t="n">
        <f aca="false">M74-M90</f>
        <v>0</v>
      </c>
    </row>
    <row r="107" customFormat="false" ht="17.15" hidden="false" customHeight="false" outlineLevel="0" collapsed="false">
      <c r="A107" s="0" t="s">
        <v>1305</v>
      </c>
      <c r="B107" s="0" t="s">
        <v>1115</v>
      </c>
      <c r="C107" s="5" t="s">
        <v>1336</v>
      </c>
      <c r="E107" s="24" t="n">
        <f aca="false">E75-E91</f>
        <v>0</v>
      </c>
      <c r="F107" s="24" t="n">
        <f aca="false">F75-F91</f>
        <v>0</v>
      </c>
      <c r="G107" s="24" t="n">
        <f aca="false">G75-G91</f>
        <v>0.009074</v>
      </c>
      <c r="H107" s="24" t="n">
        <f aca="false">H75-H91</f>
        <v>0.001974</v>
      </c>
      <c r="I107" s="24" t="n">
        <f aca="false">I75-I91</f>
        <v>0</v>
      </c>
      <c r="J107" s="24" t="n">
        <f aca="false">J75-J91</f>
        <v>0</v>
      </c>
      <c r="K107" s="24" t="n">
        <f aca="false">K75-K91</f>
        <v>0</v>
      </c>
      <c r="L107" s="24" t="n">
        <f aca="false">L75-L91</f>
        <v>0</v>
      </c>
      <c r="M107" s="24" t="n">
        <f aca="false">M75-M91</f>
        <v>0</v>
      </c>
    </row>
    <row r="108" customFormat="false" ht="17.15" hidden="false" customHeight="false" outlineLevel="0" collapsed="false">
      <c r="A108" s="0" t="s">
        <v>1306</v>
      </c>
      <c r="B108" s="0" t="s">
        <v>535</v>
      </c>
      <c r="C108" s="5" t="s">
        <v>1336</v>
      </c>
      <c r="E108" s="24" t="n">
        <f aca="false">E76-E92</f>
        <v>0</v>
      </c>
      <c r="F108" s="24" t="n">
        <f aca="false">F76-F92</f>
        <v>0</v>
      </c>
      <c r="G108" s="24" t="n">
        <f aca="false">G76-G92</f>
        <v>1.4302</v>
      </c>
      <c r="H108" s="24" t="n">
        <f aca="false">H76-H92</f>
        <v>0</v>
      </c>
      <c r="I108" s="24" t="n">
        <f aca="false">I76-I92</f>
        <v>0</v>
      </c>
      <c r="J108" s="24" t="n">
        <f aca="false">J76-J92</f>
        <v>0</v>
      </c>
      <c r="K108" s="24" t="n">
        <f aca="false">K76-K92</f>
        <v>0</v>
      </c>
      <c r="L108" s="24" t="n">
        <f aca="false">L76-L92</f>
        <v>0</v>
      </c>
      <c r="M108" s="24" t="n">
        <f aca="false">M76-M92</f>
        <v>0</v>
      </c>
    </row>
    <row r="109" customFormat="false" ht="17.15" hidden="false" customHeight="false" outlineLevel="0" collapsed="false">
      <c r="A109" s="0" t="s">
        <v>1307</v>
      </c>
      <c r="B109" s="0" t="s">
        <v>531</v>
      </c>
      <c r="C109" s="5" t="s">
        <v>1336</v>
      </c>
      <c r="E109" s="24" t="n">
        <f aca="false">E77-E93</f>
        <v>0</v>
      </c>
      <c r="F109" s="24" t="n">
        <f aca="false">F77-F93</f>
        <v>0</v>
      </c>
      <c r="G109" s="24" t="n">
        <f aca="false">G77-G93</f>
        <v>0</v>
      </c>
      <c r="H109" s="24" t="n">
        <f aca="false">H77-H93</f>
        <v>0</v>
      </c>
      <c r="I109" s="24" t="n">
        <f aca="false">I77-I93</f>
        <v>0</v>
      </c>
      <c r="J109" s="24" t="n">
        <f aca="false">J77-J93</f>
        <v>0</v>
      </c>
      <c r="K109" s="24" t="n">
        <f aca="false">K77-K93</f>
        <v>0</v>
      </c>
      <c r="L109" s="24" t="n">
        <f aca="false">L77-L93</f>
        <v>0</v>
      </c>
      <c r="M109" s="24" t="n">
        <f aca="false">M77-M93</f>
        <v>0</v>
      </c>
    </row>
    <row r="110" customFormat="false" ht="17.15" hidden="false" customHeight="false" outlineLevel="0" collapsed="false">
      <c r="A110" s="0" t="s">
        <v>1308</v>
      </c>
      <c r="B110" s="0" t="s">
        <v>515</v>
      </c>
      <c r="C110" s="5" t="s">
        <v>1336</v>
      </c>
      <c r="E110" s="24" t="n">
        <f aca="false">E78-E94</f>
        <v>0</v>
      </c>
      <c r="F110" s="24" t="n">
        <f aca="false">F78-F94</f>
        <v>0</v>
      </c>
      <c r="G110" s="24" t="n">
        <f aca="false">G78-G94</f>
        <v>0</v>
      </c>
      <c r="H110" s="24" t="n">
        <f aca="false">H78-H94</f>
        <v>0</v>
      </c>
      <c r="I110" s="24" t="n">
        <f aca="false">I78-I94</f>
        <v>0</v>
      </c>
      <c r="J110" s="24" t="n">
        <f aca="false">J78-J94</f>
        <v>0</v>
      </c>
      <c r="K110" s="24" t="n">
        <f aca="false">K78-K94</f>
        <v>0</v>
      </c>
      <c r="L110" s="24" t="n">
        <f aca="false">L78-L94</f>
        <v>0</v>
      </c>
      <c r="M110" s="24" t="n">
        <f aca="false">M78-M94</f>
        <v>0</v>
      </c>
    </row>
    <row r="111" customFormat="false" ht="17.15" hidden="false" customHeight="false" outlineLevel="0" collapsed="false">
      <c r="A111" s="5" t="s">
        <v>1309</v>
      </c>
      <c r="B111" s="0" t="s">
        <v>545</v>
      </c>
      <c r="C111" s="5" t="s">
        <v>1336</v>
      </c>
      <c r="E111" s="24" t="n">
        <f aca="false">E79-E95</f>
        <v>0</v>
      </c>
      <c r="F111" s="24" t="n">
        <f aca="false">F79-F95</f>
        <v>0.3</v>
      </c>
      <c r="G111" s="24" t="n">
        <f aca="false">G79-G95</f>
        <v>0.7</v>
      </c>
      <c r="H111" s="24" t="n">
        <f aca="false">H79-H95</f>
        <v>0</v>
      </c>
      <c r="I111" s="24" t="n">
        <f aca="false">I79-I95</f>
        <v>0</v>
      </c>
      <c r="J111" s="24" t="n">
        <f aca="false">J79-J95</f>
        <v>0</v>
      </c>
      <c r="K111" s="24" t="n">
        <f aca="false">K79-K95</f>
        <v>0</v>
      </c>
      <c r="L111" s="24" t="n">
        <f aca="false">L79-L95</f>
        <v>0</v>
      </c>
      <c r="M111" s="24" t="n">
        <f aca="false">M79-M95</f>
        <v>0</v>
      </c>
    </row>
    <row r="112" customFormat="false" ht="17.15" hidden="false" customHeight="false" outlineLevel="0" collapsed="false">
      <c r="A112" s="5" t="s">
        <v>1310</v>
      </c>
      <c r="B112" s="0" t="s">
        <v>644</v>
      </c>
      <c r="C112" s="5" t="s">
        <v>1336</v>
      </c>
      <c r="E112" s="24" t="n">
        <f aca="false">E80-E96</f>
        <v>0</v>
      </c>
      <c r="F112" s="24" t="n">
        <f aca="false">F80-F96</f>
        <v>0</v>
      </c>
      <c r="G112" s="24" t="n">
        <f aca="false">G80-G96</f>
        <v>0</v>
      </c>
      <c r="H112" s="24" t="n">
        <f aca="false">H80-H96</f>
        <v>0</v>
      </c>
      <c r="I112" s="24" t="n">
        <f aca="false">I80-I96</f>
        <v>0</v>
      </c>
      <c r="J112" s="24" t="n">
        <f aca="false">J80-J96</f>
        <v>0</v>
      </c>
      <c r="K112" s="24" t="n">
        <f aca="false">K80-K96</f>
        <v>0</v>
      </c>
      <c r="L112" s="24" t="n">
        <f aca="false">L80-L96</f>
        <v>0</v>
      </c>
      <c r="M112" s="24" t="n">
        <f aca="false">M80-M96</f>
        <v>0</v>
      </c>
    </row>
    <row r="113" customFormat="false" ht="17.15" hidden="false" customHeight="false" outlineLevel="0" collapsed="false">
      <c r="A113" s="5" t="s">
        <v>1311</v>
      </c>
      <c r="B113" s="0" t="s">
        <v>552</v>
      </c>
      <c r="C113" s="5" t="s">
        <v>1336</v>
      </c>
      <c r="E113" s="24" t="n">
        <f aca="false">E81-E97</f>
        <v>0</v>
      </c>
      <c r="F113" s="24" t="n">
        <f aca="false">F81-F97</f>
        <v>0</v>
      </c>
      <c r="G113" s="24" t="n">
        <f aca="false">G81-G97</f>
        <v>3.33333333333333</v>
      </c>
      <c r="H113" s="24" t="n">
        <f aca="false">H81-H97</f>
        <v>1.9895044578405</v>
      </c>
      <c r="I113" s="24" t="n">
        <f aca="false">I81-I97</f>
        <v>2.28121406090902</v>
      </c>
      <c r="J113" s="24" t="n">
        <f aca="false">J81-J97</f>
        <v>2.61252133099745</v>
      </c>
      <c r="K113" s="24" t="n">
        <f aca="false">K81-K97</f>
        <v>2.9885550220479</v>
      </c>
      <c r="L113" s="24" t="n">
        <f aca="false">L81-L97</f>
        <v>2.15384615384616</v>
      </c>
      <c r="M113" s="24" t="n">
        <f aca="false">M81-M97</f>
        <v>2.36923076923077</v>
      </c>
    </row>
    <row r="114" customFormat="false" ht="17.15" hidden="false" customHeight="false" outlineLevel="0" collapsed="false">
      <c r="A114" s="5" t="s">
        <v>1312</v>
      </c>
      <c r="B114" s="0" t="s">
        <v>737</v>
      </c>
      <c r="C114" s="5" t="s">
        <v>1336</v>
      </c>
      <c r="E114" s="24" t="n">
        <f aca="false">E82-E98</f>
        <v>0</v>
      </c>
      <c r="F114" s="24" t="n">
        <f aca="false">F82-F98</f>
        <v>0</v>
      </c>
      <c r="G114" s="24" t="n">
        <f aca="false">G82-G98</f>
        <v>0</v>
      </c>
      <c r="H114" s="24" t="n">
        <f aca="false">H82-H98</f>
        <v>0</v>
      </c>
      <c r="I114" s="24" t="n">
        <f aca="false">I82-I98</f>
        <v>0</v>
      </c>
      <c r="J114" s="24" t="n">
        <f aca="false">J82-J98</f>
        <v>0</v>
      </c>
      <c r="K114" s="24" t="n">
        <f aca="false">K82-K98</f>
        <v>0</v>
      </c>
      <c r="L114" s="24" t="n">
        <f aca="false">L82-L98</f>
        <v>0</v>
      </c>
      <c r="M114" s="24" t="n">
        <f aca="false">M82-M98</f>
        <v>0</v>
      </c>
    </row>
    <row r="116" customFormat="false" ht="15" hidden="false" customHeight="false" outlineLevel="0" collapsed="false">
      <c r="A116" s="21" t="s">
        <v>1334</v>
      </c>
      <c r="D116" s="24" t="n">
        <v>0</v>
      </c>
      <c r="E116" s="24" t="n">
        <f aca="false">SUM(E68:E82)</f>
        <v>1.61980834349181</v>
      </c>
      <c r="F116" s="24" t="n">
        <f aca="false">SUM(F68:F82)</f>
        <v>8.72812429484715</v>
      </c>
      <c r="G116" s="24" t="n">
        <f aca="false">SUM(G68:G82)</f>
        <v>10.3223714610592</v>
      </c>
      <c r="H116" s="24" t="n">
        <f aca="false">SUM(H68:H82)</f>
        <v>3.2689784578405</v>
      </c>
      <c r="I116" s="24" t="n">
        <f aca="false">SUM(I68:I82)</f>
        <v>3.81871406090902</v>
      </c>
      <c r="J116" s="24" t="n">
        <f aca="false">SUM(J68:J82)</f>
        <v>4.15002133099745</v>
      </c>
      <c r="K116" s="24" t="n">
        <f aca="false">SUM(K68:K82)</f>
        <v>4.5260550220479</v>
      </c>
      <c r="L116" s="24" t="n">
        <f aca="false">SUM(L68:L82)</f>
        <v>2.15384615384616</v>
      </c>
      <c r="M116" s="24" t="n">
        <f aca="false">SUM(M68:M82)</f>
        <v>2.36923076923077</v>
      </c>
    </row>
    <row r="117" customFormat="false" ht="15" hidden="false" customHeight="false" outlineLevel="0" collapsed="false">
      <c r="A117" s="21" t="s">
        <v>1337</v>
      </c>
      <c r="D117" s="24" t="n">
        <v>0</v>
      </c>
      <c r="E117" s="24" t="n">
        <f aca="false">SUM(E84:E98)</f>
        <v>0</v>
      </c>
      <c r="F117" s="24" t="n">
        <f aca="false">SUM(F84:F98)</f>
        <v>0</v>
      </c>
      <c r="G117" s="24" t="n">
        <f aca="false">SUM(G84:G98)</f>
        <v>3.11976412772586</v>
      </c>
      <c r="H117" s="24" t="n">
        <f aca="false">SUM(H84:H98)</f>
        <v>0</v>
      </c>
      <c r="I117" s="24" t="n">
        <f aca="false">SUM(I84:I98)</f>
        <v>0</v>
      </c>
      <c r="J117" s="24" t="n">
        <f aca="false">SUM(J84:J98)</f>
        <v>0</v>
      </c>
      <c r="K117" s="24" t="n">
        <f aca="false">SUM(K84:K98)</f>
        <v>0</v>
      </c>
      <c r="L117" s="24" t="n">
        <f aca="false">SUM(L84:L98)</f>
        <v>0</v>
      </c>
      <c r="M117" s="24" t="n">
        <f aca="false">SUM(M84:M98)</f>
        <v>0</v>
      </c>
    </row>
    <row r="118" customFormat="false" ht="15" hidden="false" customHeight="false" outlineLevel="0" collapsed="false">
      <c r="A118" s="21" t="s">
        <v>1338</v>
      </c>
      <c r="D118" s="24" t="n">
        <v>0</v>
      </c>
      <c r="E118" s="24" t="n">
        <f aca="false">SUM(E100:E114)</f>
        <v>1.61980834349181</v>
      </c>
      <c r="F118" s="24" t="n">
        <f aca="false">SUM(F100:F114)</f>
        <v>8.72812429484715</v>
      </c>
      <c r="G118" s="24" t="n">
        <f aca="false">SUM(G100:G114)</f>
        <v>7.20260733333333</v>
      </c>
      <c r="H118" s="24" t="n">
        <f aca="false">SUM(H100:H114)</f>
        <v>3.2689784578405</v>
      </c>
      <c r="I118" s="24" t="n">
        <f aca="false">SUM(I100:I114)</f>
        <v>3.81871406090902</v>
      </c>
      <c r="J118" s="24" t="n">
        <f aca="false">SUM(J100:J114)</f>
        <v>4.15002133099745</v>
      </c>
      <c r="K118" s="24" t="n">
        <f aca="false">SUM(K100:K114)</f>
        <v>4.5260550220479</v>
      </c>
      <c r="L118" s="24" t="n">
        <f aca="false">SUM(L100:L114)</f>
        <v>2.15384615384616</v>
      </c>
      <c r="M118" s="24" t="n">
        <f aca="false">SUM(M100:M114)</f>
        <v>2.36923076923077</v>
      </c>
    </row>
    <row r="119" customFormat="false" ht="17.15" hidden="false" customHeight="false" outlineLevel="0" collapsed="false">
      <c r="A119" s="21" t="s">
        <v>1339</v>
      </c>
      <c r="D119" s="24" t="n">
        <f aca="false">SUMIFS($L$5:$L$64,$Q$5:$Q$64,1,$P$5:$P$64,2023)</f>
        <v>0</v>
      </c>
      <c r="E119" s="24" t="n">
        <f aca="false">SUMIFS($L$5:$L$64,$Q$5:$Q$64,1,$P$5:$P$64,2024)</f>
        <v>0</v>
      </c>
      <c r="F119" s="24" t="n">
        <f aca="false">SUMIFS($L$5:$L$64,$Q$5:$Q$64,1,$P$5:$P$64,2025)</f>
        <v>0.321</v>
      </c>
      <c r="G119" s="24" t="n">
        <f aca="false">SUMIFS($L$5:$L$64,$Q$5:$Q$64,1,$P$5:$P$64,2026)</f>
        <v>2.193</v>
      </c>
      <c r="H119" s="24" t="n">
        <f aca="false">SUMIFS($L$5:$L$64,$Q$5:$Q$64,1,$P$5:$P$64,2027)</f>
        <v>5.19966666666667</v>
      </c>
      <c r="I119" s="24" t="n">
        <f aca="false">SUMIFS($L$5:$L$64,$Q$5:$Q$64,1,$P$5:$P$64,2028)</f>
        <v>14.5691666666667</v>
      </c>
      <c r="J119" s="24" t="n">
        <f aca="false">SUMIFS($L$5:$L$64,$Q$5:$Q$64,1,$P$5:$P$64,2029)</f>
        <v>1.579</v>
      </c>
      <c r="K119" s="24" t="n">
        <f aca="false">SUMIFS($L$5:$L$64,$Q$5:$Q$64,1,$P$5:$P$64,2030)</f>
        <v>1.349</v>
      </c>
      <c r="L119" s="24" t="n">
        <f aca="false">SUMIFS($L$5:$L$64,$Q$5:$Q$64,1,$P$5:$P$64,2031)</f>
        <v>1.15</v>
      </c>
      <c r="M119" s="24" t="n">
        <f aca="false">SUMIFS($L$5:$L$64,$Q$5:$Q$64,1,$P$5:$P$64,2032)</f>
        <v>0</v>
      </c>
    </row>
    <row r="120" customFormat="false" ht="17.15" hidden="false" customHeight="false" outlineLevel="0" collapsed="false">
      <c r="A120" s="21" t="s">
        <v>1340</v>
      </c>
      <c r="D120" s="24" t="n">
        <f aca="false">Players!D314</f>
        <v>0.630578355681972</v>
      </c>
      <c r="E120" s="24" t="n">
        <f aca="false">Players!E314</f>
        <v>3.95899900597907</v>
      </c>
      <c r="F120" s="24" t="n">
        <f aca="false">Players!F314</f>
        <v>10.0786333333333</v>
      </c>
      <c r="G120" s="24" t="n">
        <f aca="false">Players!G314</f>
        <v>0</v>
      </c>
      <c r="H120" s="24" t="n">
        <f aca="false">Players!H314</f>
        <v>0</v>
      </c>
      <c r="I120" s="24" t="n">
        <f aca="false">Players!I314</f>
        <v>0</v>
      </c>
      <c r="J120" s="24" t="n">
        <f aca="false">Players!J314</f>
        <v>0</v>
      </c>
      <c r="K120" s="24" t="n">
        <f aca="false">Players!K314</f>
        <v>0</v>
      </c>
      <c r="L120" s="24" t="n">
        <f aca="false">Players!L314</f>
        <v>0</v>
      </c>
      <c r="M120" s="24" t="n">
        <f aca="false">Players!M314</f>
        <v>0</v>
      </c>
    </row>
    <row r="121" customFormat="false" ht="17.15" hidden="false" customHeight="false" outlineLevel="0" collapsed="false">
      <c r="A121" s="21" t="s">
        <v>1341</v>
      </c>
      <c r="D121" s="24" t="n">
        <f aca="false">D116+D119</f>
        <v>0</v>
      </c>
      <c r="E121" s="24" t="n">
        <f aca="false">E116+E119</f>
        <v>1.61980834349181</v>
      </c>
      <c r="F121" s="24" t="n">
        <f aca="false">F116+F119</f>
        <v>9.04912429484715</v>
      </c>
      <c r="G121" s="24" t="n">
        <f aca="false">G116+G119</f>
        <v>12.5153714610592</v>
      </c>
      <c r="H121" s="24" t="n">
        <f aca="false">H116+H119</f>
        <v>8.46864512450717</v>
      </c>
      <c r="I121" s="24" t="n">
        <f aca="false">I116+I119</f>
        <v>18.3878807275757</v>
      </c>
      <c r="J121" s="24" t="n">
        <f aca="false">J116+J119</f>
        <v>5.72902133099745</v>
      </c>
      <c r="K121" s="24" t="n">
        <f aca="false">K116+K119</f>
        <v>5.8750550220479</v>
      </c>
      <c r="L121" s="24" t="n">
        <f aca="false">L116+L119</f>
        <v>3.30384615384616</v>
      </c>
      <c r="M121" s="24" t="n">
        <f aca="false">M116+M119</f>
        <v>2.36923076923077</v>
      </c>
    </row>
    <row r="123" customFormat="false" ht="17.15" hidden="false" customHeight="false" outlineLevel="0" collapsed="false">
      <c r="A123" s="8" t="s">
        <v>1342</v>
      </c>
    </row>
    <row r="124" customFormat="false" ht="17.15" hidden="false" customHeight="false" outlineLevel="0" collapsed="false">
      <c r="A124" s="6" t="s">
        <v>1343</v>
      </c>
      <c r="B124" s="6" t="s">
        <v>1344</v>
      </c>
      <c r="C124" s="6"/>
      <c r="D124" s="6"/>
      <c r="E124" s="7" t="s">
        <v>22</v>
      </c>
      <c r="F124" s="7" t="s">
        <v>23</v>
      </c>
      <c r="G124" s="7" t="s">
        <v>24</v>
      </c>
      <c r="H124" s="7" t="s">
        <v>25</v>
      </c>
      <c r="I124" s="7" t="s">
        <v>26</v>
      </c>
      <c r="J124" s="7" t="s">
        <v>27</v>
      </c>
      <c r="K124" s="7" t="s">
        <v>28</v>
      </c>
      <c r="L124" s="7" t="s">
        <v>29</v>
      </c>
      <c r="M124" s="7" t="s">
        <v>30</v>
      </c>
    </row>
    <row r="125" customFormat="false" ht="17.15" hidden="false" customHeight="false" outlineLevel="0" collapsed="false">
      <c r="A125" s="0" t="s">
        <v>1345</v>
      </c>
      <c r="B125" s="0" t="n">
        <v>2023</v>
      </c>
      <c r="E125" s="29" t="n">
        <f aca="false">MAX(0,MIN(2023+1,2024+MAX(0,MIN(1,asof-2024)))-2024)+MAX(0,MIN(2023+1,2024+1+0)-(MAX(2024,asof)+0))</f>
        <v>0</v>
      </c>
      <c r="F125" s="29" t="n">
        <f aca="false">MAX(0,MIN(2023+1,2025+MAX(0,MIN(1,asof-2025)))-2025)+MAX(0,MIN(2023+1,2025+1+0)-(MAX(2025,asof)+0))</f>
        <v>0</v>
      </c>
      <c r="G125" s="29" t="n">
        <f aca="false">MAX(0,MIN(2023+1,2026+MAX(0,MIN(1,asof-2026)))-2026)+MAX(0,MIN(2023+1,2026+1+0)-(MAX(2026,asof)+0))</f>
        <v>0</v>
      </c>
      <c r="H125" s="29" t="n">
        <f aca="false">MAX(0,MIN(2023+1,2027+MAX(0,MIN(1,asof-2027)))-2027)+MAX(0,MIN(2023+1,2027+1+0)-(MAX(2027,asof)+0))</f>
        <v>0</v>
      </c>
      <c r="I125" s="29" t="n">
        <f aca="false">MAX(0,MIN(2023+1,2028+MAX(0,MIN(1,asof-2028)))-2028)+MAX(0,MIN(2023+1,2028+1+0)-(MAX(2028,asof)+0))</f>
        <v>0</v>
      </c>
      <c r="J125" s="29" t="n">
        <f aca="false">MAX(0,MIN(2023+1,2029+MAX(0,MIN(1,asof-2029)))-2029)+MAX(0,MIN(2023+1,2029+1+0)-(MAX(2029,asof)+0))</f>
        <v>0</v>
      </c>
      <c r="K125" s="29" t="n">
        <f aca="false">MAX(0,MIN(2023+1,2030+MAX(0,MIN(1,asof-2030)))-2030)+MAX(0,MIN(2023+1,2030+1+0)-(MAX(2030,asof)+0))</f>
        <v>0</v>
      </c>
      <c r="L125" s="29" t="n">
        <f aca="false">MAX(0,MIN(2023+1,2031+MAX(0,MIN(1,asof-2031)))-2031)+MAX(0,MIN(2023+1,2031+1+0)-(MAX(2031,asof)+0))</f>
        <v>0</v>
      </c>
      <c r="M125" s="29" t="n">
        <f aca="false">MAX(0,MIN(2023+1,2032+MAX(0,MIN(1,asof-2032)))-2032)+MAX(0,MIN(2023+1,2032+1+0)-(MAX(2032,asof)+0))</f>
        <v>0</v>
      </c>
    </row>
    <row r="126" customFormat="false" ht="17.15" hidden="false" customHeight="false" outlineLevel="0" collapsed="false">
      <c r="A126" s="0" t="s">
        <v>1346</v>
      </c>
      <c r="B126" s="0" t="n">
        <v>2024</v>
      </c>
      <c r="E126" s="29" t="n">
        <f aca="false">MAX(0,MIN(2024+1,2024+MAX(0,MIN(1,asof-2024)))-2024)+MAX(0,MIN(2024+1,2024+1+0)-(MAX(2024,asof)+0))</f>
        <v>1</v>
      </c>
      <c r="F126" s="29" t="n">
        <f aca="false">MAX(0,MIN(2024+1,2025+MAX(0,MIN(1,asof-2025)))-2025)+MAX(0,MIN(2024+1,2025+1+0)-(MAX(2025,asof)+0))</f>
        <v>0</v>
      </c>
      <c r="G126" s="29" t="n">
        <f aca="false">MAX(0,MIN(2024+1,2026+MAX(0,MIN(1,asof-2026)))-2026)+MAX(0,MIN(2024+1,2026+1+0)-(MAX(2026,asof)+0))</f>
        <v>0</v>
      </c>
      <c r="H126" s="29" t="n">
        <f aca="false">MAX(0,MIN(2024+1,2027+MAX(0,MIN(1,asof-2027)))-2027)+MAX(0,MIN(2024+1,2027+1+0)-(MAX(2027,asof)+0))</f>
        <v>0</v>
      </c>
      <c r="I126" s="29" t="n">
        <f aca="false">MAX(0,MIN(2024+1,2028+MAX(0,MIN(1,asof-2028)))-2028)+MAX(0,MIN(2024+1,2028+1+0)-(MAX(2028,asof)+0))</f>
        <v>0</v>
      </c>
      <c r="J126" s="29" t="n">
        <f aca="false">MAX(0,MIN(2024+1,2029+MAX(0,MIN(1,asof-2029)))-2029)+MAX(0,MIN(2024+1,2029+1+0)-(MAX(2029,asof)+0))</f>
        <v>0</v>
      </c>
      <c r="K126" s="29" t="n">
        <f aca="false">MAX(0,MIN(2024+1,2030+MAX(0,MIN(1,asof-2030)))-2030)+MAX(0,MIN(2024+1,2030+1+0)-(MAX(2030,asof)+0))</f>
        <v>0</v>
      </c>
      <c r="L126" s="29" t="n">
        <f aca="false">MAX(0,MIN(2024+1,2031+MAX(0,MIN(1,asof-2031)))-2031)+MAX(0,MIN(2024+1,2031+1+0)-(MAX(2031,asof)+0))</f>
        <v>0</v>
      </c>
      <c r="M126" s="29" t="n">
        <f aca="false">MAX(0,MIN(2024+1,2032+MAX(0,MIN(1,asof-2032)))-2032)+MAX(0,MIN(2024+1,2032+1+0)-(MAX(2032,asof)+0))</f>
        <v>0</v>
      </c>
    </row>
    <row r="127" customFormat="false" ht="17.15" hidden="false" customHeight="false" outlineLevel="0" collapsed="false">
      <c r="A127" s="0" t="s">
        <v>1347</v>
      </c>
      <c r="B127" s="0" t="n">
        <v>2025</v>
      </c>
      <c r="E127" s="29" t="n">
        <f aca="false">MAX(0,MIN(2025+1,2024+MAX(0,MIN(1,asof-2024)))-2024)+MAX(0,MIN(2025+1,2024+1+0)-(MAX(2024,asof)+0))</f>
        <v>1</v>
      </c>
      <c r="F127" s="29" t="n">
        <f aca="false">MAX(0,MIN(2025+1,2025+MAX(0,MIN(1,asof-2025)))-2025)+MAX(0,MIN(2025+1,2025+1+0)-(MAX(2025,asof)+0))</f>
        <v>1</v>
      </c>
      <c r="G127" s="29" t="n">
        <f aca="false">MAX(0,MIN(2025+1,2026+MAX(0,MIN(1,asof-2026)))-2026)+MAX(0,MIN(2025+1,2026+1+0)-(MAX(2026,asof)+0))</f>
        <v>0</v>
      </c>
      <c r="H127" s="29" t="n">
        <f aca="false">MAX(0,MIN(2025+1,2027+MAX(0,MIN(1,asof-2027)))-2027)+MAX(0,MIN(2025+1,2027+1+0)-(MAX(2027,asof)+0))</f>
        <v>0</v>
      </c>
      <c r="I127" s="29" t="n">
        <f aca="false">MAX(0,MIN(2025+1,2028+MAX(0,MIN(1,asof-2028)))-2028)+MAX(0,MIN(2025+1,2028+1+0)-(MAX(2028,asof)+0))</f>
        <v>0</v>
      </c>
      <c r="J127" s="29" t="n">
        <f aca="false">MAX(0,MIN(2025+1,2029+MAX(0,MIN(1,asof-2029)))-2029)+MAX(0,MIN(2025+1,2029+1+0)-(MAX(2029,asof)+0))</f>
        <v>0</v>
      </c>
      <c r="K127" s="29" t="n">
        <f aca="false">MAX(0,MIN(2025+1,2030+MAX(0,MIN(1,asof-2030)))-2030)+MAX(0,MIN(2025+1,2030+1+0)-(MAX(2030,asof)+0))</f>
        <v>0</v>
      </c>
      <c r="L127" s="29" t="n">
        <f aca="false">MAX(0,MIN(2025+1,2031+MAX(0,MIN(1,asof-2031)))-2031)+MAX(0,MIN(2025+1,2031+1+0)-(MAX(2031,asof)+0))</f>
        <v>0</v>
      </c>
      <c r="M127" s="29" t="n">
        <f aca="false">MAX(0,MIN(2025+1,2032+MAX(0,MIN(1,asof-2032)))-2032)+MAX(0,MIN(2025+1,2032+1+0)-(MAX(2032,asof)+0))</f>
        <v>0</v>
      </c>
    </row>
    <row r="128" customFormat="false" ht="17.15" hidden="false" customHeight="false" outlineLevel="0" collapsed="false">
      <c r="A128" s="0" t="s">
        <v>1348</v>
      </c>
      <c r="B128" s="0" t="n">
        <v>2026</v>
      </c>
      <c r="E128" s="29" t="n">
        <f aca="false">MAX(0,MIN(2026+1,2024+MAX(0,MIN(1,asof-2024)))-2024)+MAX(0,MIN(2026+1,2024+1+0)-(MAX(2024,asof)+0))</f>
        <v>1</v>
      </c>
      <c r="F128" s="29" t="n">
        <f aca="false">MAX(0,MIN(2026+1,2025+MAX(0,MIN(1,asof-2025)))-2025)+MAX(0,MIN(2026+1,2025+1+0)-(MAX(2025,asof)+0))</f>
        <v>1</v>
      </c>
      <c r="G128" s="29" t="n">
        <f aca="false">MAX(0,MIN(2026+1,2026+MAX(0,MIN(1,asof-2026)))-2026)+MAX(0,MIN(2026+1,2026+1+0)-(MAX(2026,asof)+0))</f>
        <v>1</v>
      </c>
      <c r="H128" s="29" t="n">
        <f aca="false">MAX(0,MIN(2026+1,2027+MAX(0,MIN(1,asof-2027)))-2027)+MAX(0,MIN(2026+1,2027+1+0)-(MAX(2027,asof)+0))</f>
        <v>0</v>
      </c>
      <c r="I128" s="29" t="n">
        <f aca="false">MAX(0,MIN(2026+1,2028+MAX(0,MIN(1,asof-2028)))-2028)+MAX(0,MIN(2026+1,2028+1+0)-(MAX(2028,asof)+0))</f>
        <v>0</v>
      </c>
      <c r="J128" s="29" t="n">
        <f aca="false">MAX(0,MIN(2026+1,2029+MAX(0,MIN(1,asof-2029)))-2029)+MAX(0,MIN(2026+1,2029+1+0)-(MAX(2029,asof)+0))</f>
        <v>0</v>
      </c>
      <c r="K128" s="29" t="n">
        <f aca="false">MAX(0,MIN(2026+1,2030+MAX(0,MIN(1,asof-2030)))-2030)+MAX(0,MIN(2026+1,2030+1+0)-(MAX(2030,asof)+0))</f>
        <v>0</v>
      </c>
      <c r="L128" s="29" t="n">
        <f aca="false">MAX(0,MIN(2026+1,2031+MAX(0,MIN(1,asof-2031)))-2031)+MAX(0,MIN(2026+1,2031+1+0)-(MAX(2031,asof)+0))</f>
        <v>0</v>
      </c>
      <c r="M128" s="29" t="n">
        <f aca="false">MAX(0,MIN(2026+1,2032+MAX(0,MIN(1,asof-2032)))-2032)+MAX(0,MIN(2026+1,2032+1+0)-(MAX(2032,asof)+0))</f>
        <v>0</v>
      </c>
    </row>
    <row r="129" customFormat="false" ht="17.15" hidden="false" customHeight="false" outlineLevel="0" collapsed="false">
      <c r="A129" s="0" t="s">
        <v>1349</v>
      </c>
      <c r="B129" s="0" t="n">
        <v>2027</v>
      </c>
      <c r="E129" s="29" t="n">
        <f aca="false">MAX(0,MIN(2027+1,2024+MAX(0,MIN(1,asof-2024)))-2024)+MAX(0,MIN(2027+1,2024+1+0)-(MAX(2024,asof)+0))</f>
        <v>1</v>
      </c>
      <c r="F129" s="29" t="n">
        <f aca="false">MAX(0,MIN(2027+1,2025+MAX(0,MIN(1,asof-2025)))-2025)+MAX(0,MIN(2027+1,2025+1+0)-(MAX(2025,asof)+0))</f>
        <v>1</v>
      </c>
      <c r="G129" s="29" t="n">
        <f aca="false">MAX(0,MIN(2027+1,2026+MAX(0,MIN(1,asof-2026)))-2026)+MAX(0,MIN(2027+1,2026+1+0)-(MAX(2026,asof)+0))</f>
        <v>1</v>
      </c>
      <c r="H129" s="29" t="n">
        <f aca="false">MAX(0,MIN(2027+1,2027+MAX(0,MIN(1,asof-2027)))-2027)+MAX(0,MIN(2027+1,2027+1+0)-(MAX(2027,asof)+0))</f>
        <v>1</v>
      </c>
      <c r="I129" s="29" t="n">
        <f aca="false">MAX(0,MIN(2027+1,2028+MAX(0,MIN(1,asof-2028)))-2028)+MAX(0,MIN(2027+1,2028+1+0)-(MAX(2028,asof)+0))</f>
        <v>0</v>
      </c>
      <c r="J129" s="29" t="n">
        <f aca="false">MAX(0,MIN(2027+1,2029+MAX(0,MIN(1,asof-2029)))-2029)+MAX(0,MIN(2027+1,2029+1+0)-(MAX(2029,asof)+0))</f>
        <v>0</v>
      </c>
      <c r="K129" s="29" t="n">
        <f aca="false">MAX(0,MIN(2027+1,2030+MAX(0,MIN(1,asof-2030)))-2030)+MAX(0,MIN(2027+1,2030+1+0)-(MAX(2030,asof)+0))</f>
        <v>0</v>
      </c>
      <c r="L129" s="29" t="n">
        <f aca="false">MAX(0,MIN(2027+1,2031+MAX(0,MIN(1,asof-2031)))-2031)+MAX(0,MIN(2027+1,2031+1+0)-(MAX(2031,asof)+0))</f>
        <v>0</v>
      </c>
      <c r="M129" s="29" t="n">
        <f aca="false">MAX(0,MIN(2027+1,2032+MAX(0,MIN(1,asof-2032)))-2032)+MAX(0,MIN(2027+1,2032+1+0)-(MAX(2032,asof)+0))</f>
        <v>0</v>
      </c>
    </row>
    <row r="130" customFormat="false" ht="17.15" hidden="false" customHeight="false" outlineLevel="0" collapsed="false">
      <c r="A130" s="0" t="s">
        <v>1350</v>
      </c>
      <c r="B130" s="0" t="n">
        <v>2028</v>
      </c>
      <c r="E130" s="29" t="n">
        <f aca="false">MAX(0,MIN(2028+1,2024+MAX(0,MIN(1,asof-2024)))-2024)+MAX(0,MIN(2028+1,2024+1+0)-(MAX(2024,asof)+0))</f>
        <v>1</v>
      </c>
      <c r="F130" s="29" t="n">
        <f aca="false">MAX(0,MIN(2028+1,2025+MAX(0,MIN(1,asof-2025)))-2025)+MAX(0,MIN(2028+1,2025+1+0)-(MAX(2025,asof)+0))</f>
        <v>1</v>
      </c>
      <c r="G130" s="29" t="n">
        <f aca="false">MAX(0,MIN(2028+1,2026+MAX(0,MIN(1,asof-2026)))-2026)+MAX(0,MIN(2028+1,2026+1+0)-(MAX(2026,asof)+0))</f>
        <v>1</v>
      </c>
      <c r="H130" s="29" t="n">
        <f aca="false">MAX(0,MIN(2028+1,2027+MAX(0,MIN(1,asof-2027)))-2027)+MAX(0,MIN(2028+1,2027+1+0)-(MAX(2027,asof)+0))</f>
        <v>1</v>
      </c>
      <c r="I130" s="29" t="n">
        <f aca="false">MAX(0,MIN(2028+1,2028+MAX(0,MIN(1,asof-2028)))-2028)+MAX(0,MIN(2028+1,2028+1+0)-(MAX(2028,asof)+0))</f>
        <v>1</v>
      </c>
      <c r="J130" s="29" t="n">
        <f aca="false">MAX(0,MIN(2028+1,2029+MAX(0,MIN(1,asof-2029)))-2029)+MAX(0,MIN(2028+1,2029+1+0)-(MAX(2029,asof)+0))</f>
        <v>0</v>
      </c>
      <c r="K130" s="29" t="n">
        <f aca="false">MAX(0,MIN(2028+1,2030+MAX(0,MIN(1,asof-2030)))-2030)+MAX(0,MIN(2028+1,2030+1+0)-(MAX(2030,asof)+0))</f>
        <v>0</v>
      </c>
      <c r="L130" s="29" t="n">
        <f aca="false">MAX(0,MIN(2028+1,2031+MAX(0,MIN(1,asof-2031)))-2031)+MAX(0,MIN(2028+1,2031+1+0)-(MAX(2031,asof)+0))</f>
        <v>0</v>
      </c>
      <c r="M130" s="29" t="n">
        <f aca="false">MAX(0,MIN(2028+1,2032+MAX(0,MIN(1,asof-2032)))-2032)+MAX(0,MIN(2028+1,2032+1+0)-(MAX(2032,asof)+0))</f>
        <v>0</v>
      </c>
    </row>
    <row r="131" customFormat="false" ht="17.15" hidden="false" customHeight="false" outlineLevel="0" collapsed="false">
      <c r="A131" s="0" t="s">
        <v>1351</v>
      </c>
      <c r="B131" s="0" t="n">
        <v>2029</v>
      </c>
      <c r="E131" s="29" t="n">
        <f aca="false">MAX(0,MIN(2029+1,2024+MAX(0,MIN(1,asof-2024)))-2024)+MAX(0,MIN(2029+1,2024+1+0)-(MAX(2024,asof)+0))</f>
        <v>1</v>
      </c>
      <c r="F131" s="29" t="n">
        <f aca="false">MAX(0,MIN(2029+1,2025+MAX(0,MIN(1,asof-2025)))-2025)+MAX(0,MIN(2029+1,2025+1+0)-(MAX(2025,asof)+0))</f>
        <v>1</v>
      </c>
      <c r="G131" s="29" t="n">
        <f aca="false">MAX(0,MIN(2029+1,2026+MAX(0,MIN(1,asof-2026)))-2026)+MAX(0,MIN(2029+1,2026+1+0)-(MAX(2026,asof)+0))</f>
        <v>1</v>
      </c>
      <c r="H131" s="29" t="n">
        <f aca="false">MAX(0,MIN(2029+1,2027+MAX(0,MIN(1,asof-2027)))-2027)+MAX(0,MIN(2029+1,2027+1+0)-(MAX(2027,asof)+0))</f>
        <v>1</v>
      </c>
      <c r="I131" s="29" t="n">
        <f aca="false">MAX(0,MIN(2029+1,2028+MAX(0,MIN(1,asof-2028)))-2028)+MAX(0,MIN(2029+1,2028+1+0)-(MAX(2028,asof)+0))</f>
        <v>1</v>
      </c>
      <c r="J131" s="29" t="n">
        <f aca="false">MAX(0,MIN(2029+1,2029+MAX(0,MIN(1,asof-2029)))-2029)+MAX(0,MIN(2029+1,2029+1+0)-(MAX(2029,asof)+0))</f>
        <v>1</v>
      </c>
      <c r="K131" s="29" t="n">
        <f aca="false">MAX(0,MIN(2029+1,2030+MAX(0,MIN(1,asof-2030)))-2030)+MAX(0,MIN(2029+1,2030+1+0)-(MAX(2030,asof)+0))</f>
        <v>0</v>
      </c>
      <c r="L131" s="29" t="n">
        <f aca="false">MAX(0,MIN(2029+1,2031+MAX(0,MIN(1,asof-2031)))-2031)+MAX(0,MIN(2029+1,2031+1+0)-(MAX(2031,asof)+0))</f>
        <v>0</v>
      </c>
      <c r="M131" s="29" t="n">
        <f aca="false">MAX(0,MIN(2029+1,2032+MAX(0,MIN(1,asof-2032)))-2032)+MAX(0,MIN(2029+1,2032+1+0)-(MAX(2032,asof)+0))</f>
        <v>0</v>
      </c>
    </row>
    <row r="132" customFormat="false" ht="17.15" hidden="false" customHeight="false" outlineLevel="0" collapsed="false">
      <c r="A132" s="0" t="s">
        <v>1352</v>
      </c>
      <c r="B132" s="0" t="n">
        <v>2030</v>
      </c>
      <c r="E132" s="29" t="n">
        <f aca="false">MAX(0,MIN(2030+1,2024+MAX(0,MIN(1,asof-2024)))-2024)+MAX(0,MIN(2030+1,2024+1+0)-(MAX(2024,asof)+0))</f>
        <v>1</v>
      </c>
      <c r="F132" s="29" t="n">
        <f aca="false">MAX(0,MIN(2030+1,2025+MAX(0,MIN(1,asof-2025)))-2025)+MAX(0,MIN(2030+1,2025+1+0)-(MAX(2025,asof)+0))</f>
        <v>1</v>
      </c>
      <c r="G132" s="29" t="n">
        <f aca="false">MAX(0,MIN(2030+1,2026+MAX(0,MIN(1,asof-2026)))-2026)+MAX(0,MIN(2030+1,2026+1+0)-(MAX(2026,asof)+0))</f>
        <v>1</v>
      </c>
      <c r="H132" s="29" t="n">
        <f aca="false">MAX(0,MIN(2030+1,2027+MAX(0,MIN(1,asof-2027)))-2027)+MAX(0,MIN(2030+1,2027+1+0)-(MAX(2027,asof)+0))</f>
        <v>1</v>
      </c>
      <c r="I132" s="29" t="n">
        <f aca="false">MAX(0,MIN(2030+1,2028+MAX(0,MIN(1,asof-2028)))-2028)+MAX(0,MIN(2030+1,2028+1+0)-(MAX(2028,asof)+0))</f>
        <v>1</v>
      </c>
      <c r="J132" s="29" t="n">
        <f aca="false">MAX(0,MIN(2030+1,2029+MAX(0,MIN(1,asof-2029)))-2029)+MAX(0,MIN(2030+1,2029+1+0)-(MAX(2029,asof)+0))</f>
        <v>1</v>
      </c>
      <c r="K132" s="29" t="n">
        <f aca="false">MAX(0,MIN(2030+1,2030+MAX(0,MIN(1,asof-2030)))-2030)+MAX(0,MIN(2030+1,2030+1+0)-(MAX(2030,asof)+0))</f>
        <v>1</v>
      </c>
      <c r="L132" s="29" t="n">
        <f aca="false">MAX(0,MIN(2030+1,2031+MAX(0,MIN(1,asof-2031)))-2031)+MAX(0,MIN(2030+1,2031+1+0)-(MAX(2031,asof)+0))</f>
        <v>0</v>
      </c>
      <c r="M132" s="29" t="n">
        <f aca="false">MAX(0,MIN(2030+1,2032+MAX(0,MIN(1,asof-2032)))-2032)+MAX(0,MIN(2030+1,2032+1+0)-(MAX(2032,asof)+0))</f>
        <v>0</v>
      </c>
    </row>
    <row r="133" customFormat="false" ht="17.15" hidden="false" customHeight="false" outlineLevel="0" collapsed="false">
      <c r="A133" s="0" t="s">
        <v>1353</v>
      </c>
      <c r="B133" s="0" t="n">
        <v>2031</v>
      </c>
      <c r="E133" s="29" t="n">
        <f aca="false">MAX(0,MIN(2031+1,2024+MAX(0,MIN(1,asof-2024)))-2024)+MAX(0,MIN(2031+1,2024+1+0)-(MAX(2024,asof)+0))</f>
        <v>1</v>
      </c>
      <c r="F133" s="29" t="n">
        <f aca="false">MAX(0,MIN(2031+1,2025+MAX(0,MIN(1,asof-2025)))-2025)+MAX(0,MIN(2031+1,2025+1+0)-(MAX(2025,asof)+0))</f>
        <v>1</v>
      </c>
      <c r="G133" s="29" t="n">
        <f aca="false">MAX(0,MIN(2031+1,2026+MAX(0,MIN(1,asof-2026)))-2026)+MAX(0,MIN(2031+1,2026+1+0)-(MAX(2026,asof)+0))</f>
        <v>1</v>
      </c>
      <c r="H133" s="29" t="n">
        <f aca="false">MAX(0,MIN(2031+1,2027+MAX(0,MIN(1,asof-2027)))-2027)+MAX(0,MIN(2031+1,2027+1+0)-(MAX(2027,asof)+0))</f>
        <v>1</v>
      </c>
      <c r="I133" s="29" t="n">
        <f aca="false">MAX(0,MIN(2031+1,2028+MAX(0,MIN(1,asof-2028)))-2028)+MAX(0,MIN(2031+1,2028+1+0)-(MAX(2028,asof)+0))</f>
        <v>1</v>
      </c>
      <c r="J133" s="29" t="n">
        <f aca="false">MAX(0,MIN(2031+1,2029+MAX(0,MIN(1,asof-2029)))-2029)+MAX(0,MIN(2031+1,2029+1+0)-(MAX(2029,asof)+0))</f>
        <v>1</v>
      </c>
      <c r="K133" s="29" t="n">
        <f aca="false">MAX(0,MIN(2031+1,2030+MAX(0,MIN(1,asof-2030)))-2030)+MAX(0,MIN(2031+1,2030+1+0)-(MAX(2030,asof)+0))</f>
        <v>1</v>
      </c>
      <c r="L133" s="29" t="n">
        <f aca="false">MAX(0,MIN(2031+1,2031+MAX(0,MIN(1,asof-2031)))-2031)+MAX(0,MIN(2031+1,2031+1+0)-(MAX(2031,asof)+0))</f>
        <v>1</v>
      </c>
      <c r="M133" s="29" t="n">
        <f aca="false">MAX(0,MIN(2031+1,2032+MAX(0,MIN(1,asof-2032)))-2032)+MAX(0,MIN(2031+1,2032+1+0)-(MAX(2032,asof)+0))</f>
        <v>0</v>
      </c>
    </row>
    <row r="134" customFormat="false" ht="17.15" hidden="false" customHeight="false" outlineLevel="0" collapsed="false">
      <c r="A134" s="0" t="s">
        <v>1354</v>
      </c>
      <c r="B134" s="0" t="n">
        <v>2032</v>
      </c>
      <c r="E134" s="29" t="n">
        <f aca="false">MAX(0,MIN(2032+1,2024+MAX(0,MIN(1,asof-2024)))-2024)+MAX(0,MIN(2032+1,2024+1+0)-(MAX(2024,asof)+0))</f>
        <v>1</v>
      </c>
      <c r="F134" s="29" t="n">
        <f aca="false">MAX(0,MIN(2032+1,2025+MAX(0,MIN(1,asof-2025)))-2025)+MAX(0,MIN(2032+1,2025+1+0)-(MAX(2025,asof)+0))</f>
        <v>1</v>
      </c>
      <c r="G134" s="29" t="n">
        <f aca="false">MAX(0,MIN(2032+1,2026+MAX(0,MIN(1,asof-2026)))-2026)+MAX(0,MIN(2032+1,2026+1+0)-(MAX(2026,asof)+0))</f>
        <v>1</v>
      </c>
      <c r="H134" s="29" t="n">
        <f aca="false">MAX(0,MIN(2032+1,2027+MAX(0,MIN(1,asof-2027)))-2027)+MAX(0,MIN(2032+1,2027+1+0)-(MAX(2027,asof)+0))</f>
        <v>1</v>
      </c>
      <c r="I134" s="29" t="n">
        <f aca="false">MAX(0,MIN(2032+1,2028+MAX(0,MIN(1,asof-2028)))-2028)+MAX(0,MIN(2032+1,2028+1+0)-(MAX(2028,asof)+0))</f>
        <v>1</v>
      </c>
      <c r="J134" s="29" t="n">
        <f aca="false">MAX(0,MIN(2032+1,2029+MAX(0,MIN(1,asof-2029)))-2029)+MAX(0,MIN(2032+1,2029+1+0)-(MAX(2029,asof)+0))</f>
        <v>1</v>
      </c>
      <c r="K134" s="29" t="n">
        <f aca="false">MAX(0,MIN(2032+1,2030+MAX(0,MIN(1,asof-2030)))-2030)+MAX(0,MIN(2032+1,2030+1+0)-(MAX(2030,asof)+0))</f>
        <v>1</v>
      </c>
      <c r="L134" s="29" t="n">
        <f aca="false">MAX(0,MIN(2032+1,2031+MAX(0,MIN(1,asof-2031)))-2031)+MAX(0,MIN(2032+1,2031+1+0)-(MAX(2031,asof)+0))</f>
        <v>1</v>
      </c>
      <c r="M134" s="29" t="n">
        <f aca="false">MAX(0,MIN(2032+1,2032+MAX(0,MIN(1,asof-2032)))-2032)+MAX(0,MIN(2032+1,2032+1+0)-(MAX(2032,asof)+0))</f>
        <v>1</v>
      </c>
    </row>
    <row r="136" customFormat="false" ht="17.15" hidden="false" customHeight="false" outlineLevel="0" collapsed="false">
      <c r="A136" s="6" t="s">
        <v>1355</v>
      </c>
      <c r="B136" s="6" t="s">
        <v>1344</v>
      </c>
      <c r="C136" s="6"/>
      <c r="D136" s="6"/>
      <c r="E136" s="7" t="s">
        <v>22</v>
      </c>
      <c r="F136" s="7" t="s">
        <v>23</v>
      </c>
      <c r="G136" s="7" t="s">
        <v>24</v>
      </c>
      <c r="H136" s="7" t="s">
        <v>25</v>
      </c>
      <c r="I136" s="7" t="s">
        <v>26</v>
      </c>
      <c r="J136" s="7" t="s">
        <v>27</v>
      </c>
      <c r="K136" s="7" t="s">
        <v>28</v>
      </c>
      <c r="L136" s="7" t="s">
        <v>29</v>
      </c>
      <c r="M136" s="7" t="s">
        <v>30</v>
      </c>
    </row>
    <row r="137" customFormat="false" ht="17.15" hidden="false" customHeight="false" outlineLevel="0" collapsed="false">
      <c r="A137" s="0" t="s">
        <v>1356</v>
      </c>
      <c r="B137" s="0" t="n">
        <v>2023</v>
      </c>
      <c r="E137" s="29" t="n">
        <f aca="false">MAX(0,MIN(2023+1,2024+MAX(0,MIN(1,asof-2024)))-2024)+((1-dly_d1_s)*MAX(0,MIN(2023+1,2024+1+0)-(MAX(2024,asof)+0))+dly_d1_s*MAX(0,MIN(2023+1,2024+1+dly_d1_m/12)-(MAX(2024,asof)+dly_d1_m/12)))</f>
        <v>0</v>
      </c>
      <c r="F137" s="29" t="n">
        <f aca="false">MAX(0,MIN(2023+1,2025+MAX(0,MIN(1,asof-2025)))-2025)+((1-dly_d1_s)*MAX(0,MIN(2023+1,2025+1+0)-(MAX(2025,asof)+0))+dly_d1_s*MAX(0,MIN(2023+1,2025+1+dly_d1_m/12)-(MAX(2025,asof)+dly_d1_m/12)))</f>
        <v>0</v>
      </c>
      <c r="G137" s="29" t="n">
        <f aca="false">MAX(0,MIN(2023+1,2026+MAX(0,MIN(1,asof-2026)))-2026)+((1-dly_d1_s)*MAX(0,MIN(2023+1,2026+1+0)-(MAX(2026,asof)+0))+dly_d1_s*MAX(0,MIN(2023+1,2026+1+dly_d1_m/12)-(MAX(2026,asof)+dly_d1_m/12)))</f>
        <v>0</v>
      </c>
      <c r="H137" s="29" t="n">
        <f aca="false">MAX(0,MIN(2023+1,2027+MAX(0,MIN(1,asof-2027)))-2027)+((1-dly_d1_s)*MAX(0,MIN(2023+1,2027+1+0)-(MAX(2027,asof)+0))+dly_d1_s*MAX(0,MIN(2023+1,2027+1+dly_d1_m/12)-(MAX(2027,asof)+dly_d1_m/12)))</f>
        <v>0</v>
      </c>
      <c r="I137" s="29" t="n">
        <f aca="false">MAX(0,MIN(2023+1,2028+MAX(0,MIN(1,asof-2028)))-2028)+((1-dly_d1_s)*MAX(0,MIN(2023+1,2028+1+0)-(MAX(2028,asof)+0))+dly_d1_s*MAX(0,MIN(2023+1,2028+1+dly_d1_m/12)-(MAX(2028,asof)+dly_d1_m/12)))</f>
        <v>0</v>
      </c>
      <c r="J137" s="29" t="n">
        <f aca="false">MAX(0,MIN(2023+1,2029+MAX(0,MIN(1,asof-2029)))-2029)+((1-dly_d1_s)*MAX(0,MIN(2023+1,2029+1+0)-(MAX(2029,asof)+0))+dly_d1_s*MAX(0,MIN(2023+1,2029+1+dly_d1_m/12)-(MAX(2029,asof)+dly_d1_m/12)))</f>
        <v>0</v>
      </c>
      <c r="K137" s="29" t="n">
        <f aca="false">MAX(0,MIN(2023+1,2030+MAX(0,MIN(1,asof-2030)))-2030)+((1-dly_d1_s)*MAX(0,MIN(2023+1,2030+1+0)-(MAX(2030,asof)+0))+dly_d1_s*MAX(0,MIN(2023+1,2030+1+dly_d1_m/12)-(MAX(2030,asof)+dly_d1_m/12)))</f>
        <v>0</v>
      </c>
      <c r="L137" s="29" t="n">
        <f aca="false">MAX(0,MIN(2023+1,2031+MAX(0,MIN(1,asof-2031)))-2031)+((1-dly_d1_s)*MAX(0,MIN(2023+1,2031+1+0)-(MAX(2031,asof)+0))+dly_d1_s*MAX(0,MIN(2023+1,2031+1+dly_d1_m/12)-(MAX(2031,asof)+dly_d1_m/12)))</f>
        <v>0</v>
      </c>
      <c r="M137" s="29" t="n">
        <f aca="false">MAX(0,MIN(2023+1,2032+MAX(0,MIN(1,asof-2032)))-2032)+((1-dly_d1_s)*MAX(0,MIN(2023+1,2032+1+0)-(MAX(2032,asof)+0))+dly_d1_s*MAX(0,MIN(2023+1,2032+1+dly_d1_m/12)-(MAX(2032,asof)+dly_d1_m/12)))</f>
        <v>0</v>
      </c>
    </row>
    <row r="138" customFormat="false" ht="17.15" hidden="false" customHeight="false" outlineLevel="0" collapsed="false">
      <c r="A138" s="0" t="s">
        <v>1357</v>
      </c>
      <c r="B138" s="0" t="n">
        <v>2024</v>
      </c>
      <c r="E138" s="29" t="n">
        <f aca="false">MAX(0,MIN(2024+1,2024+MAX(0,MIN(1,asof-2024)))-2024)+((1-dly_d1_s)*MAX(0,MIN(2024+1,2024+1+0)-(MAX(2024,asof)+0))+dly_d1_s*MAX(0,MIN(2024+1,2024+1+dly_d1_m/12)-(MAX(2024,asof)+dly_d1_m/12)))</f>
        <v>1</v>
      </c>
      <c r="F138" s="29" t="n">
        <f aca="false">MAX(0,MIN(2024+1,2025+MAX(0,MIN(1,asof-2025)))-2025)+((1-dly_d1_s)*MAX(0,MIN(2024+1,2025+1+0)-(MAX(2025,asof)+0))+dly_d1_s*MAX(0,MIN(2024+1,2025+1+dly_d1_m/12)-(MAX(2025,asof)+dly_d1_m/12)))</f>
        <v>0</v>
      </c>
      <c r="G138" s="29" t="n">
        <f aca="false">MAX(0,MIN(2024+1,2026+MAX(0,MIN(1,asof-2026)))-2026)+((1-dly_d1_s)*MAX(0,MIN(2024+1,2026+1+0)-(MAX(2026,asof)+0))+dly_d1_s*MAX(0,MIN(2024+1,2026+1+dly_d1_m/12)-(MAX(2026,asof)+dly_d1_m/12)))</f>
        <v>0</v>
      </c>
      <c r="H138" s="29" t="n">
        <f aca="false">MAX(0,MIN(2024+1,2027+MAX(0,MIN(1,asof-2027)))-2027)+((1-dly_d1_s)*MAX(0,MIN(2024+1,2027+1+0)-(MAX(2027,asof)+0))+dly_d1_s*MAX(0,MIN(2024+1,2027+1+dly_d1_m/12)-(MAX(2027,asof)+dly_d1_m/12)))</f>
        <v>0</v>
      </c>
      <c r="I138" s="29" t="n">
        <f aca="false">MAX(0,MIN(2024+1,2028+MAX(0,MIN(1,asof-2028)))-2028)+((1-dly_d1_s)*MAX(0,MIN(2024+1,2028+1+0)-(MAX(2028,asof)+0))+dly_d1_s*MAX(0,MIN(2024+1,2028+1+dly_d1_m/12)-(MAX(2028,asof)+dly_d1_m/12)))</f>
        <v>0</v>
      </c>
      <c r="J138" s="29" t="n">
        <f aca="false">MAX(0,MIN(2024+1,2029+MAX(0,MIN(1,asof-2029)))-2029)+((1-dly_d1_s)*MAX(0,MIN(2024+1,2029+1+0)-(MAX(2029,asof)+0))+dly_d1_s*MAX(0,MIN(2024+1,2029+1+dly_d1_m/12)-(MAX(2029,asof)+dly_d1_m/12)))</f>
        <v>0</v>
      </c>
      <c r="K138" s="29" t="n">
        <f aca="false">MAX(0,MIN(2024+1,2030+MAX(0,MIN(1,asof-2030)))-2030)+((1-dly_d1_s)*MAX(0,MIN(2024+1,2030+1+0)-(MAX(2030,asof)+0))+dly_d1_s*MAX(0,MIN(2024+1,2030+1+dly_d1_m/12)-(MAX(2030,asof)+dly_d1_m/12)))</f>
        <v>0</v>
      </c>
      <c r="L138" s="29" t="n">
        <f aca="false">MAX(0,MIN(2024+1,2031+MAX(0,MIN(1,asof-2031)))-2031)+((1-dly_d1_s)*MAX(0,MIN(2024+1,2031+1+0)-(MAX(2031,asof)+0))+dly_d1_s*MAX(0,MIN(2024+1,2031+1+dly_d1_m/12)-(MAX(2031,asof)+dly_d1_m/12)))</f>
        <v>0</v>
      </c>
      <c r="M138" s="29" t="n">
        <f aca="false">MAX(0,MIN(2024+1,2032+MAX(0,MIN(1,asof-2032)))-2032)+((1-dly_d1_s)*MAX(0,MIN(2024+1,2032+1+0)-(MAX(2032,asof)+0))+dly_d1_s*MAX(0,MIN(2024+1,2032+1+dly_d1_m/12)-(MAX(2032,asof)+dly_d1_m/12)))</f>
        <v>0</v>
      </c>
    </row>
    <row r="139" customFormat="false" ht="17.15" hidden="false" customHeight="false" outlineLevel="0" collapsed="false">
      <c r="A139" s="0" t="s">
        <v>1358</v>
      </c>
      <c r="B139" s="0" t="n">
        <v>2025</v>
      </c>
      <c r="E139" s="29" t="n">
        <f aca="false">MAX(0,MIN(2025+1,2024+MAX(0,MIN(1,asof-2024)))-2024)+((1-dly_d1_s)*MAX(0,MIN(2025+1,2024+1+0)-(MAX(2024,asof)+0))+dly_d1_s*MAX(0,MIN(2025+1,2024+1+dly_d1_m/12)-(MAX(2024,asof)+dly_d1_m/12)))</f>
        <v>1</v>
      </c>
      <c r="F139" s="29" t="n">
        <f aca="false">MAX(0,MIN(2025+1,2025+MAX(0,MIN(1,asof-2025)))-2025)+((1-dly_d1_s)*MAX(0,MIN(2025+1,2025+1+0)-(MAX(2025,asof)+0))+dly_d1_s*MAX(0,MIN(2025+1,2025+1+dly_d1_m/12)-(MAX(2025,asof)+dly_d1_m/12)))</f>
        <v>1</v>
      </c>
      <c r="G139" s="29" t="n">
        <f aca="false">MAX(0,MIN(2025+1,2026+MAX(0,MIN(1,asof-2026)))-2026)+((1-dly_d1_s)*MAX(0,MIN(2025+1,2026+1+0)-(MAX(2026,asof)+0))+dly_d1_s*MAX(0,MIN(2025+1,2026+1+dly_d1_m/12)-(MAX(2026,asof)+dly_d1_m/12)))</f>
        <v>0</v>
      </c>
      <c r="H139" s="29" t="n">
        <f aca="false">MAX(0,MIN(2025+1,2027+MAX(0,MIN(1,asof-2027)))-2027)+((1-dly_d1_s)*MAX(0,MIN(2025+1,2027+1+0)-(MAX(2027,asof)+0))+dly_d1_s*MAX(0,MIN(2025+1,2027+1+dly_d1_m/12)-(MAX(2027,asof)+dly_d1_m/12)))</f>
        <v>0</v>
      </c>
      <c r="I139" s="29" t="n">
        <f aca="false">MAX(0,MIN(2025+1,2028+MAX(0,MIN(1,asof-2028)))-2028)+((1-dly_d1_s)*MAX(0,MIN(2025+1,2028+1+0)-(MAX(2028,asof)+0))+dly_d1_s*MAX(0,MIN(2025+1,2028+1+dly_d1_m/12)-(MAX(2028,asof)+dly_d1_m/12)))</f>
        <v>0</v>
      </c>
      <c r="J139" s="29" t="n">
        <f aca="false">MAX(0,MIN(2025+1,2029+MAX(0,MIN(1,asof-2029)))-2029)+((1-dly_d1_s)*MAX(0,MIN(2025+1,2029+1+0)-(MAX(2029,asof)+0))+dly_d1_s*MAX(0,MIN(2025+1,2029+1+dly_d1_m/12)-(MAX(2029,asof)+dly_d1_m/12)))</f>
        <v>0</v>
      </c>
      <c r="K139" s="29" t="n">
        <f aca="false">MAX(0,MIN(2025+1,2030+MAX(0,MIN(1,asof-2030)))-2030)+((1-dly_d1_s)*MAX(0,MIN(2025+1,2030+1+0)-(MAX(2030,asof)+0))+dly_d1_s*MAX(0,MIN(2025+1,2030+1+dly_d1_m/12)-(MAX(2030,asof)+dly_d1_m/12)))</f>
        <v>0</v>
      </c>
      <c r="L139" s="29" t="n">
        <f aca="false">MAX(0,MIN(2025+1,2031+MAX(0,MIN(1,asof-2031)))-2031)+((1-dly_d1_s)*MAX(0,MIN(2025+1,2031+1+0)-(MAX(2031,asof)+0))+dly_d1_s*MAX(0,MIN(2025+1,2031+1+dly_d1_m/12)-(MAX(2031,asof)+dly_d1_m/12)))</f>
        <v>0</v>
      </c>
      <c r="M139" s="29" t="n">
        <f aca="false">MAX(0,MIN(2025+1,2032+MAX(0,MIN(1,asof-2032)))-2032)+((1-dly_d1_s)*MAX(0,MIN(2025+1,2032+1+0)-(MAX(2032,asof)+0))+dly_d1_s*MAX(0,MIN(2025+1,2032+1+dly_d1_m/12)-(MAX(2032,asof)+dly_d1_m/12)))</f>
        <v>0</v>
      </c>
    </row>
    <row r="140" customFormat="false" ht="17.15" hidden="false" customHeight="false" outlineLevel="0" collapsed="false">
      <c r="A140" s="0" t="s">
        <v>1359</v>
      </c>
      <c r="B140" s="0" t="n">
        <v>2026</v>
      </c>
      <c r="E140" s="29" t="n">
        <f aca="false">MAX(0,MIN(2026+1,2024+MAX(0,MIN(1,asof-2024)))-2024)+((1-dly_d1_s)*MAX(0,MIN(2026+1,2024+1+0)-(MAX(2024,asof)+0))+dly_d1_s*MAX(0,MIN(2026+1,2024+1+dly_d1_m/12)-(MAX(2024,asof)+dly_d1_m/12)))</f>
        <v>1</v>
      </c>
      <c r="F140" s="29" t="n">
        <f aca="false">MAX(0,MIN(2026+1,2025+MAX(0,MIN(1,asof-2025)))-2025)+((1-dly_d1_s)*MAX(0,MIN(2026+1,2025+1+0)-(MAX(2025,asof)+0))+dly_d1_s*MAX(0,MIN(2026+1,2025+1+dly_d1_m/12)-(MAX(2025,asof)+dly_d1_m/12)))</f>
        <v>1</v>
      </c>
      <c r="G140" s="29" t="n">
        <f aca="false">MAX(0,MIN(2026+1,2026+MAX(0,MIN(1,asof-2026)))-2026)+((1-dly_d1_s)*MAX(0,MIN(2026+1,2026+1+0)-(MAX(2026,asof)+0))+dly_d1_s*MAX(0,MIN(2026+1,2026+1+dly_d1_m/12)-(MAX(2026,asof)+dly_d1_m/12)))</f>
        <v>0.938750000000016</v>
      </c>
      <c r="H140" s="29" t="n">
        <f aca="false">MAX(0,MIN(2026+1,2027+MAX(0,MIN(1,asof-2027)))-2027)+((1-dly_d1_s)*MAX(0,MIN(2026+1,2027+1+0)-(MAX(2027,asof)+0))+dly_d1_s*MAX(0,MIN(2026+1,2027+1+dly_d1_m/12)-(MAX(2027,asof)+dly_d1_m/12)))</f>
        <v>0</v>
      </c>
      <c r="I140" s="29" t="n">
        <f aca="false">MAX(0,MIN(2026+1,2028+MAX(0,MIN(1,asof-2028)))-2028)+((1-dly_d1_s)*MAX(0,MIN(2026+1,2028+1+0)-(MAX(2028,asof)+0))+dly_d1_s*MAX(0,MIN(2026+1,2028+1+dly_d1_m/12)-(MAX(2028,asof)+dly_d1_m/12)))</f>
        <v>0</v>
      </c>
      <c r="J140" s="29" t="n">
        <f aca="false">MAX(0,MIN(2026+1,2029+MAX(0,MIN(1,asof-2029)))-2029)+((1-dly_d1_s)*MAX(0,MIN(2026+1,2029+1+0)-(MAX(2029,asof)+0))+dly_d1_s*MAX(0,MIN(2026+1,2029+1+dly_d1_m/12)-(MAX(2029,asof)+dly_d1_m/12)))</f>
        <v>0</v>
      </c>
      <c r="K140" s="29" t="n">
        <f aca="false">MAX(0,MIN(2026+1,2030+MAX(0,MIN(1,asof-2030)))-2030)+((1-dly_d1_s)*MAX(0,MIN(2026+1,2030+1+0)-(MAX(2030,asof)+0))+dly_d1_s*MAX(0,MIN(2026+1,2030+1+dly_d1_m/12)-(MAX(2030,asof)+dly_d1_m/12)))</f>
        <v>0</v>
      </c>
      <c r="L140" s="29" t="n">
        <f aca="false">MAX(0,MIN(2026+1,2031+MAX(0,MIN(1,asof-2031)))-2031)+((1-dly_d1_s)*MAX(0,MIN(2026+1,2031+1+0)-(MAX(2031,asof)+0))+dly_d1_s*MAX(0,MIN(2026+1,2031+1+dly_d1_m/12)-(MAX(2031,asof)+dly_d1_m/12)))</f>
        <v>0</v>
      </c>
      <c r="M140" s="29" t="n">
        <f aca="false">MAX(0,MIN(2026+1,2032+MAX(0,MIN(1,asof-2032)))-2032)+((1-dly_d1_s)*MAX(0,MIN(2026+1,2032+1+0)-(MAX(2032,asof)+0))+dly_d1_s*MAX(0,MIN(2026+1,2032+1+dly_d1_m/12)-(MAX(2032,asof)+dly_d1_m/12)))</f>
        <v>0</v>
      </c>
    </row>
    <row r="141" customFormat="false" ht="17.15" hidden="false" customHeight="false" outlineLevel="0" collapsed="false">
      <c r="A141" s="0" t="s">
        <v>1360</v>
      </c>
      <c r="B141" s="0" t="n">
        <v>2027</v>
      </c>
      <c r="E141" s="29" t="n">
        <f aca="false">MAX(0,MIN(2027+1,2024+MAX(0,MIN(1,asof-2024)))-2024)+((1-dly_d1_s)*MAX(0,MIN(2027+1,2024+1+0)-(MAX(2024,asof)+0))+dly_d1_s*MAX(0,MIN(2027+1,2024+1+dly_d1_m/12)-(MAX(2024,asof)+dly_d1_m/12)))</f>
        <v>1</v>
      </c>
      <c r="F141" s="29" t="n">
        <f aca="false">MAX(0,MIN(2027+1,2025+MAX(0,MIN(1,asof-2025)))-2025)+((1-dly_d1_s)*MAX(0,MIN(2027+1,2025+1+0)-(MAX(2025,asof)+0))+dly_d1_s*MAX(0,MIN(2027+1,2025+1+dly_d1_m/12)-(MAX(2025,asof)+dly_d1_m/12)))</f>
        <v>1</v>
      </c>
      <c r="G141" s="29" t="n">
        <f aca="false">MAX(0,MIN(2027+1,2026+MAX(0,MIN(1,asof-2026)))-2026)+((1-dly_d1_s)*MAX(0,MIN(2027+1,2026+1+0)-(MAX(2026,asof)+0))+dly_d1_s*MAX(0,MIN(2027+1,2026+1+dly_d1_m/12)-(MAX(2026,asof)+dly_d1_m/12)))</f>
        <v>1</v>
      </c>
      <c r="H141" s="29" t="n">
        <f aca="false">MAX(0,MIN(2027+1,2027+MAX(0,MIN(1,asof-2027)))-2027)+((1-dly_d1_s)*MAX(0,MIN(2027+1,2027+1+0)-(MAX(2027,asof)+0))+dly_d1_s*MAX(0,MIN(2027+1,2027+1+dly_d1_m/12)-(MAX(2027,asof)+dly_d1_m/12)))</f>
        <v>0.825</v>
      </c>
      <c r="I141" s="29" t="n">
        <f aca="false">MAX(0,MIN(2027+1,2028+MAX(0,MIN(1,asof-2028)))-2028)+((1-dly_d1_s)*MAX(0,MIN(2027+1,2028+1+0)-(MAX(2028,asof)+0))+dly_d1_s*MAX(0,MIN(2027+1,2028+1+dly_d1_m/12)-(MAX(2028,asof)+dly_d1_m/12)))</f>
        <v>0</v>
      </c>
      <c r="J141" s="29" t="n">
        <f aca="false">MAX(0,MIN(2027+1,2029+MAX(0,MIN(1,asof-2029)))-2029)+((1-dly_d1_s)*MAX(0,MIN(2027+1,2029+1+0)-(MAX(2029,asof)+0))+dly_d1_s*MAX(0,MIN(2027+1,2029+1+dly_d1_m/12)-(MAX(2029,asof)+dly_d1_m/12)))</f>
        <v>0</v>
      </c>
      <c r="K141" s="29" t="n">
        <f aca="false">MAX(0,MIN(2027+1,2030+MAX(0,MIN(1,asof-2030)))-2030)+((1-dly_d1_s)*MAX(0,MIN(2027+1,2030+1+0)-(MAX(2030,asof)+0))+dly_d1_s*MAX(0,MIN(2027+1,2030+1+dly_d1_m/12)-(MAX(2030,asof)+dly_d1_m/12)))</f>
        <v>0</v>
      </c>
      <c r="L141" s="29" t="n">
        <f aca="false">MAX(0,MIN(2027+1,2031+MAX(0,MIN(1,asof-2031)))-2031)+((1-dly_d1_s)*MAX(0,MIN(2027+1,2031+1+0)-(MAX(2031,asof)+0))+dly_d1_s*MAX(0,MIN(2027+1,2031+1+dly_d1_m/12)-(MAX(2031,asof)+dly_d1_m/12)))</f>
        <v>0</v>
      </c>
      <c r="M141" s="29" t="n">
        <f aca="false">MAX(0,MIN(2027+1,2032+MAX(0,MIN(1,asof-2032)))-2032)+((1-dly_d1_s)*MAX(0,MIN(2027+1,2032+1+0)-(MAX(2032,asof)+0))+dly_d1_s*MAX(0,MIN(2027+1,2032+1+dly_d1_m/12)-(MAX(2032,asof)+dly_d1_m/12)))</f>
        <v>0</v>
      </c>
    </row>
    <row r="142" customFormat="false" ht="17.15" hidden="false" customHeight="false" outlineLevel="0" collapsed="false">
      <c r="A142" s="0" t="s">
        <v>1361</v>
      </c>
      <c r="B142" s="0" t="n">
        <v>2028</v>
      </c>
      <c r="E142" s="29" t="n">
        <f aca="false">MAX(0,MIN(2028+1,2024+MAX(0,MIN(1,asof-2024)))-2024)+((1-dly_d1_s)*MAX(0,MIN(2028+1,2024+1+0)-(MAX(2024,asof)+0))+dly_d1_s*MAX(0,MIN(2028+1,2024+1+dly_d1_m/12)-(MAX(2024,asof)+dly_d1_m/12)))</f>
        <v>1</v>
      </c>
      <c r="F142" s="29" t="n">
        <f aca="false">MAX(0,MIN(2028+1,2025+MAX(0,MIN(1,asof-2025)))-2025)+((1-dly_d1_s)*MAX(0,MIN(2028+1,2025+1+0)-(MAX(2025,asof)+0))+dly_d1_s*MAX(0,MIN(2028+1,2025+1+dly_d1_m/12)-(MAX(2025,asof)+dly_d1_m/12)))</f>
        <v>1</v>
      </c>
      <c r="G142" s="29" t="n">
        <f aca="false">MAX(0,MIN(2028+1,2026+MAX(0,MIN(1,asof-2026)))-2026)+((1-dly_d1_s)*MAX(0,MIN(2028+1,2026+1+0)-(MAX(2026,asof)+0))+dly_d1_s*MAX(0,MIN(2028+1,2026+1+dly_d1_m/12)-(MAX(2026,asof)+dly_d1_m/12)))</f>
        <v>1</v>
      </c>
      <c r="H142" s="29" t="n">
        <f aca="false">MAX(0,MIN(2028+1,2027+MAX(0,MIN(1,asof-2027)))-2027)+((1-dly_d1_s)*MAX(0,MIN(2028+1,2027+1+0)-(MAX(2027,asof)+0))+dly_d1_s*MAX(0,MIN(2028+1,2027+1+dly_d1_m/12)-(MAX(2027,asof)+dly_d1_m/12)))</f>
        <v>1</v>
      </c>
      <c r="I142" s="29" t="n">
        <f aca="false">MAX(0,MIN(2028+1,2028+MAX(0,MIN(1,asof-2028)))-2028)+((1-dly_d1_s)*MAX(0,MIN(2028+1,2028+1+0)-(MAX(2028,asof)+0))+dly_d1_s*MAX(0,MIN(2028+1,2028+1+dly_d1_m/12)-(MAX(2028,asof)+dly_d1_m/12)))</f>
        <v>0.825</v>
      </c>
      <c r="J142" s="29" t="n">
        <f aca="false">MAX(0,MIN(2028+1,2029+MAX(0,MIN(1,asof-2029)))-2029)+((1-dly_d1_s)*MAX(0,MIN(2028+1,2029+1+0)-(MAX(2029,asof)+0))+dly_d1_s*MAX(0,MIN(2028+1,2029+1+dly_d1_m/12)-(MAX(2029,asof)+dly_d1_m/12)))</f>
        <v>0</v>
      </c>
      <c r="K142" s="29" t="n">
        <f aca="false">MAX(0,MIN(2028+1,2030+MAX(0,MIN(1,asof-2030)))-2030)+((1-dly_d1_s)*MAX(0,MIN(2028+1,2030+1+0)-(MAX(2030,asof)+0))+dly_d1_s*MAX(0,MIN(2028+1,2030+1+dly_d1_m/12)-(MAX(2030,asof)+dly_d1_m/12)))</f>
        <v>0</v>
      </c>
      <c r="L142" s="29" t="n">
        <f aca="false">MAX(0,MIN(2028+1,2031+MAX(0,MIN(1,asof-2031)))-2031)+((1-dly_d1_s)*MAX(0,MIN(2028+1,2031+1+0)-(MAX(2031,asof)+0))+dly_d1_s*MAX(0,MIN(2028+1,2031+1+dly_d1_m/12)-(MAX(2031,asof)+dly_d1_m/12)))</f>
        <v>0</v>
      </c>
      <c r="M142" s="29" t="n">
        <f aca="false">MAX(0,MIN(2028+1,2032+MAX(0,MIN(1,asof-2032)))-2032)+((1-dly_d1_s)*MAX(0,MIN(2028+1,2032+1+0)-(MAX(2032,asof)+0))+dly_d1_s*MAX(0,MIN(2028+1,2032+1+dly_d1_m/12)-(MAX(2032,asof)+dly_d1_m/12)))</f>
        <v>0</v>
      </c>
    </row>
    <row r="143" customFormat="false" ht="17.15" hidden="false" customHeight="false" outlineLevel="0" collapsed="false">
      <c r="A143" s="0" t="s">
        <v>1362</v>
      </c>
      <c r="B143" s="0" t="n">
        <v>2029</v>
      </c>
      <c r="E143" s="29" t="n">
        <f aca="false">MAX(0,MIN(2029+1,2024+MAX(0,MIN(1,asof-2024)))-2024)+((1-dly_d1_s)*MAX(0,MIN(2029+1,2024+1+0)-(MAX(2024,asof)+0))+dly_d1_s*MAX(0,MIN(2029+1,2024+1+dly_d1_m/12)-(MAX(2024,asof)+dly_d1_m/12)))</f>
        <v>1</v>
      </c>
      <c r="F143" s="29" t="n">
        <f aca="false">MAX(0,MIN(2029+1,2025+MAX(0,MIN(1,asof-2025)))-2025)+((1-dly_d1_s)*MAX(0,MIN(2029+1,2025+1+0)-(MAX(2025,asof)+0))+dly_d1_s*MAX(0,MIN(2029+1,2025+1+dly_d1_m/12)-(MAX(2025,asof)+dly_d1_m/12)))</f>
        <v>1</v>
      </c>
      <c r="G143" s="29" t="n">
        <f aca="false">MAX(0,MIN(2029+1,2026+MAX(0,MIN(1,asof-2026)))-2026)+((1-dly_d1_s)*MAX(0,MIN(2029+1,2026+1+0)-(MAX(2026,asof)+0))+dly_d1_s*MAX(0,MIN(2029+1,2026+1+dly_d1_m/12)-(MAX(2026,asof)+dly_d1_m/12)))</f>
        <v>1</v>
      </c>
      <c r="H143" s="29" t="n">
        <f aca="false">MAX(0,MIN(2029+1,2027+MAX(0,MIN(1,asof-2027)))-2027)+((1-dly_d1_s)*MAX(0,MIN(2029+1,2027+1+0)-(MAX(2027,asof)+0))+dly_d1_s*MAX(0,MIN(2029+1,2027+1+dly_d1_m/12)-(MAX(2027,asof)+dly_d1_m/12)))</f>
        <v>1</v>
      </c>
      <c r="I143" s="29" t="n">
        <f aca="false">MAX(0,MIN(2029+1,2028+MAX(0,MIN(1,asof-2028)))-2028)+((1-dly_d1_s)*MAX(0,MIN(2029+1,2028+1+0)-(MAX(2028,asof)+0))+dly_d1_s*MAX(0,MIN(2029+1,2028+1+dly_d1_m/12)-(MAX(2028,asof)+dly_d1_m/12)))</f>
        <v>1</v>
      </c>
      <c r="J143" s="29" t="n">
        <f aca="false">MAX(0,MIN(2029+1,2029+MAX(0,MIN(1,asof-2029)))-2029)+((1-dly_d1_s)*MAX(0,MIN(2029+1,2029+1+0)-(MAX(2029,asof)+0))+dly_d1_s*MAX(0,MIN(2029+1,2029+1+dly_d1_m/12)-(MAX(2029,asof)+dly_d1_m/12)))</f>
        <v>0.825</v>
      </c>
      <c r="K143" s="29" t="n">
        <f aca="false">MAX(0,MIN(2029+1,2030+MAX(0,MIN(1,asof-2030)))-2030)+((1-dly_d1_s)*MAX(0,MIN(2029+1,2030+1+0)-(MAX(2030,asof)+0))+dly_d1_s*MAX(0,MIN(2029+1,2030+1+dly_d1_m/12)-(MAX(2030,asof)+dly_d1_m/12)))</f>
        <v>0</v>
      </c>
      <c r="L143" s="29" t="n">
        <f aca="false">MAX(0,MIN(2029+1,2031+MAX(0,MIN(1,asof-2031)))-2031)+((1-dly_d1_s)*MAX(0,MIN(2029+1,2031+1+0)-(MAX(2031,asof)+0))+dly_d1_s*MAX(0,MIN(2029+1,2031+1+dly_d1_m/12)-(MAX(2031,asof)+dly_d1_m/12)))</f>
        <v>0</v>
      </c>
      <c r="M143" s="29" t="n">
        <f aca="false">MAX(0,MIN(2029+1,2032+MAX(0,MIN(1,asof-2032)))-2032)+((1-dly_d1_s)*MAX(0,MIN(2029+1,2032+1+0)-(MAX(2032,asof)+0))+dly_d1_s*MAX(0,MIN(2029+1,2032+1+dly_d1_m/12)-(MAX(2032,asof)+dly_d1_m/12)))</f>
        <v>0</v>
      </c>
    </row>
    <row r="144" customFormat="false" ht="17.15" hidden="false" customHeight="false" outlineLevel="0" collapsed="false">
      <c r="A144" s="0" t="s">
        <v>1363</v>
      </c>
      <c r="B144" s="0" t="n">
        <v>2030</v>
      </c>
      <c r="E144" s="29" t="n">
        <f aca="false">MAX(0,MIN(2030+1,2024+MAX(0,MIN(1,asof-2024)))-2024)+((1-dly_d1_s)*MAX(0,MIN(2030+1,2024+1+0)-(MAX(2024,asof)+0))+dly_d1_s*MAX(0,MIN(2030+1,2024+1+dly_d1_m/12)-(MAX(2024,asof)+dly_d1_m/12)))</f>
        <v>1</v>
      </c>
      <c r="F144" s="29" t="n">
        <f aca="false">MAX(0,MIN(2030+1,2025+MAX(0,MIN(1,asof-2025)))-2025)+((1-dly_d1_s)*MAX(0,MIN(2030+1,2025+1+0)-(MAX(2025,asof)+0))+dly_d1_s*MAX(0,MIN(2030+1,2025+1+dly_d1_m/12)-(MAX(2025,asof)+dly_d1_m/12)))</f>
        <v>1</v>
      </c>
      <c r="G144" s="29" t="n">
        <f aca="false">MAX(0,MIN(2030+1,2026+MAX(0,MIN(1,asof-2026)))-2026)+((1-dly_d1_s)*MAX(0,MIN(2030+1,2026+1+0)-(MAX(2026,asof)+0))+dly_d1_s*MAX(0,MIN(2030+1,2026+1+dly_d1_m/12)-(MAX(2026,asof)+dly_d1_m/12)))</f>
        <v>1</v>
      </c>
      <c r="H144" s="29" t="n">
        <f aca="false">MAX(0,MIN(2030+1,2027+MAX(0,MIN(1,asof-2027)))-2027)+((1-dly_d1_s)*MAX(0,MIN(2030+1,2027+1+0)-(MAX(2027,asof)+0))+dly_d1_s*MAX(0,MIN(2030+1,2027+1+dly_d1_m/12)-(MAX(2027,asof)+dly_d1_m/12)))</f>
        <v>1</v>
      </c>
      <c r="I144" s="29" t="n">
        <f aca="false">MAX(0,MIN(2030+1,2028+MAX(0,MIN(1,asof-2028)))-2028)+((1-dly_d1_s)*MAX(0,MIN(2030+1,2028+1+0)-(MAX(2028,asof)+0))+dly_d1_s*MAX(0,MIN(2030+1,2028+1+dly_d1_m/12)-(MAX(2028,asof)+dly_d1_m/12)))</f>
        <v>1</v>
      </c>
      <c r="J144" s="29" t="n">
        <f aca="false">MAX(0,MIN(2030+1,2029+MAX(0,MIN(1,asof-2029)))-2029)+((1-dly_d1_s)*MAX(0,MIN(2030+1,2029+1+0)-(MAX(2029,asof)+0))+dly_d1_s*MAX(0,MIN(2030+1,2029+1+dly_d1_m/12)-(MAX(2029,asof)+dly_d1_m/12)))</f>
        <v>1</v>
      </c>
      <c r="K144" s="29" t="n">
        <f aca="false">MAX(0,MIN(2030+1,2030+MAX(0,MIN(1,asof-2030)))-2030)+((1-dly_d1_s)*MAX(0,MIN(2030+1,2030+1+0)-(MAX(2030,asof)+0))+dly_d1_s*MAX(0,MIN(2030+1,2030+1+dly_d1_m/12)-(MAX(2030,asof)+dly_d1_m/12)))</f>
        <v>0.825</v>
      </c>
      <c r="L144" s="29" t="n">
        <f aca="false">MAX(0,MIN(2030+1,2031+MAX(0,MIN(1,asof-2031)))-2031)+((1-dly_d1_s)*MAX(0,MIN(2030+1,2031+1+0)-(MAX(2031,asof)+0))+dly_d1_s*MAX(0,MIN(2030+1,2031+1+dly_d1_m/12)-(MAX(2031,asof)+dly_d1_m/12)))</f>
        <v>0</v>
      </c>
      <c r="M144" s="29" t="n">
        <f aca="false">MAX(0,MIN(2030+1,2032+MAX(0,MIN(1,asof-2032)))-2032)+((1-dly_d1_s)*MAX(0,MIN(2030+1,2032+1+0)-(MAX(2032,asof)+0))+dly_d1_s*MAX(0,MIN(2030+1,2032+1+dly_d1_m/12)-(MAX(2032,asof)+dly_d1_m/12)))</f>
        <v>0</v>
      </c>
    </row>
    <row r="145" customFormat="false" ht="17.15" hidden="false" customHeight="false" outlineLevel="0" collapsed="false">
      <c r="A145" s="0" t="s">
        <v>1364</v>
      </c>
      <c r="B145" s="0" t="n">
        <v>2031</v>
      </c>
      <c r="E145" s="29" t="n">
        <f aca="false">MAX(0,MIN(2031+1,2024+MAX(0,MIN(1,asof-2024)))-2024)+((1-dly_d1_s)*MAX(0,MIN(2031+1,2024+1+0)-(MAX(2024,asof)+0))+dly_d1_s*MAX(0,MIN(2031+1,2024+1+dly_d1_m/12)-(MAX(2024,asof)+dly_d1_m/12)))</f>
        <v>1</v>
      </c>
      <c r="F145" s="29" t="n">
        <f aca="false">MAX(0,MIN(2031+1,2025+MAX(0,MIN(1,asof-2025)))-2025)+((1-dly_d1_s)*MAX(0,MIN(2031+1,2025+1+0)-(MAX(2025,asof)+0))+dly_d1_s*MAX(0,MIN(2031+1,2025+1+dly_d1_m/12)-(MAX(2025,asof)+dly_d1_m/12)))</f>
        <v>1</v>
      </c>
      <c r="G145" s="29" t="n">
        <f aca="false">MAX(0,MIN(2031+1,2026+MAX(0,MIN(1,asof-2026)))-2026)+((1-dly_d1_s)*MAX(0,MIN(2031+1,2026+1+0)-(MAX(2026,asof)+0))+dly_d1_s*MAX(0,MIN(2031+1,2026+1+dly_d1_m/12)-(MAX(2026,asof)+dly_d1_m/12)))</f>
        <v>1</v>
      </c>
      <c r="H145" s="29" t="n">
        <f aca="false">MAX(0,MIN(2031+1,2027+MAX(0,MIN(1,asof-2027)))-2027)+((1-dly_d1_s)*MAX(0,MIN(2031+1,2027+1+0)-(MAX(2027,asof)+0))+dly_d1_s*MAX(0,MIN(2031+1,2027+1+dly_d1_m/12)-(MAX(2027,asof)+dly_d1_m/12)))</f>
        <v>1</v>
      </c>
      <c r="I145" s="29" t="n">
        <f aca="false">MAX(0,MIN(2031+1,2028+MAX(0,MIN(1,asof-2028)))-2028)+((1-dly_d1_s)*MAX(0,MIN(2031+1,2028+1+0)-(MAX(2028,asof)+0))+dly_d1_s*MAX(0,MIN(2031+1,2028+1+dly_d1_m/12)-(MAX(2028,asof)+dly_d1_m/12)))</f>
        <v>1</v>
      </c>
      <c r="J145" s="29" t="n">
        <f aca="false">MAX(0,MIN(2031+1,2029+MAX(0,MIN(1,asof-2029)))-2029)+((1-dly_d1_s)*MAX(0,MIN(2031+1,2029+1+0)-(MAX(2029,asof)+0))+dly_d1_s*MAX(0,MIN(2031+1,2029+1+dly_d1_m/12)-(MAX(2029,asof)+dly_d1_m/12)))</f>
        <v>1</v>
      </c>
      <c r="K145" s="29" t="n">
        <f aca="false">MAX(0,MIN(2031+1,2030+MAX(0,MIN(1,asof-2030)))-2030)+((1-dly_d1_s)*MAX(0,MIN(2031+1,2030+1+0)-(MAX(2030,asof)+0))+dly_d1_s*MAX(0,MIN(2031+1,2030+1+dly_d1_m/12)-(MAX(2030,asof)+dly_d1_m/12)))</f>
        <v>1</v>
      </c>
      <c r="L145" s="29" t="n">
        <f aca="false">MAX(0,MIN(2031+1,2031+MAX(0,MIN(1,asof-2031)))-2031)+((1-dly_d1_s)*MAX(0,MIN(2031+1,2031+1+0)-(MAX(2031,asof)+0))+dly_d1_s*MAX(0,MIN(2031+1,2031+1+dly_d1_m/12)-(MAX(2031,asof)+dly_d1_m/12)))</f>
        <v>0.825</v>
      </c>
      <c r="M145" s="29" t="n">
        <f aca="false">MAX(0,MIN(2031+1,2032+MAX(0,MIN(1,asof-2032)))-2032)+((1-dly_d1_s)*MAX(0,MIN(2031+1,2032+1+0)-(MAX(2032,asof)+0))+dly_d1_s*MAX(0,MIN(2031+1,2032+1+dly_d1_m/12)-(MAX(2032,asof)+dly_d1_m/12)))</f>
        <v>0</v>
      </c>
    </row>
    <row r="146" customFormat="false" ht="17.15" hidden="false" customHeight="false" outlineLevel="0" collapsed="false">
      <c r="A146" s="0" t="s">
        <v>1365</v>
      </c>
      <c r="B146" s="0" t="n">
        <v>2032</v>
      </c>
      <c r="E146" s="29" t="n">
        <f aca="false">MAX(0,MIN(2032+1,2024+MAX(0,MIN(1,asof-2024)))-2024)+((1-dly_d1_s)*MAX(0,MIN(2032+1,2024+1+0)-(MAX(2024,asof)+0))+dly_d1_s*MAX(0,MIN(2032+1,2024+1+dly_d1_m/12)-(MAX(2024,asof)+dly_d1_m/12)))</f>
        <v>1</v>
      </c>
      <c r="F146" s="29" t="n">
        <f aca="false">MAX(0,MIN(2032+1,2025+MAX(0,MIN(1,asof-2025)))-2025)+((1-dly_d1_s)*MAX(0,MIN(2032+1,2025+1+0)-(MAX(2025,asof)+0))+dly_d1_s*MAX(0,MIN(2032+1,2025+1+dly_d1_m/12)-(MAX(2025,asof)+dly_d1_m/12)))</f>
        <v>1</v>
      </c>
      <c r="G146" s="29" t="n">
        <f aca="false">MAX(0,MIN(2032+1,2026+MAX(0,MIN(1,asof-2026)))-2026)+((1-dly_d1_s)*MAX(0,MIN(2032+1,2026+1+0)-(MAX(2026,asof)+0))+dly_d1_s*MAX(0,MIN(2032+1,2026+1+dly_d1_m/12)-(MAX(2026,asof)+dly_d1_m/12)))</f>
        <v>1</v>
      </c>
      <c r="H146" s="29" t="n">
        <f aca="false">MAX(0,MIN(2032+1,2027+MAX(0,MIN(1,asof-2027)))-2027)+((1-dly_d1_s)*MAX(0,MIN(2032+1,2027+1+0)-(MAX(2027,asof)+0))+dly_d1_s*MAX(0,MIN(2032+1,2027+1+dly_d1_m/12)-(MAX(2027,asof)+dly_d1_m/12)))</f>
        <v>1</v>
      </c>
      <c r="I146" s="29" t="n">
        <f aca="false">MAX(0,MIN(2032+1,2028+MAX(0,MIN(1,asof-2028)))-2028)+((1-dly_d1_s)*MAX(0,MIN(2032+1,2028+1+0)-(MAX(2028,asof)+0))+dly_d1_s*MAX(0,MIN(2032+1,2028+1+dly_d1_m/12)-(MAX(2028,asof)+dly_d1_m/12)))</f>
        <v>1</v>
      </c>
      <c r="J146" s="29" t="n">
        <f aca="false">MAX(0,MIN(2032+1,2029+MAX(0,MIN(1,asof-2029)))-2029)+((1-dly_d1_s)*MAX(0,MIN(2032+1,2029+1+0)-(MAX(2029,asof)+0))+dly_d1_s*MAX(0,MIN(2032+1,2029+1+dly_d1_m/12)-(MAX(2029,asof)+dly_d1_m/12)))</f>
        <v>1</v>
      </c>
      <c r="K146" s="29" t="n">
        <f aca="false">MAX(0,MIN(2032+1,2030+MAX(0,MIN(1,asof-2030)))-2030)+((1-dly_d1_s)*MAX(0,MIN(2032+1,2030+1+0)-(MAX(2030,asof)+0))+dly_d1_s*MAX(0,MIN(2032+1,2030+1+dly_d1_m/12)-(MAX(2030,asof)+dly_d1_m/12)))</f>
        <v>1</v>
      </c>
      <c r="L146" s="29" t="n">
        <f aca="false">MAX(0,MIN(2032+1,2031+MAX(0,MIN(1,asof-2031)))-2031)+((1-dly_d1_s)*MAX(0,MIN(2032+1,2031+1+0)-(MAX(2031,asof)+0))+dly_d1_s*MAX(0,MIN(2032+1,2031+1+dly_d1_m/12)-(MAX(2031,asof)+dly_d1_m/12)))</f>
        <v>1</v>
      </c>
      <c r="M146" s="29" t="n">
        <f aca="false">MAX(0,MIN(2032+1,2032+MAX(0,MIN(1,asof-2032)))-2032)+((1-dly_d1_s)*MAX(0,MIN(2032+1,2032+1+0)-(MAX(2032,asof)+0))+dly_d1_s*MAX(0,MIN(2032+1,2032+1+dly_d1_m/12)-(MAX(2032,asof)+dly_d1_m/12)))</f>
        <v>0.825</v>
      </c>
    </row>
    <row r="148" customFormat="false" ht="17.15" hidden="false" customHeight="false" outlineLevel="0" collapsed="false">
      <c r="A148" s="6" t="s">
        <v>1366</v>
      </c>
      <c r="B148" s="6" t="s">
        <v>1344</v>
      </c>
      <c r="C148" s="6"/>
      <c r="D148" s="6"/>
      <c r="E148" s="7" t="s">
        <v>22</v>
      </c>
      <c r="F148" s="7" t="s">
        <v>23</v>
      </c>
      <c r="G148" s="7" t="s">
        <v>24</v>
      </c>
      <c r="H148" s="7" t="s">
        <v>25</v>
      </c>
      <c r="I148" s="7" t="s">
        <v>26</v>
      </c>
      <c r="J148" s="7" t="s">
        <v>27</v>
      </c>
      <c r="K148" s="7" t="s">
        <v>28</v>
      </c>
      <c r="L148" s="7" t="s">
        <v>29</v>
      </c>
      <c r="M148" s="7" t="s">
        <v>30</v>
      </c>
    </row>
    <row r="149" customFormat="false" ht="17.15" hidden="false" customHeight="false" outlineLevel="0" collapsed="false">
      <c r="A149" s="0" t="s">
        <v>1367</v>
      </c>
      <c r="B149" s="0" t="n">
        <v>2023</v>
      </c>
      <c r="E149" s="29" t="n">
        <f aca="false">MAX(0,MIN(2023+1,2024+MAX(0,MIN(1,asof-2024)))-2024)+IF(AND(2024&gt;=dly_d2_y0,2024&lt;=dly_d2_y1),(1-dly_d2_bind)*((1-dly_d1_s)*MAX(0,MIN(2023+1,2024+1+0)-(MAX(2024,asof)+0))+dly_d1_s*MAX(0,MIN(2023+1,2024+1+dly_d1_m/12)-(MAX(2024,asof)+dly_d1_m/12)))+dly_d2_bind*((1-dly_d1_s)*MAX(0,MIN(2023+1,2024+1+dly_d2_m/12)-(MAX(2024,asof)+dly_d2_m/12))+dly_d1_s*MAX(0,MIN(2023+1,2024+1+(dly_d1_m+dly_d2_m)/12)-(MAX(2024,asof)+(dly_d1_m+dly_d2_m)/12))),((1-dly_d1_s)*MAX(0,MIN(2023+1,2024+1+0)-(MAX(2024,asof)+0))+dly_d1_s*MAX(0,MIN(2023+1,2024+1+dly_d1_m/12)-(MAX(2024,asof)+dly_d1_m/12))))</f>
        <v>0</v>
      </c>
      <c r="F149" s="29" t="n">
        <f aca="false">MAX(0,MIN(2023+1,2025+MAX(0,MIN(1,asof-2025)))-2025)+IF(AND(2025&gt;=dly_d2_y0,2025&lt;=dly_d2_y1),(1-dly_d2_bind)*((1-dly_d1_s)*MAX(0,MIN(2023+1,2025+1+0)-(MAX(2025,asof)+0))+dly_d1_s*MAX(0,MIN(2023+1,2025+1+dly_d1_m/12)-(MAX(2025,asof)+dly_d1_m/12)))+dly_d2_bind*((1-dly_d1_s)*MAX(0,MIN(2023+1,2025+1+dly_d2_m/12)-(MAX(2025,asof)+dly_d2_m/12))+dly_d1_s*MAX(0,MIN(2023+1,2025+1+(dly_d1_m+dly_d2_m)/12)-(MAX(2025,asof)+(dly_d1_m+dly_d2_m)/12))),((1-dly_d1_s)*MAX(0,MIN(2023+1,2025+1+0)-(MAX(2025,asof)+0))+dly_d1_s*MAX(0,MIN(2023+1,2025+1+dly_d1_m/12)-(MAX(2025,asof)+dly_d1_m/12))))</f>
        <v>0</v>
      </c>
      <c r="G149" s="29" t="n">
        <f aca="false">MAX(0,MIN(2023+1,2026+MAX(0,MIN(1,asof-2026)))-2026)+IF(AND(2026&gt;=dly_d2_y0,2026&lt;=dly_d2_y1),(1-dly_d2_bind)*((1-dly_d1_s)*MAX(0,MIN(2023+1,2026+1+0)-(MAX(2026,asof)+0))+dly_d1_s*MAX(0,MIN(2023+1,2026+1+dly_d1_m/12)-(MAX(2026,asof)+dly_d1_m/12)))+dly_d2_bind*((1-dly_d1_s)*MAX(0,MIN(2023+1,2026+1+dly_d2_m/12)-(MAX(2026,asof)+dly_d2_m/12))+dly_d1_s*MAX(0,MIN(2023+1,2026+1+(dly_d1_m+dly_d2_m)/12)-(MAX(2026,asof)+(dly_d1_m+dly_d2_m)/12))),((1-dly_d1_s)*MAX(0,MIN(2023+1,2026+1+0)-(MAX(2026,asof)+0))+dly_d1_s*MAX(0,MIN(2023+1,2026+1+dly_d1_m/12)-(MAX(2026,asof)+dly_d1_m/12))))</f>
        <v>0</v>
      </c>
      <c r="H149" s="29" t="n">
        <f aca="false">MAX(0,MIN(2023+1,2027+MAX(0,MIN(1,asof-2027)))-2027)+IF(AND(2027&gt;=dly_d2_y0,2027&lt;=dly_d2_y1),(1-dly_d2_bind)*((1-dly_d1_s)*MAX(0,MIN(2023+1,2027+1+0)-(MAX(2027,asof)+0))+dly_d1_s*MAX(0,MIN(2023+1,2027+1+dly_d1_m/12)-(MAX(2027,asof)+dly_d1_m/12)))+dly_d2_bind*((1-dly_d1_s)*MAX(0,MIN(2023+1,2027+1+dly_d2_m/12)-(MAX(2027,asof)+dly_d2_m/12))+dly_d1_s*MAX(0,MIN(2023+1,2027+1+(dly_d1_m+dly_d2_m)/12)-(MAX(2027,asof)+(dly_d1_m+dly_d2_m)/12))),((1-dly_d1_s)*MAX(0,MIN(2023+1,2027+1+0)-(MAX(2027,asof)+0))+dly_d1_s*MAX(0,MIN(2023+1,2027+1+dly_d1_m/12)-(MAX(2027,asof)+dly_d1_m/12))))</f>
        <v>0</v>
      </c>
      <c r="I149" s="29" t="n">
        <f aca="false">MAX(0,MIN(2023+1,2028+MAX(0,MIN(1,asof-2028)))-2028)+IF(AND(2028&gt;=dly_d2_y0,2028&lt;=dly_d2_y1),(1-dly_d2_bind)*((1-dly_d1_s)*MAX(0,MIN(2023+1,2028+1+0)-(MAX(2028,asof)+0))+dly_d1_s*MAX(0,MIN(2023+1,2028+1+dly_d1_m/12)-(MAX(2028,asof)+dly_d1_m/12)))+dly_d2_bind*((1-dly_d1_s)*MAX(0,MIN(2023+1,2028+1+dly_d2_m/12)-(MAX(2028,asof)+dly_d2_m/12))+dly_d1_s*MAX(0,MIN(2023+1,2028+1+(dly_d1_m+dly_d2_m)/12)-(MAX(2028,asof)+(dly_d1_m+dly_d2_m)/12))),((1-dly_d1_s)*MAX(0,MIN(2023+1,2028+1+0)-(MAX(2028,asof)+0))+dly_d1_s*MAX(0,MIN(2023+1,2028+1+dly_d1_m/12)-(MAX(2028,asof)+dly_d1_m/12))))</f>
        <v>0</v>
      </c>
      <c r="J149" s="29" t="n">
        <f aca="false">MAX(0,MIN(2023+1,2029+MAX(0,MIN(1,asof-2029)))-2029)+IF(AND(2029&gt;=dly_d2_y0,2029&lt;=dly_d2_y1),(1-dly_d2_bind)*((1-dly_d1_s)*MAX(0,MIN(2023+1,2029+1+0)-(MAX(2029,asof)+0))+dly_d1_s*MAX(0,MIN(2023+1,2029+1+dly_d1_m/12)-(MAX(2029,asof)+dly_d1_m/12)))+dly_d2_bind*((1-dly_d1_s)*MAX(0,MIN(2023+1,2029+1+dly_d2_m/12)-(MAX(2029,asof)+dly_d2_m/12))+dly_d1_s*MAX(0,MIN(2023+1,2029+1+(dly_d1_m+dly_d2_m)/12)-(MAX(2029,asof)+(dly_d1_m+dly_d2_m)/12))),((1-dly_d1_s)*MAX(0,MIN(2023+1,2029+1+0)-(MAX(2029,asof)+0))+dly_d1_s*MAX(0,MIN(2023+1,2029+1+dly_d1_m/12)-(MAX(2029,asof)+dly_d1_m/12))))</f>
        <v>0</v>
      </c>
      <c r="K149" s="29" t="n">
        <f aca="false">MAX(0,MIN(2023+1,2030+MAX(0,MIN(1,asof-2030)))-2030)+IF(AND(2030&gt;=dly_d2_y0,2030&lt;=dly_d2_y1),(1-dly_d2_bind)*((1-dly_d1_s)*MAX(0,MIN(2023+1,2030+1+0)-(MAX(2030,asof)+0))+dly_d1_s*MAX(0,MIN(2023+1,2030+1+dly_d1_m/12)-(MAX(2030,asof)+dly_d1_m/12)))+dly_d2_bind*((1-dly_d1_s)*MAX(0,MIN(2023+1,2030+1+dly_d2_m/12)-(MAX(2030,asof)+dly_d2_m/12))+dly_d1_s*MAX(0,MIN(2023+1,2030+1+(dly_d1_m+dly_d2_m)/12)-(MAX(2030,asof)+(dly_d1_m+dly_d2_m)/12))),((1-dly_d1_s)*MAX(0,MIN(2023+1,2030+1+0)-(MAX(2030,asof)+0))+dly_d1_s*MAX(0,MIN(2023+1,2030+1+dly_d1_m/12)-(MAX(2030,asof)+dly_d1_m/12))))</f>
        <v>0</v>
      </c>
      <c r="L149" s="29" t="n">
        <f aca="false">MAX(0,MIN(2023+1,2031+MAX(0,MIN(1,asof-2031)))-2031)+IF(AND(2031&gt;=dly_d2_y0,2031&lt;=dly_d2_y1),(1-dly_d2_bind)*((1-dly_d1_s)*MAX(0,MIN(2023+1,2031+1+0)-(MAX(2031,asof)+0))+dly_d1_s*MAX(0,MIN(2023+1,2031+1+dly_d1_m/12)-(MAX(2031,asof)+dly_d1_m/12)))+dly_d2_bind*((1-dly_d1_s)*MAX(0,MIN(2023+1,2031+1+dly_d2_m/12)-(MAX(2031,asof)+dly_d2_m/12))+dly_d1_s*MAX(0,MIN(2023+1,2031+1+(dly_d1_m+dly_d2_m)/12)-(MAX(2031,asof)+(dly_d1_m+dly_d2_m)/12))),((1-dly_d1_s)*MAX(0,MIN(2023+1,2031+1+0)-(MAX(2031,asof)+0))+dly_d1_s*MAX(0,MIN(2023+1,2031+1+dly_d1_m/12)-(MAX(2031,asof)+dly_d1_m/12))))</f>
        <v>0</v>
      </c>
      <c r="M149" s="29" t="n">
        <f aca="false">MAX(0,MIN(2023+1,2032+MAX(0,MIN(1,asof-2032)))-2032)+IF(AND(2032&gt;=dly_d2_y0,2032&lt;=dly_d2_y1),(1-dly_d2_bind)*((1-dly_d1_s)*MAX(0,MIN(2023+1,2032+1+0)-(MAX(2032,asof)+0))+dly_d1_s*MAX(0,MIN(2023+1,2032+1+dly_d1_m/12)-(MAX(2032,asof)+dly_d1_m/12)))+dly_d2_bind*((1-dly_d1_s)*MAX(0,MIN(2023+1,2032+1+dly_d2_m/12)-(MAX(2032,asof)+dly_d2_m/12))+dly_d1_s*MAX(0,MIN(2023+1,2032+1+(dly_d1_m+dly_d2_m)/12)-(MAX(2032,asof)+(dly_d1_m+dly_d2_m)/12))),((1-dly_d1_s)*MAX(0,MIN(2023+1,2032+1+0)-(MAX(2032,asof)+0))+dly_d1_s*MAX(0,MIN(2023+1,2032+1+dly_d1_m/12)-(MAX(2032,asof)+dly_d1_m/12))))</f>
        <v>0</v>
      </c>
    </row>
    <row r="150" customFormat="false" ht="17.15" hidden="false" customHeight="false" outlineLevel="0" collapsed="false">
      <c r="A150" s="0" t="s">
        <v>1368</v>
      </c>
      <c r="B150" s="0" t="n">
        <v>2024</v>
      </c>
      <c r="E150" s="29" t="n">
        <f aca="false">MAX(0,MIN(2024+1,2024+MAX(0,MIN(1,asof-2024)))-2024)+IF(AND(2024&gt;=dly_d2_y0,2024&lt;=dly_d2_y1),(1-dly_d2_bind)*((1-dly_d1_s)*MAX(0,MIN(2024+1,2024+1+0)-(MAX(2024,asof)+0))+dly_d1_s*MAX(0,MIN(2024+1,2024+1+dly_d1_m/12)-(MAX(2024,asof)+dly_d1_m/12)))+dly_d2_bind*((1-dly_d1_s)*MAX(0,MIN(2024+1,2024+1+dly_d2_m/12)-(MAX(2024,asof)+dly_d2_m/12))+dly_d1_s*MAX(0,MIN(2024+1,2024+1+(dly_d1_m+dly_d2_m)/12)-(MAX(2024,asof)+(dly_d1_m+dly_d2_m)/12))),((1-dly_d1_s)*MAX(0,MIN(2024+1,2024+1+0)-(MAX(2024,asof)+0))+dly_d1_s*MAX(0,MIN(2024+1,2024+1+dly_d1_m/12)-(MAX(2024,asof)+dly_d1_m/12))))</f>
        <v>1</v>
      </c>
      <c r="F150" s="29" t="n">
        <f aca="false">MAX(0,MIN(2024+1,2025+MAX(0,MIN(1,asof-2025)))-2025)+IF(AND(2025&gt;=dly_d2_y0,2025&lt;=dly_d2_y1),(1-dly_d2_bind)*((1-dly_d1_s)*MAX(0,MIN(2024+1,2025+1+0)-(MAX(2025,asof)+0))+dly_d1_s*MAX(0,MIN(2024+1,2025+1+dly_d1_m/12)-(MAX(2025,asof)+dly_d1_m/12)))+dly_d2_bind*((1-dly_d1_s)*MAX(0,MIN(2024+1,2025+1+dly_d2_m/12)-(MAX(2025,asof)+dly_d2_m/12))+dly_d1_s*MAX(0,MIN(2024+1,2025+1+(dly_d1_m+dly_d2_m)/12)-(MAX(2025,asof)+(dly_d1_m+dly_d2_m)/12))),((1-dly_d1_s)*MAX(0,MIN(2024+1,2025+1+0)-(MAX(2025,asof)+0))+dly_d1_s*MAX(0,MIN(2024+1,2025+1+dly_d1_m/12)-(MAX(2025,asof)+dly_d1_m/12))))</f>
        <v>0</v>
      </c>
      <c r="G150" s="29" t="n">
        <f aca="false">MAX(0,MIN(2024+1,2026+MAX(0,MIN(1,asof-2026)))-2026)+IF(AND(2026&gt;=dly_d2_y0,2026&lt;=dly_d2_y1),(1-dly_d2_bind)*((1-dly_d1_s)*MAX(0,MIN(2024+1,2026+1+0)-(MAX(2026,asof)+0))+dly_d1_s*MAX(0,MIN(2024+1,2026+1+dly_d1_m/12)-(MAX(2026,asof)+dly_d1_m/12)))+dly_d2_bind*((1-dly_d1_s)*MAX(0,MIN(2024+1,2026+1+dly_d2_m/12)-(MAX(2026,asof)+dly_d2_m/12))+dly_d1_s*MAX(0,MIN(2024+1,2026+1+(dly_d1_m+dly_d2_m)/12)-(MAX(2026,asof)+(dly_d1_m+dly_d2_m)/12))),((1-dly_d1_s)*MAX(0,MIN(2024+1,2026+1+0)-(MAX(2026,asof)+0))+dly_d1_s*MAX(0,MIN(2024+1,2026+1+dly_d1_m/12)-(MAX(2026,asof)+dly_d1_m/12))))</f>
        <v>0</v>
      </c>
      <c r="H150" s="29" t="n">
        <f aca="false">MAX(0,MIN(2024+1,2027+MAX(0,MIN(1,asof-2027)))-2027)+IF(AND(2027&gt;=dly_d2_y0,2027&lt;=dly_d2_y1),(1-dly_d2_bind)*((1-dly_d1_s)*MAX(0,MIN(2024+1,2027+1+0)-(MAX(2027,asof)+0))+dly_d1_s*MAX(0,MIN(2024+1,2027+1+dly_d1_m/12)-(MAX(2027,asof)+dly_d1_m/12)))+dly_d2_bind*((1-dly_d1_s)*MAX(0,MIN(2024+1,2027+1+dly_d2_m/12)-(MAX(2027,asof)+dly_d2_m/12))+dly_d1_s*MAX(0,MIN(2024+1,2027+1+(dly_d1_m+dly_d2_m)/12)-(MAX(2027,asof)+(dly_d1_m+dly_d2_m)/12))),((1-dly_d1_s)*MAX(0,MIN(2024+1,2027+1+0)-(MAX(2027,asof)+0))+dly_d1_s*MAX(0,MIN(2024+1,2027+1+dly_d1_m/12)-(MAX(2027,asof)+dly_d1_m/12))))</f>
        <v>0</v>
      </c>
      <c r="I150" s="29" t="n">
        <f aca="false">MAX(0,MIN(2024+1,2028+MAX(0,MIN(1,asof-2028)))-2028)+IF(AND(2028&gt;=dly_d2_y0,2028&lt;=dly_d2_y1),(1-dly_d2_bind)*((1-dly_d1_s)*MAX(0,MIN(2024+1,2028+1+0)-(MAX(2028,asof)+0))+dly_d1_s*MAX(0,MIN(2024+1,2028+1+dly_d1_m/12)-(MAX(2028,asof)+dly_d1_m/12)))+dly_d2_bind*((1-dly_d1_s)*MAX(0,MIN(2024+1,2028+1+dly_d2_m/12)-(MAX(2028,asof)+dly_d2_m/12))+dly_d1_s*MAX(0,MIN(2024+1,2028+1+(dly_d1_m+dly_d2_m)/12)-(MAX(2028,asof)+(dly_d1_m+dly_d2_m)/12))),((1-dly_d1_s)*MAX(0,MIN(2024+1,2028+1+0)-(MAX(2028,asof)+0))+dly_d1_s*MAX(0,MIN(2024+1,2028+1+dly_d1_m/12)-(MAX(2028,asof)+dly_d1_m/12))))</f>
        <v>0</v>
      </c>
      <c r="J150" s="29" t="n">
        <f aca="false">MAX(0,MIN(2024+1,2029+MAX(0,MIN(1,asof-2029)))-2029)+IF(AND(2029&gt;=dly_d2_y0,2029&lt;=dly_d2_y1),(1-dly_d2_bind)*((1-dly_d1_s)*MAX(0,MIN(2024+1,2029+1+0)-(MAX(2029,asof)+0))+dly_d1_s*MAX(0,MIN(2024+1,2029+1+dly_d1_m/12)-(MAX(2029,asof)+dly_d1_m/12)))+dly_d2_bind*((1-dly_d1_s)*MAX(0,MIN(2024+1,2029+1+dly_d2_m/12)-(MAX(2029,asof)+dly_d2_m/12))+dly_d1_s*MAX(0,MIN(2024+1,2029+1+(dly_d1_m+dly_d2_m)/12)-(MAX(2029,asof)+(dly_d1_m+dly_d2_m)/12))),((1-dly_d1_s)*MAX(0,MIN(2024+1,2029+1+0)-(MAX(2029,asof)+0))+dly_d1_s*MAX(0,MIN(2024+1,2029+1+dly_d1_m/12)-(MAX(2029,asof)+dly_d1_m/12))))</f>
        <v>0</v>
      </c>
      <c r="K150" s="29" t="n">
        <f aca="false">MAX(0,MIN(2024+1,2030+MAX(0,MIN(1,asof-2030)))-2030)+IF(AND(2030&gt;=dly_d2_y0,2030&lt;=dly_d2_y1),(1-dly_d2_bind)*((1-dly_d1_s)*MAX(0,MIN(2024+1,2030+1+0)-(MAX(2030,asof)+0))+dly_d1_s*MAX(0,MIN(2024+1,2030+1+dly_d1_m/12)-(MAX(2030,asof)+dly_d1_m/12)))+dly_d2_bind*((1-dly_d1_s)*MAX(0,MIN(2024+1,2030+1+dly_d2_m/12)-(MAX(2030,asof)+dly_d2_m/12))+dly_d1_s*MAX(0,MIN(2024+1,2030+1+(dly_d1_m+dly_d2_m)/12)-(MAX(2030,asof)+(dly_d1_m+dly_d2_m)/12))),((1-dly_d1_s)*MAX(0,MIN(2024+1,2030+1+0)-(MAX(2030,asof)+0))+dly_d1_s*MAX(0,MIN(2024+1,2030+1+dly_d1_m/12)-(MAX(2030,asof)+dly_d1_m/12))))</f>
        <v>0</v>
      </c>
      <c r="L150" s="29" t="n">
        <f aca="false">MAX(0,MIN(2024+1,2031+MAX(0,MIN(1,asof-2031)))-2031)+IF(AND(2031&gt;=dly_d2_y0,2031&lt;=dly_d2_y1),(1-dly_d2_bind)*((1-dly_d1_s)*MAX(0,MIN(2024+1,2031+1+0)-(MAX(2031,asof)+0))+dly_d1_s*MAX(0,MIN(2024+1,2031+1+dly_d1_m/12)-(MAX(2031,asof)+dly_d1_m/12)))+dly_d2_bind*((1-dly_d1_s)*MAX(0,MIN(2024+1,2031+1+dly_d2_m/12)-(MAX(2031,asof)+dly_d2_m/12))+dly_d1_s*MAX(0,MIN(2024+1,2031+1+(dly_d1_m+dly_d2_m)/12)-(MAX(2031,asof)+(dly_d1_m+dly_d2_m)/12))),((1-dly_d1_s)*MAX(0,MIN(2024+1,2031+1+0)-(MAX(2031,asof)+0))+dly_d1_s*MAX(0,MIN(2024+1,2031+1+dly_d1_m/12)-(MAX(2031,asof)+dly_d1_m/12))))</f>
        <v>0</v>
      </c>
      <c r="M150" s="29" t="n">
        <f aca="false">MAX(0,MIN(2024+1,2032+MAX(0,MIN(1,asof-2032)))-2032)+IF(AND(2032&gt;=dly_d2_y0,2032&lt;=dly_d2_y1),(1-dly_d2_bind)*((1-dly_d1_s)*MAX(0,MIN(2024+1,2032+1+0)-(MAX(2032,asof)+0))+dly_d1_s*MAX(0,MIN(2024+1,2032+1+dly_d1_m/12)-(MAX(2032,asof)+dly_d1_m/12)))+dly_d2_bind*((1-dly_d1_s)*MAX(0,MIN(2024+1,2032+1+dly_d2_m/12)-(MAX(2032,asof)+dly_d2_m/12))+dly_d1_s*MAX(0,MIN(2024+1,2032+1+(dly_d1_m+dly_d2_m)/12)-(MAX(2032,asof)+(dly_d1_m+dly_d2_m)/12))),((1-dly_d1_s)*MAX(0,MIN(2024+1,2032+1+0)-(MAX(2032,asof)+0))+dly_d1_s*MAX(0,MIN(2024+1,2032+1+dly_d1_m/12)-(MAX(2032,asof)+dly_d1_m/12))))</f>
        <v>0</v>
      </c>
    </row>
    <row r="151" customFormat="false" ht="17.15" hidden="false" customHeight="false" outlineLevel="0" collapsed="false">
      <c r="A151" s="0" t="s">
        <v>1369</v>
      </c>
      <c r="B151" s="0" t="n">
        <v>2025</v>
      </c>
      <c r="E151" s="29" t="n">
        <f aca="false">MAX(0,MIN(2025+1,2024+MAX(0,MIN(1,asof-2024)))-2024)+IF(AND(2024&gt;=dly_d2_y0,2024&lt;=dly_d2_y1),(1-dly_d2_bind)*((1-dly_d1_s)*MAX(0,MIN(2025+1,2024+1+0)-(MAX(2024,asof)+0))+dly_d1_s*MAX(0,MIN(2025+1,2024+1+dly_d1_m/12)-(MAX(2024,asof)+dly_d1_m/12)))+dly_d2_bind*((1-dly_d1_s)*MAX(0,MIN(2025+1,2024+1+dly_d2_m/12)-(MAX(2024,asof)+dly_d2_m/12))+dly_d1_s*MAX(0,MIN(2025+1,2024+1+(dly_d1_m+dly_d2_m)/12)-(MAX(2024,asof)+(dly_d1_m+dly_d2_m)/12))),((1-dly_d1_s)*MAX(0,MIN(2025+1,2024+1+0)-(MAX(2024,asof)+0))+dly_d1_s*MAX(0,MIN(2025+1,2024+1+dly_d1_m/12)-(MAX(2024,asof)+dly_d1_m/12))))</f>
        <v>1</v>
      </c>
      <c r="F151" s="29" t="n">
        <f aca="false">MAX(0,MIN(2025+1,2025+MAX(0,MIN(1,asof-2025)))-2025)+IF(AND(2025&gt;=dly_d2_y0,2025&lt;=dly_d2_y1),(1-dly_d2_bind)*((1-dly_d1_s)*MAX(0,MIN(2025+1,2025+1+0)-(MAX(2025,asof)+0))+dly_d1_s*MAX(0,MIN(2025+1,2025+1+dly_d1_m/12)-(MAX(2025,asof)+dly_d1_m/12)))+dly_d2_bind*((1-dly_d1_s)*MAX(0,MIN(2025+1,2025+1+dly_d2_m/12)-(MAX(2025,asof)+dly_d2_m/12))+dly_d1_s*MAX(0,MIN(2025+1,2025+1+(dly_d1_m+dly_d2_m)/12)-(MAX(2025,asof)+(dly_d1_m+dly_d2_m)/12))),((1-dly_d1_s)*MAX(0,MIN(2025+1,2025+1+0)-(MAX(2025,asof)+0))+dly_d1_s*MAX(0,MIN(2025+1,2025+1+dly_d1_m/12)-(MAX(2025,asof)+dly_d1_m/12))))</f>
        <v>1</v>
      </c>
      <c r="G151" s="29" t="n">
        <f aca="false">MAX(0,MIN(2025+1,2026+MAX(0,MIN(1,asof-2026)))-2026)+IF(AND(2026&gt;=dly_d2_y0,2026&lt;=dly_d2_y1),(1-dly_d2_bind)*((1-dly_d1_s)*MAX(0,MIN(2025+1,2026+1+0)-(MAX(2026,asof)+0))+dly_d1_s*MAX(0,MIN(2025+1,2026+1+dly_d1_m/12)-(MAX(2026,asof)+dly_d1_m/12)))+dly_d2_bind*((1-dly_d1_s)*MAX(0,MIN(2025+1,2026+1+dly_d2_m/12)-(MAX(2026,asof)+dly_d2_m/12))+dly_d1_s*MAX(0,MIN(2025+1,2026+1+(dly_d1_m+dly_d2_m)/12)-(MAX(2026,asof)+(dly_d1_m+dly_d2_m)/12))),((1-dly_d1_s)*MAX(0,MIN(2025+1,2026+1+0)-(MAX(2026,asof)+0))+dly_d1_s*MAX(0,MIN(2025+1,2026+1+dly_d1_m/12)-(MAX(2026,asof)+dly_d1_m/12))))</f>
        <v>0</v>
      </c>
      <c r="H151" s="29" t="n">
        <f aca="false">MAX(0,MIN(2025+1,2027+MAX(0,MIN(1,asof-2027)))-2027)+IF(AND(2027&gt;=dly_d2_y0,2027&lt;=dly_d2_y1),(1-dly_d2_bind)*((1-dly_d1_s)*MAX(0,MIN(2025+1,2027+1+0)-(MAX(2027,asof)+0))+dly_d1_s*MAX(0,MIN(2025+1,2027+1+dly_d1_m/12)-(MAX(2027,asof)+dly_d1_m/12)))+dly_d2_bind*((1-dly_d1_s)*MAX(0,MIN(2025+1,2027+1+dly_d2_m/12)-(MAX(2027,asof)+dly_d2_m/12))+dly_d1_s*MAX(0,MIN(2025+1,2027+1+(dly_d1_m+dly_d2_m)/12)-(MAX(2027,asof)+(dly_d1_m+dly_d2_m)/12))),((1-dly_d1_s)*MAX(0,MIN(2025+1,2027+1+0)-(MAX(2027,asof)+0))+dly_d1_s*MAX(0,MIN(2025+1,2027+1+dly_d1_m/12)-(MAX(2027,asof)+dly_d1_m/12))))</f>
        <v>0</v>
      </c>
      <c r="I151" s="29" t="n">
        <f aca="false">MAX(0,MIN(2025+1,2028+MAX(0,MIN(1,asof-2028)))-2028)+IF(AND(2028&gt;=dly_d2_y0,2028&lt;=dly_d2_y1),(1-dly_d2_bind)*((1-dly_d1_s)*MAX(0,MIN(2025+1,2028+1+0)-(MAX(2028,asof)+0))+dly_d1_s*MAX(0,MIN(2025+1,2028+1+dly_d1_m/12)-(MAX(2028,asof)+dly_d1_m/12)))+dly_d2_bind*((1-dly_d1_s)*MAX(0,MIN(2025+1,2028+1+dly_d2_m/12)-(MAX(2028,asof)+dly_d2_m/12))+dly_d1_s*MAX(0,MIN(2025+1,2028+1+(dly_d1_m+dly_d2_m)/12)-(MAX(2028,asof)+(dly_d1_m+dly_d2_m)/12))),((1-dly_d1_s)*MAX(0,MIN(2025+1,2028+1+0)-(MAX(2028,asof)+0))+dly_d1_s*MAX(0,MIN(2025+1,2028+1+dly_d1_m/12)-(MAX(2028,asof)+dly_d1_m/12))))</f>
        <v>0</v>
      </c>
      <c r="J151" s="29" t="n">
        <f aca="false">MAX(0,MIN(2025+1,2029+MAX(0,MIN(1,asof-2029)))-2029)+IF(AND(2029&gt;=dly_d2_y0,2029&lt;=dly_d2_y1),(1-dly_d2_bind)*((1-dly_d1_s)*MAX(0,MIN(2025+1,2029+1+0)-(MAX(2029,asof)+0))+dly_d1_s*MAX(0,MIN(2025+1,2029+1+dly_d1_m/12)-(MAX(2029,asof)+dly_d1_m/12)))+dly_d2_bind*((1-dly_d1_s)*MAX(0,MIN(2025+1,2029+1+dly_d2_m/12)-(MAX(2029,asof)+dly_d2_m/12))+dly_d1_s*MAX(0,MIN(2025+1,2029+1+(dly_d1_m+dly_d2_m)/12)-(MAX(2029,asof)+(dly_d1_m+dly_d2_m)/12))),((1-dly_d1_s)*MAX(0,MIN(2025+1,2029+1+0)-(MAX(2029,asof)+0))+dly_d1_s*MAX(0,MIN(2025+1,2029+1+dly_d1_m/12)-(MAX(2029,asof)+dly_d1_m/12))))</f>
        <v>0</v>
      </c>
      <c r="K151" s="29" t="n">
        <f aca="false">MAX(0,MIN(2025+1,2030+MAX(0,MIN(1,asof-2030)))-2030)+IF(AND(2030&gt;=dly_d2_y0,2030&lt;=dly_d2_y1),(1-dly_d2_bind)*((1-dly_d1_s)*MAX(0,MIN(2025+1,2030+1+0)-(MAX(2030,asof)+0))+dly_d1_s*MAX(0,MIN(2025+1,2030+1+dly_d1_m/12)-(MAX(2030,asof)+dly_d1_m/12)))+dly_d2_bind*((1-dly_d1_s)*MAX(0,MIN(2025+1,2030+1+dly_d2_m/12)-(MAX(2030,asof)+dly_d2_m/12))+dly_d1_s*MAX(0,MIN(2025+1,2030+1+(dly_d1_m+dly_d2_m)/12)-(MAX(2030,asof)+(dly_d1_m+dly_d2_m)/12))),((1-dly_d1_s)*MAX(0,MIN(2025+1,2030+1+0)-(MAX(2030,asof)+0))+dly_d1_s*MAX(0,MIN(2025+1,2030+1+dly_d1_m/12)-(MAX(2030,asof)+dly_d1_m/12))))</f>
        <v>0</v>
      </c>
      <c r="L151" s="29" t="n">
        <f aca="false">MAX(0,MIN(2025+1,2031+MAX(0,MIN(1,asof-2031)))-2031)+IF(AND(2031&gt;=dly_d2_y0,2031&lt;=dly_d2_y1),(1-dly_d2_bind)*((1-dly_d1_s)*MAX(0,MIN(2025+1,2031+1+0)-(MAX(2031,asof)+0))+dly_d1_s*MAX(0,MIN(2025+1,2031+1+dly_d1_m/12)-(MAX(2031,asof)+dly_d1_m/12)))+dly_d2_bind*((1-dly_d1_s)*MAX(0,MIN(2025+1,2031+1+dly_d2_m/12)-(MAX(2031,asof)+dly_d2_m/12))+dly_d1_s*MAX(0,MIN(2025+1,2031+1+(dly_d1_m+dly_d2_m)/12)-(MAX(2031,asof)+(dly_d1_m+dly_d2_m)/12))),((1-dly_d1_s)*MAX(0,MIN(2025+1,2031+1+0)-(MAX(2031,asof)+0))+dly_d1_s*MAX(0,MIN(2025+1,2031+1+dly_d1_m/12)-(MAX(2031,asof)+dly_d1_m/12))))</f>
        <v>0</v>
      </c>
      <c r="M151" s="29" t="n">
        <f aca="false">MAX(0,MIN(2025+1,2032+MAX(0,MIN(1,asof-2032)))-2032)+IF(AND(2032&gt;=dly_d2_y0,2032&lt;=dly_d2_y1),(1-dly_d2_bind)*((1-dly_d1_s)*MAX(0,MIN(2025+1,2032+1+0)-(MAX(2032,asof)+0))+dly_d1_s*MAX(0,MIN(2025+1,2032+1+dly_d1_m/12)-(MAX(2032,asof)+dly_d1_m/12)))+dly_d2_bind*((1-dly_d1_s)*MAX(0,MIN(2025+1,2032+1+dly_d2_m/12)-(MAX(2032,asof)+dly_d2_m/12))+dly_d1_s*MAX(0,MIN(2025+1,2032+1+(dly_d1_m+dly_d2_m)/12)-(MAX(2032,asof)+(dly_d1_m+dly_d2_m)/12))),((1-dly_d1_s)*MAX(0,MIN(2025+1,2032+1+0)-(MAX(2032,asof)+0))+dly_d1_s*MAX(0,MIN(2025+1,2032+1+dly_d1_m/12)-(MAX(2032,asof)+dly_d1_m/12))))</f>
        <v>0</v>
      </c>
    </row>
    <row r="152" customFormat="false" ht="17.15" hidden="false" customHeight="false" outlineLevel="0" collapsed="false">
      <c r="A152" s="0" t="s">
        <v>1370</v>
      </c>
      <c r="B152" s="0" t="n">
        <v>2026</v>
      </c>
      <c r="E152" s="29" t="n">
        <f aca="false">MAX(0,MIN(2026+1,2024+MAX(0,MIN(1,asof-2024)))-2024)+IF(AND(2024&gt;=dly_d2_y0,2024&lt;=dly_d2_y1),(1-dly_d2_bind)*((1-dly_d1_s)*MAX(0,MIN(2026+1,2024+1+0)-(MAX(2024,asof)+0))+dly_d1_s*MAX(0,MIN(2026+1,2024+1+dly_d1_m/12)-(MAX(2024,asof)+dly_d1_m/12)))+dly_d2_bind*((1-dly_d1_s)*MAX(0,MIN(2026+1,2024+1+dly_d2_m/12)-(MAX(2024,asof)+dly_d2_m/12))+dly_d1_s*MAX(0,MIN(2026+1,2024+1+(dly_d1_m+dly_d2_m)/12)-(MAX(2024,asof)+(dly_d1_m+dly_d2_m)/12))),((1-dly_d1_s)*MAX(0,MIN(2026+1,2024+1+0)-(MAX(2024,asof)+0))+dly_d1_s*MAX(0,MIN(2026+1,2024+1+dly_d1_m/12)-(MAX(2024,asof)+dly_d1_m/12))))</f>
        <v>1</v>
      </c>
      <c r="F152" s="29" t="n">
        <f aca="false">MAX(0,MIN(2026+1,2025+MAX(0,MIN(1,asof-2025)))-2025)+IF(AND(2025&gt;=dly_d2_y0,2025&lt;=dly_d2_y1),(1-dly_d2_bind)*((1-dly_d1_s)*MAX(0,MIN(2026+1,2025+1+0)-(MAX(2025,asof)+0))+dly_d1_s*MAX(0,MIN(2026+1,2025+1+dly_d1_m/12)-(MAX(2025,asof)+dly_d1_m/12)))+dly_d2_bind*((1-dly_d1_s)*MAX(0,MIN(2026+1,2025+1+dly_d2_m/12)-(MAX(2025,asof)+dly_d2_m/12))+dly_d1_s*MAX(0,MIN(2026+1,2025+1+(dly_d1_m+dly_d2_m)/12)-(MAX(2025,asof)+(dly_d1_m+dly_d2_m)/12))),((1-dly_d1_s)*MAX(0,MIN(2026+1,2025+1+0)-(MAX(2025,asof)+0))+dly_d1_s*MAX(0,MIN(2026+1,2025+1+dly_d1_m/12)-(MAX(2025,asof)+dly_d1_m/12))))</f>
        <v>1</v>
      </c>
      <c r="G152" s="29" t="n">
        <f aca="false">MAX(0,MIN(2026+1,2026+MAX(0,MIN(1,asof-2026)))-2026)+IF(AND(2026&gt;=dly_d2_y0,2026&lt;=dly_d2_y1),(1-dly_d2_bind)*((1-dly_d1_s)*MAX(0,MIN(2026+1,2026+1+0)-(MAX(2026,asof)+0))+dly_d1_s*MAX(0,MIN(2026+1,2026+1+dly_d1_m/12)-(MAX(2026,asof)+dly_d1_m/12)))+dly_d2_bind*((1-dly_d1_s)*MAX(0,MIN(2026+1,2026+1+dly_d2_m/12)-(MAX(2026,asof)+dly_d2_m/12))+dly_d1_s*MAX(0,MIN(2026+1,2026+1+(dly_d1_m+dly_d2_m)/12)-(MAX(2026,asof)+(dly_d1_m+dly_d2_m)/12))),((1-dly_d1_s)*MAX(0,MIN(2026+1,2026+1+0)-(MAX(2026,asof)+0))+dly_d1_s*MAX(0,MIN(2026+1,2026+1+dly_d1_m/12)-(MAX(2026,asof)+dly_d1_m/12))))</f>
        <v>0.938750000000016</v>
      </c>
      <c r="H152" s="29" t="n">
        <f aca="false">MAX(0,MIN(2026+1,2027+MAX(0,MIN(1,asof-2027)))-2027)+IF(AND(2027&gt;=dly_d2_y0,2027&lt;=dly_d2_y1),(1-dly_d2_bind)*((1-dly_d1_s)*MAX(0,MIN(2026+1,2027+1+0)-(MAX(2027,asof)+0))+dly_d1_s*MAX(0,MIN(2026+1,2027+1+dly_d1_m/12)-(MAX(2027,asof)+dly_d1_m/12)))+dly_d2_bind*((1-dly_d1_s)*MAX(0,MIN(2026+1,2027+1+dly_d2_m/12)-(MAX(2027,asof)+dly_d2_m/12))+dly_d1_s*MAX(0,MIN(2026+1,2027+1+(dly_d1_m+dly_d2_m)/12)-(MAX(2027,asof)+(dly_d1_m+dly_d2_m)/12))),((1-dly_d1_s)*MAX(0,MIN(2026+1,2027+1+0)-(MAX(2027,asof)+0))+dly_d1_s*MAX(0,MIN(2026+1,2027+1+dly_d1_m/12)-(MAX(2027,asof)+dly_d1_m/12))))</f>
        <v>0</v>
      </c>
      <c r="I152" s="29" t="n">
        <f aca="false">MAX(0,MIN(2026+1,2028+MAX(0,MIN(1,asof-2028)))-2028)+IF(AND(2028&gt;=dly_d2_y0,2028&lt;=dly_d2_y1),(1-dly_d2_bind)*((1-dly_d1_s)*MAX(0,MIN(2026+1,2028+1+0)-(MAX(2028,asof)+0))+dly_d1_s*MAX(0,MIN(2026+1,2028+1+dly_d1_m/12)-(MAX(2028,asof)+dly_d1_m/12)))+dly_d2_bind*((1-dly_d1_s)*MAX(0,MIN(2026+1,2028+1+dly_d2_m/12)-(MAX(2028,asof)+dly_d2_m/12))+dly_d1_s*MAX(0,MIN(2026+1,2028+1+(dly_d1_m+dly_d2_m)/12)-(MAX(2028,asof)+(dly_d1_m+dly_d2_m)/12))),((1-dly_d1_s)*MAX(0,MIN(2026+1,2028+1+0)-(MAX(2028,asof)+0))+dly_d1_s*MAX(0,MIN(2026+1,2028+1+dly_d1_m/12)-(MAX(2028,asof)+dly_d1_m/12))))</f>
        <v>0</v>
      </c>
      <c r="J152" s="29" t="n">
        <f aca="false">MAX(0,MIN(2026+1,2029+MAX(0,MIN(1,asof-2029)))-2029)+IF(AND(2029&gt;=dly_d2_y0,2029&lt;=dly_d2_y1),(1-dly_d2_bind)*((1-dly_d1_s)*MAX(0,MIN(2026+1,2029+1+0)-(MAX(2029,asof)+0))+dly_d1_s*MAX(0,MIN(2026+1,2029+1+dly_d1_m/12)-(MAX(2029,asof)+dly_d1_m/12)))+dly_d2_bind*((1-dly_d1_s)*MAX(0,MIN(2026+1,2029+1+dly_d2_m/12)-(MAX(2029,asof)+dly_d2_m/12))+dly_d1_s*MAX(0,MIN(2026+1,2029+1+(dly_d1_m+dly_d2_m)/12)-(MAX(2029,asof)+(dly_d1_m+dly_d2_m)/12))),((1-dly_d1_s)*MAX(0,MIN(2026+1,2029+1+0)-(MAX(2029,asof)+0))+dly_d1_s*MAX(0,MIN(2026+1,2029+1+dly_d1_m/12)-(MAX(2029,asof)+dly_d1_m/12))))</f>
        <v>0</v>
      </c>
      <c r="K152" s="29" t="n">
        <f aca="false">MAX(0,MIN(2026+1,2030+MAX(0,MIN(1,asof-2030)))-2030)+IF(AND(2030&gt;=dly_d2_y0,2030&lt;=dly_d2_y1),(1-dly_d2_bind)*((1-dly_d1_s)*MAX(0,MIN(2026+1,2030+1+0)-(MAX(2030,asof)+0))+dly_d1_s*MAX(0,MIN(2026+1,2030+1+dly_d1_m/12)-(MAX(2030,asof)+dly_d1_m/12)))+dly_d2_bind*((1-dly_d1_s)*MAX(0,MIN(2026+1,2030+1+dly_d2_m/12)-(MAX(2030,asof)+dly_d2_m/12))+dly_d1_s*MAX(0,MIN(2026+1,2030+1+(dly_d1_m+dly_d2_m)/12)-(MAX(2030,asof)+(dly_d1_m+dly_d2_m)/12))),((1-dly_d1_s)*MAX(0,MIN(2026+1,2030+1+0)-(MAX(2030,asof)+0))+dly_d1_s*MAX(0,MIN(2026+1,2030+1+dly_d1_m/12)-(MAX(2030,asof)+dly_d1_m/12))))</f>
        <v>0</v>
      </c>
      <c r="L152" s="29" t="n">
        <f aca="false">MAX(0,MIN(2026+1,2031+MAX(0,MIN(1,asof-2031)))-2031)+IF(AND(2031&gt;=dly_d2_y0,2031&lt;=dly_d2_y1),(1-dly_d2_bind)*((1-dly_d1_s)*MAX(0,MIN(2026+1,2031+1+0)-(MAX(2031,asof)+0))+dly_d1_s*MAX(0,MIN(2026+1,2031+1+dly_d1_m/12)-(MAX(2031,asof)+dly_d1_m/12)))+dly_d2_bind*((1-dly_d1_s)*MAX(0,MIN(2026+1,2031+1+dly_d2_m/12)-(MAX(2031,asof)+dly_d2_m/12))+dly_d1_s*MAX(0,MIN(2026+1,2031+1+(dly_d1_m+dly_d2_m)/12)-(MAX(2031,asof)+(dly_d1_m+dly_d2_m)/12))),((1-dly_d1_s)*MAX(0,MIN(2026+1,2031+1+0)-(MAX(2031,asof)+0))+dly_d1_s*MAX(0,MIN(2026+1,2031+1+dly_d1_m/12)-(MAX(2031,asof)+dly_d1_m/12))))</f>
        <v>0</v>
      </c>
      <c r="M152" s="29" t="n">
        <f aca="false">MAX(0,MIN(2026+1,2032+MAX(0,MIN(1,asof-2032)))-2032)+IF(AND(2032&gt;=dly_d2_y0,2032&lt;=dly_d2_y1),(1-dly_d2_bind)*((1-dly_d1_s)*MAX(0,MIN(2026+1,2032+1+0)-(MAX(2032,asof)+0))+dly_d1_s*MAX(0,MIN(2026+1,2032+1+dly_d1_m/12)-(MAX(2032,asof)+dly_d1_m/12)))+dly_d2_bind*((1-dly_d1_s)*MAX(0,MIN(2026+1,2032+1+dly_d2_m/12)-(MAX(2032,asof)+dly_d2_m/12))+dly_d1_s*MAX(0,MIN(2026+1,2032+1+(dly_d1_m+dly_d2_m)/12)-(MAX(2032,asof)+(dly_d1_m+dly_d2_m)/12))),((1-dly_d1_s)*MAX(0,MIN(2026+1,2032+1+0)-(MAX(2032,asof)+0))+dly_d1_s*MAX(0,MIN(2026+1,2032+1+dly_d1_m/12)-(MAX(2032,asof)+dly_d1_m/12))))</f>
        <v>0</v>
      </c>
    </row>
    <row r="153" customFormat="false" ht="17.15" hidden="false" customHeight="false" outlineLevel="0" collapsed="false">
      <c r="A153" s="0" t="s">
        <v>1371</v>
      </c>
      <c r="B153" s="0" t="n">
        <v>2027</v>
      </c>
      <c r="E153" s="29" t="n">
        <f aca="false">MAX(0,MIN(2027+1,2024+MAX(0,MIN(1,asof-2024)))-2024)+IF(AND(2024&gt;=dly_d2_y0,2024&lt;=dly_d2_y1),(1-dly_d2_bind)*((1-dly_d1_s)*MAX(0,MIN(2027+1,2024+1+0)-(MAX(2024,asof)+0))+dly_d1_s*MAX(0,MIN(2027+1,2024+1+dly_d1_m/12)-(MAX(2024,asof)+dly_d1_m/12)))+dly_d2_bind*((1-dly_d1_s)*MAX(0,MIN(2027+1,2024+1+dly_d2_m/12)-(MAX(2024,asof)+dly_d2_m/12))+dly_d1_s*MAX(0,MIN(2027+1,2024+1+(dly_d1_m+dly_d2_m)/12)-(MAX(2024,asof)+(dly_d1_m+dly_d2_m)/12))),((1-dly_d1_s)*MAX(0,MIN(2027+1,2024+1+0)-(MAX(2024,asof)+0))+dly_d1_s*MAX(0,MIN(2027+1,2024+1+dly_d1_m/12)-(MAX(2024,asof)+dly_d1_m/12))))</f>
        <v>1</v>
      </c>
      <c r="F153" s="29" t="n">
        <f aca="false">MAX(0,MIN(2027+1,2025+MAX(0,MIN(1,asof-2025)))-2025)+IF(AND(2025&gt;=dly_d2_y0,2025&lt;=dly_d2_y1),(1-dly_d2_bind)*((1-dly_d1_s)*MAX(0,MIN(2027+1,2025+1+0)-(MAX(2025,asof)+0))+dly_d1_s*MAX(0,MIN(2027+1,2025+1+dly_d1_m/12)-(MAX(2025,asof)+dly_d1_m/12)))+dly_d2_bind*((1-dly_d1_s)*MAX(0,MIN(2027+1,2025+1+dly_d2_m/12)-(MAX(2025,asof)+dly_d2_m/12))+dly_d1_s*MAX(0,MIN(2027+1,2025+1+(dly_d1_m+dly_d2_m)/12)-(MAX(2025,asof)+(dly_d1_m+dly_d2_m)/12))),((1-dly_d1_s)*MAX(0,MIN(2027+1,2025+1+0)-(MAX(2025,asof)+0))+dly_d1_s*MAX(0,MIN(2027+1,2025+1+dly_d1_m/12)-(MAX(2025,asof)+dly_d1_m/12))))</f>
        <v>1</v>
      </c>
      <c r="G153" s="29" t="n">
        <f aca="false">MAX(0,MIN(2027+1,2026+MAX(0,MIN(1,asof-2026)))-2026)+IF(AND(2026&gt;=dly_d2_y0,2026&lt;=dly_d2_y1),(1-dly_d2_bind)*((1-dly_d1_s)*MAX(0,MIN(2027+1,2026+1+0)-(MAX(2026,asof)+0))+dly_d1_s*MAX(0,MIN(2027+1,2026+1+dly_d1_m/12)-(MAX(2026,asof)+dly_d1_m/12)))+dly_d2_bind*((1-dly_d1_s)*MAX(0,MIN(2027+1,2026+1+dly_d2_m/12)-(MAX(2026,asof)+dly_d2_m/12))+dly_d1_s*MAX(0,MIN(2027+1,2026+1+(dly_d1_m+dly_d2_m)/12)-(MAX(2026,asof)+(dly_d1_m+dly_d2_m)/12))),((1-dly_d1_s)*MAX(0,MIN(2027+1,2026+1+0)-(MAX(2026,asof)+0))+dly_d1_s*MAX(0,MIN(2027+1,2026+1+dly_d1_m/12)-(MAX(2026,asof)+dly_d1_m/12))))</f>
        <v>1</v>
      </c>
      <c r="H153" s="29" t="n">
        <f aca="false">MAX(0,MIN(2027+1,2027+MAX(0,MIN(1,asof-2027)))-2027)+IF(AND(2027&gt;=dly_d2_y0,2027&lt;=dly_d2_y1),(1-dly_d2_bind)*((1-dly_d1_s)*MAX(0,MIN(2027+1,2027+1+0)-(MAX(2027,asof)+0))+dly_d1_s*MAX(0,MIN(2027+1,2027+1+dly_d1_m/12)-(MAX(2027,asof)+dly_d1_m/12)))+dly_d2_bind*((1-dly_d1_s)*MAX(0,MIN(2027+1,2027+1+dly_d2_m/12)-(MAX(2027,asof)+dly_d2_m/12))+dly_d1_s*MAX(0,MIN(2027+1,2027+1+(dly_d1_m+dly_d2_m)/12)-(MAX(2027,asof)+(dly_d1_m+dly_d2_m)/12))),((1-dly_d1_s)*MAX(0,MIN(2027+1,2027+1+0)-(MAX(2027,asof)+0))+dly_d1_s*MAX(0,MIN(2027+1,2027+1+dly_d1_m/12)-(MAX(2027,asof)+dly_d1_m/12))))</f>
        <v>0.495</v>
      </c>
      <c r="I153" s="29" t="n">
        <f aca="false">MAX(0,MIN(2027+1,2028+MAX(0,MIN(1,asof-2028)))-2028)+IF(AND(2028&gt;=dly_d2_y0,2028&lt;=dly_d2_y1),(1-dly_d2_bind)*((1-dly_d1_s)*MAX(0,MIN(2027+1,2028+1+0)-(MAX(2028,asof)+0))+dly_d1_s*MAX(0,MIN(2027+1,2028+1+dly_d1_m/12)-(MAX(2028,asof)+dly_d1_m/12)))+dly_d2_bind*((1-dly_d1_s)*MAX(0,MIN(2027+1,2028+1+dly_d2_m/12)-(MAX(2028,asof)+dly_d2_m/12))+dly_d1_s*MAX(0,MIN(2027+1,2028+1+(dly_d1_m+dly_d2_m)/12)-(MAX(2028,asof)+(dly_d1_m+dly_d2_m)/12))),((1-dly_d1_s)*MAX(0,MIN(2027+1,2028+1+0)-(MAX(2028,asof)+0))+dly_d1_s*MAX(0,MIN(2027+1,2028+1+dly_d1_m/12)-(MAX(2028,asof)+dly_d1_m/12))))</f>
        <v>0</v>
      </c>
      <c r="J153" s="29" t="n">
        <f aca="false">MAX(0,MIN(2027+1,2029+MAX(0,MIN(1,asof-2029)))-2029)+IF(AND(2029&gt;=dly_d2_y0,2029&lt;=dly_d2_y1),(1-dly_d2_bind)*((1-dly_d1_s)*MAX(0,MIN(2027+1,2029+1+0)-(MAX(2029,asof)+0))+dly_d1_s*MAX(0,MIN(2027+1,2029+1+dly_d1_m/12)-(MAX(2029,asof)+dly_d1_m/12)))+dly_d2_bind*((1-dly_d1_s)*MAX(0,MIN(2027+1,2029+1+dly_d2_m/12)-(MAX(2029,asof)+dly_d2_m/12))+dly_d1_s*MAX(0,MIN(2027+1,2029+1+(dly_d1_m+dly_d2_m)/12)-(MAX(2029,asof)+(dly_d1_m+dly_d2_m)/12))),((1-dly_d1_s)*MAX(0,MIN(2027+1,2029+1+0)-(MAX(2029,asof)+0))+dly_d1_s*MAX(0,MIN(2027+1,2029+1+dly_d1_m/12)-(MAX(2029,asof)+dly_d1_m/12))))</f>
        <v>0</v>
      </c>
      <c r="K153" s="29" t="n">
        <f aca="false">MAX(0,MIN(2027+1,2030+MAX(0,MIN(1,asof-2030)))-2030)+IF(AND(2030&gt;=dly_d2_y0,2030&lt;=dly_d2_y1),(1-dly_d2_bind)*((1-dly_d1_s)*MAX(0,MIN(2027+1,2030+1+0)-(MAX(2030,asof)+0))+dly_d1_s*MAX(0,MIN(2027+1,2030+1+dly_d1_m/12)-(MAX(2030,asof)+dly_d1_m/12)))+dly_d2_bind*((1-dly_d1_s)*MAX(0,MIN(2027+1,2030+1+dly_d2_m/12)-(MAX(2030,asof)+dly_d2_m/12))+dly_d1_s*MAX(0,MIN(2027+1,2030+1+(dly_d1_m+dly_d2_m)/12)-(MAX(2030,asof)+(dly_d1_m+dly_d2_m)/12))),((1-dly_d1_s)*MAX(0,MIN(2027+1,2030+1+0)-(MAX(2030,asof)+0))+dly_d1_s*MAX(0,MIN(2027+1,2030+1+dly_d1_m/12)-(MAX(2030,asof)+dly_d1_m/12))))</f>
        <v>0</v>
      </c>
      <c r="L153" s="29" t="n">
        <f aca="false">MAX(0,MIN(2027+1,2031+MAX(0,MIN(1,asof-2031)))-2031)+IF(AND(2031&gt;=dly_d2_y0,2031&lt;=dly_d2_y1),(1-dly_d2_bind)*((1-dly_d1_s)*MAX(0,MIN(2027+1,2031+1+0)-(MAX(2031,asof)+0))+dly_d1_s*MAX(0,MIN(2027+1,2031+1+dly_d1_m/12)-(MAX(2031,asof)+dly_d1_m/12)))+dly_d2_bind*((1-dly_d1_s)*MAX(0,MIN(2027+1,2031+1+dly_d2_m/12)-(MAX(2031,asof)+dly_d2_m/12))+dly_d1_s*MAX(0,MIN(2027+1,2031+1+(dly_d1_m+dly_d2_m)/12)-(MAX(2031,asof)+(dly_d1_m+dly_d2_m)/12))),((1-dly_d1_s)*MAX(0,MIN(2027+1,2031+1+0)-(MAX(2031,asof)+0))+dly_d1_s*MAX(0,MIN(2027+1,2031+1+dly_d1_m/12)-(MAX(2031,asof)+dly_d1_m/12))))</f>
        <v>0</v>
      </c>
      <c r="M153" s="29" t="n">
        <f aca="false">MAX(0,MIN(2027+1,2032+MAX(0,MIN(1,asof-2032)))-2032)+IF(AND(2032&gt;=dly_d2_y0,2032&lt;=dly_d2_y1),(1-dly_d2_bind)*((1-dly_d1_s)*MAX(0,MIN(2027+1,2032+1+0)-(MAX(2032,asof)+0))+dly_d1_s*MAX(0,MIN(2027+1,2032+1+dly_d1_m/12)-(MAX(2032,asof)+dly_d1_m/12)))+dly_d2_bind*((1-dly_d1_s)*MAX(0,MIN(2027+1,2032+1+dly_d2_m/12)-(MAX(2032,asof)+dly_d2_m/12))+dly_d1_s*MAX(0,MIN(2027+1,2032+1+(dly_d1_m+dly_d2_m)/12)-(MAX(2032,asof)+(dly_d1_m+dly_d2_m)/12))),((1-dly_d1_s)*MAX(0,MIN(2027+1,2032+1+0)-(MAX(2032,asof)+0))+dly_d1_s*MAX(0,MIN(2027+1,2032+1+dly_d1_m/12)-(MAX(2032,asof)+dly_d1_m/12))))</f>
        <v>0</v>
      </c>
    </row>
    <row r="154" customFormat="false" ht="17.15" hidden="false" customHeight="false" outlineLevel="0" collapsed="false">
      <c r="A154" s="0" t="s">
        <v>1372</v>
      </c>
      <c r="B154" s="0" t="n">
        <v>2028</v>
      </c>
      <c r="E154" s="29" t="n">
        <f aca="false">MAX(0,MIN(2028+1,2024+MAX(0,MIN(1,asof-2024)))-2024)+IF(AND(2024&gt;=dly_d2_y0,2024&lt;=dly_d2_y1),(1-dly_d2_bind)*((1-dly_d1_s)*MAX(0,MIN(2028+1,2024+1+0)-(MAX(2024,asof)+0))+dly_d1_s*MAX(0,MIN(2028+1,2024+1+dly_d1_m/12)-(MAX(2024,asof)+dly_d1_m/12)))+dly_d2_bind*((1-dly_d1_s)*MAX(0,MIN(2028+1,2024+1+dly_d2_m/12)-(MAX(2024,asof)+dly_d2_m/12))+dly_d1_s*MAX(0,MIN(2028+1,2024+1+(dly_d1_m+dly_d2_m)/12)-(MAX(2024,asof)+(dly_d1_m+dly_d2_m)/12))),((1-dly_d1_s)*MAX(0,MIN(2028+1,2024+1+0)-(MAX(2024,asof)+0))+dly_d1_s*MAX(0,MIN(2028+1,2024+1+dly_d1_m/12)-(MAX(2024,asof)+dly_d1_m/12))))</f>
        <v>1</v>
      </c>
      <c r="F154" s="29" t="n">
        <f aca="false">MAX(0,MIN(2028+1,2025+MAX(0,MIN(1,asof-2025)))-2025)+IF(AND(2025&gt;=dly_d2_y0,2025&lt;=dly_d2_y1),(1-dly_d2_bind)*((1-dly_d1_s)*MAX(0,MIN(2028+1,2025+1+0)-(MAX(2025,asof)+0))+dly_d1_s*MAX(0,MIN(2028+1,2025+1+dly_d1_m/12)-(MAX(2025,asof)+dly_d1_m/12)))+dly_d2_bind*((1-dly_d1_s)*MAX(0,MIN(2028+1,2025+1+dly_d2_m/12)-(MAX(2025,asof)+dly_d2_m/12))+dly_d1_s*MAX(0,MIN(2028+1,2025+1+(dly_d1_m+dly_d2_m)/12)-(MAX(2025,asof)+(dly_d1_m+dly_d2_m)/12))),((1-dly_d1_s)*MAX(0,MIN(2028+1,2025+1+0)-(MAX(2025,asof)+0))+dly_d1_s*MAX(0,MIN(2028+1,2025+1+dly_d1_m/12)-(MAX(2025,asof)+dly_d1_m/12))))</f>
        <v>1</v>
      </c>
      <c r="G154" s="29" t="n">
        <f aca="false">MAX(0,MIN(2028+1,2026+MAX(0,MIN(1,asof-2026)))-2026)+IF(AND(2026&gt;=dly_d2_y0,2026&lt;=dly_d2_y1),(1-dly_d2_bind)*((1-dly_d1_s)*MAX(0,MIN(2028+1,2026+1+0)-(MAX(2026,asof)+0))+dly_d1_s*MAX(0,MIN(2028+1,2026+1+dly_d1_m/12)-(MAX(2026,asof)+dly_d1_m/12)))+dly_d2_bind*((1-dly_d1_s)*MAX(0,MIN(2028+1,2026+1+dly_d2_m/12)-(MAX(2026,asof)+dly_d2_m/12))+dly_d1_s*MAX(0,MIN(2028+1,2026+1+(dly_d1_m+dly_d2_m)/12)-(MAX(2026,asof)+(dly_d1_m+dly_d2_m)/12))),((1-dly_d1_s)*MAX(0,MIN(2028+1,2026+1+0)-(MAX(2026,asof)+0))+dly_d1_s*MAX(0,MIN(2028+1,2026+1+dly_d1_m/12)-(MAX(2026,asof)+dly_d1_m/12))))</f>
        <v>1</v>
      </c>
      <c r="H154" s="29" t="n">
        <f aca="false">MAX(0,MIN(2028+1,2027+MAX(0,MIN(1,asof-2027)))-2027)+IF(AND(2027&gt;=dly_d2_y0,2027&lt;=dly_d2_y1),(1-dly_d2_bind)*((1-dly_d1_s)*MAX(0,MIN(2028+1,2027+1+0)-(MAX(2027,asof)+0))+dly_d1_s*MAX(0,MIN(2028+1,2027+1+dly_d1_m/12)-(MAX(2027,asof)+dly_d1_m/12)))+dly_d2_bind*((1-dly_d1_s)*MAX(0,MIN(2028+1,2027+1+dly_d2_m/12)-(MAX(2027,asof)+dly_d2_m/12))+dly_d1_s*MAX(0,MIN(2028+1,2027+1+(dly_d1_m+dly_d2_m)/12)-(MAX(2027,asof)+(dly_d1_m+dly_d2_m)/12))),((1-dly_d1_s)*MAX(0,MIN(2028+1,2027+1+0)-(MAX(2027,asof)+0))+dly_d1_s*MAX(0,MIN(2028+1,2027+1+dly_d1_m/12)-(MAX(2027,asof)+dly_d1_m/12))))</f>
        <v>0.93</v>
      </c>
      <c r="I154" s="29" t="n">
        <f aca="false">MAX(0,MIN(2028+1,2028+MAX(0,MIN(1,asof-2028)))-2028)+IF(AND(2028&gt;=dly_d2_y0,2028&lt;=dly_d2_y1),(1-dly_d2_bind)*((1-dly_d1_s)*MAX(0,MIN(2028+1,2028+1+0)-(MAX(2028,asof)+0))+dly_d1_s*MAX(0,MIN(2028+1,2028+1+dly_d1_m/12)-(MAX(2028,asof)+dly_d1_m/12)))+dly_d2_bind*((1-dly_d1_s)*MAX(0,MIN(2028+1,2028+1+dly_d2_m/12)-(MAX(2028,asof)+dly_d2_m/12))+dly_d1_s*MAX(0,MIN(2028+1,2028+1+(dly_d1_m+dly_d2_m)/12)-(MAX(2028,asof)+(dly_d1_m+dly_d2_m)/12))),((1-dly_d1_s)*MAX(0,MIN(2028+1,2028+1+0)-(MAX(2028,asof)+0))+dly_d1_s*MAX(0,MIN(2028+1,2028+1+dly_d1_m/12)-(MAX(2028,asof)+dly_d1_m/12))))</f>
        <v>0.495</v>
      </c>
      <c r="J154" s="29" t="n">
        <f aca="false">MAX(0,MIN(2028+1,2029+MAX(0,MIN(1,asof-2029)))-2029)+IF(AND(2029&gt;=dly_d2_y0,2029&lt;=dly_d2_y1),(1-dly_d2_bind)*((1-dly_d1_s)*MAX(0,MIN(2028+1,2029+1+0)-(MAX(2029,asof)+0))+dly_d1_s*MAX(0,MIN(2028+1,2029+1+dly_d1_m/12)-(MAX(2029,asof)+dly_d1_m/12)))+dly_d2_bind*((1-dly_d1_s)*MAX(0,MIN(2028+1,2029+1+dly_d2_m/12)-(MAX(2029,asof)+dly_d2_m/12))+dly_d1_s*MAX(0,MIN(2028+1,2029+1+(dly_d1_m+dly_d2_m)/12)-(MAX(2029,asof)+(dly_d1_m+dly_d2_m)/12))),((1-dly_d1_s)*MAX(0,MIN(2028+1,2029+1+0)-(MAX(2029,asof)+0))+dly_d1_s*MAX(0,MIN(2028+1,2029+1+dly_d1_m/12)-(MAX(2029,asof)+dly_d1_m/12))))</f>
        <v>0</v>
      </c>
      <c r="K154" s="29" t="n">
        <f aca="false">MAX(0,MIN(2028+1,2030+MAX(0,MIN(1,asof-2030)))-2030)+IF(AND(2030&gt;=dly_d2_y0,2030&lt;=dly_d2_y1),(1-dly_d2_bind)*((1-dly_d1_s)*MAX(0,MIN(2028+1,2030+1+0)-(MAX(2030,asof)+0))+dly_d1_s*MAX(0,MIN(2028+1,2030+1+dly_d1_m/12)-(MAX(2030,asof)+dly_d1_m/12)))+dly_d2_bind*((1-dly_d1_s)*MAX(0,MIN(2028+1,2030+1+dly_d2_m/12)-(MAX(2030,asof)+dly_d2_m/12))+dly_d1_s*MAX(0,MIN(2028+1,2030+1+(dly_d1_m+dly_d2_m)/12)-(MAX(2030,asof)+(dly_d1_m+dly_d2_m)/12))),((1-dly_d1_s)*MAX(0,MIN(2028+1,2030+1+0)-(MAX(2030,asof)+0))+dly_d1_s*MAX(0,MIN(2028+1,2030+1+dly_d1_m/12)-(MAX(2030,asof)+dly_d1_m/12))))</f>
        <v>0</v>
      </c>
      <c r="L154" s="29" t="n">
        <f aca="false">MAX(0,MIN(2028+1,2031+MAX(0,MIN(1,asof-2031)))-2031)+IF(AND(2031&gt;=dly_d2_y0,2031&lt;=dly_d2_y1),(1-dly_d2_bind)*((1-dly_d1_s)*MAX(0,MIN(2028+1,2031+1+0)-(MAX(2031,asof)+0))+dly_d1_s*MAX(0,MIN(2028+1,2031+1+dly_d1_m/12)-(MAX(2031,asof)+dly_d1_m/12)))+dly_d2_bind*((1-dly_d1_s)*MAX(0,MIN(2028+1,2031+1+dly_d2_m/12)-(MAX(2031,asof)+dly_d2_m/12))+dly_d1_s*MAX(0,MIN(2028+1,2031+1+(dly_d1_m+dly_d2_m)/12)-(MAX(2031,asof)+(dly_d1_m+dly_d2_m)/12))),((1-dly_d1_s)*MAX(0,MIN(2028+1,2031+1+0)-(MAX(2031,asof)+0))+dly_d1_s*MAX(0,MIN(2028+1,2031+1+dly_d1_m/12)-(MAX(2031,asof)+dly_d1_m/12))))</f>
        <v>0</v>
      </c>
      <c r="M154" s="29" t="n">
        <f aca="false">MAX(0,MIN(2028+1,2032+MAX(0,MIN(1,asof-2032)))-2032)+IF(AND(2032&gt;=dly_d2_y0,2032&lt;=dly_d2_y1),(1-dly_d2_bind)*((1-dly_d1_s)*MAX(0,MIN(2028+1,2032+1+0)-(MAX(2032,asof)+0))+dly_d1_s*MAX(0,MIN(2028+1,2032+1+dly_d1_m/12)-(MAX(2032,asof)+dly_d1_m/12)))+dly_d2_bind*((1-dly_d1_s)*MAX(0,MIN(2028+1,2032+1+dly_d2_m/12)-(MAX(2032,asof)+dly_d2_m/12))+dly_d1_s*MAX(0,MIN(2028+1,2032+1+(dly_d1_m+dly_d2_m)/12)-(MAX(2032,asof)+(dly_d1_m+dly_d2_m)/12))),((1-dly_d1_s)*MAX(0,MIN(2028+1,2032+1+0)-(MAX(2032,asof)+0))+dly_d1_s*MAX(0,MIN(2028+1,2032+1+dly_d1_m/12)-(MAX(2032,asof)+dly_d1_m/12))))</f>
        <v>0</v>
      </c>
    </row>
    <row r="155" customFormat="false" ht="17.15" hidden="false" customHeight="false" outlineLevel="0" collapsed="false">
      <c r="A155" s="0" t="s">
        <v>1373</v>
      </c>
      <c r="B155" s="0" t="n">
        <v>2029</v>
      </c>
      <c r="E155" s="29" t="n">
        <f aca="false">MAX(0,MIN(2029+1,2024+MAX(0,MIN(1,asof-2024)))-2024)+IF(AND(2024&gt;=dly_d2_y0,2024&lt;=dly_d2_y1),(1-dly_d2_bind)*((1-dly_d1_s)*MAX(0,MIN(2029+1,2024+1+0)-(MAX(2024,asof)+0))+dly_d1_s*MAX(0,MIN(2029+1,2024+1+dly_d1_m/12)-(MAX(2024,asof)+dly_d1_m/12)))+dly_d2_bind*((1-dly_d1_s)*MAX(0,MIN(2029+1,2024+1+dly_d2_m/12)-(MAX(2024,asof)+dly_d2_m/12))+dly_d1_s*MAX(0,MIN(2029+1,2024+1+(dly_d1_m+dly_d2_m)/12)-(MAX(2024,asof)+(dly_d1_m+dly_d2_m)/12))),((1-dly_d1_s)*MAX(0,MIN(2029+1,2024+1+0)-(MAX(2024,asof)+0))+dly_d1_s*MAX(0,MIN(2029+1,2024+1+dly_d1_m/12)-(MAX(2024,asof)+dly_d1_m/12))))</f>
        <v>1</v>
      </c>
      <c r="F155" s="29" t="n">
        <f aca="false">MAX(0,MIN(2029+1,2025+MAX(0,MIN(1,asof-2025)))-2025)+IF(AND(2025&gt;=dly_d2_y0,2025&lt;=dly_d2_y1),(1-dly_d2_bind)*((1-dly_d1_s)*MAX(0,MIN(2029+1,2025+1+0)-(MAX(2025,asof)+0))+dly_d1_s*MAX(0,MIN(2029+1,2025+1+dly_d1_m/12)-(MAX(2025,asof)+dly_d1_m/12)))+dly_d2_bind*((1-dly_d1_s)*MAX(0,MIN(2029+1,2025+1+dly_d2_m/12)-(MAX(2025,asof)+dly_d2_m/12))+dly_d1_s*MAX(0,MIN(2029+1,2025+1+(dly_d1_m+dly_d2_m)/12)-(MAX(2025,asof)+(dly_d1_m+dly_d2_m)/12))),((1-dly_d1_s)*MAX(0,MIN(2029+1,2025+1+0)-(MAX(2025,asof)+0))+dly_d1_s*MAX(0,MIN(2029+1,2025+1+dly_d1_m/12)-(MAX(2025,asof)+dly_d1_m/12))))</f>
        <v>1</v>
      </c>
      <c r="G155" s="29" t="n">
        <f aca="false">MAX(0,MIN(2029+1,2026+MAX(0,MIN(1,asof-2026)))-2026)+IF(AND(2026&gt;=dly_d2_y0,2026&lt;=dly_d2_y1),(1-dly_d2_bind)*((1-dly_d1_s)*MAX(0,MIN(2029+1,2026+1+0)-(MAX(2026,asof)+0))+dly_d1_s*MAX(0,MIN(2029+1,2026+1+dly_d1_m/12)-(MAX(2026,asof)+dly_d1_m/12)))+dly_d2_bind*((1-dly_d1_s)*MAX(0,MIN(2029+1,2026+1+dly_d2_m/12)-(MAX(2026,asof)+dly_d2_m/12))+dly_d1_s*MAX(0,MIN(2029+1,2026+1+(dly_d1_m+dly_d2_m)/12)-(MAX(2026,asof)+(dly_d1_m+dly_d2_m)/12))),((1-dly_d1_s)*MAX(0,MIN(2029+1,2026+1+0)-(MAX(2026,asof)+0))+dly_d1_s*MAX(0,MIN(2029+1,2026+1+dly_d1_m/12)-(MAX(2026,asof)+dly_d1_m/12))))</f>
        <v>1</v>
      </c>
      <c r="H155" s="29" t="n">
        <f aca="false">MAX(0,MIN(2029+1,2027+MAX(0,MIN(1,asof-2027)))-2027)+IF(AND(2027&gt;=dly_d2_y0,2027&lt;=dly_d2_y1),(1-dly_d2_bind)*((1-dly_d1_s)*MAX(0,MIN(2029+1,2027+1+0)-(MAX(2027,asof)+0))+dly_d1_s*MAX(0,MIN(2029+1,2027+1+dly_d1_m/12)-(MAX(2027,asof)+dly_d1_m/12)))+dly_d2_bind*((1-dly_d1_s)*MAX(0,MIN(2029+1,2027+1+dly_d2_m/12)-(MAX(2027,asof)+dly_d2_m/12))+dly_d1_s*MAX(0,MIN(2029+1,2027+1+(dly_d1_m+dly_d2_m)/12)-(MAX(2027,asof)+(dly_d1_m+dly_d2_m)/12))),((1-dly_d1_s)*MAX(0,MIN(2029+1,2027+1+0)-(MAX(2027,asof)+0))+dly_d1_s*MAX(0,MIN(2029+1,2027+1+dly_d1_m/12)-(MAX(2027,asof)+dly_d1_m/12))))</f>
        <v>1</v>
      </c>
      <c r="I155" s="29" t="n">
        <f aca="false">MAX(0,MIN(2029+1,2028+MAX(0,MIN(1,asof-2028)))-2028)+IF(AND(2028&gt;=dly_d2_y0,2028&lt;=dly_d2_y1),(1-dly_d2_bind)*((1-dly_d1_s)*MAX(0,MIN(2029+1,2028+1+0)-(MAX(2028,asof)+0))+dly_d1_s*MAX(0,MIN(2029+1,2028+1+dly_d1_m/12)-(MAX(2028,asof)+dly_d1_m/12)))+dly_d2_bind*((1-dly_d1_s)*MAX(0,MIN(2029+1,2028+1+dly_d2_m/12)-(MAX(2028,asof)+dly_d2_m/12))+dly_d1_s*MAX(0,MIN(2029+1,2028+1+(dly_d1_m+dly_d2_m)/12)-(MAX(2028,asof)+(dly_d1_m+dly_d2_m)/12))),((1-dly_d1_s)*MAX(0,MIN(2029+1,2028+1+0)-(MAX(2028,asof)+0))+dly_d1_s*MAX(0,MIN(2029+1,2028+1+dly_d1_m/12)-(MAX(2028,asof)+dly_d1_m/12))))</f>
        <v>0.93</v>
      </c>
      <c r="J155" s="29" t="n">
        <f aca="false">MAX(0,MIN(2029+1,2029+MAX(0,MIN(1,asof-2029)))-2029)+IF(AND(2029&gt;=dly_d2_y0,2029&lt;=dly_d2_y1),(1-dly_d2_bind)*((1-dly_d1_s)*MAX(0,MIN(2029+1,2029+1+0)-(MAX(2029,asof)+0))+dly_d1_s*MAX(0,MIN(2029+1,2029+1+dly_d1_m/12)-(MAX(2029,asof)+dly_d1_m/12)))+dly_d2_bind*((1-dly_d1_s)*MAX(0,MIN(2029+1,2029+1+dly_d2_m/12)-(MAX(2029,asof)+dly_d2_m/12))+dly_d1_s*MAX(0,MIN(2029+1,2029+1+(dly_d1_m+dly_d2_m)/12)-(MAX(2029,asof)+(dly_d1_m+dly_d2_m)/12))),((1-dly_d1_s)*MAX(0,MIN(2029+1,2029+1+0)-(MAX(2029,asof)+0))+dly_d1_s*MAX(0,MIN(2029+1,2029+1+dly_d1_m/12)-(MAX(2029,asof)+dly_d1_m/12))))</f>
        <v>0.825</v>
      </c>
      <c r="K155" s="29" t="n">
        <f aca="false">MAX(0,MIN(2029+1,2030+MAX(0,MIN(1,asof-2030)))-2030)+IF(AND(2030&gt;=dly_d2_y0,2030&lt;=dly_d2_y1),(1-dly_d2_bind)*((1-dly_d1_s)*MAX(0,MIN(2029+1,2030+1+0)-(MAX(2030,asof)+0))+dly_d1_s*MAX(0,MIN(2029+1,2030+1+dly_d1_m/12)-(MAX(2030,asof)+dly_d1_m/12)))+dly_d2_bind*((1-dly_d1_s)*MAX(0,MIN(2029+1,2030+1+dly_d2_m/12)-(MAX(2030,asof)+dly_d2_m/12))+dly_d1_s*MAX(0,MIN(2029+1,2030+1+(dly_d1_m+dly_d2_m)/12)-(MAX(2030,asof)+(dly_d1_m+dly_d2_m)/12))),((1-dly_d1_s)*MAX(0,MIN(2029+1,2030+1+0)-(MAX(2030,asof)+0))+dly_d1_s*MAX(0,MIN(2029+1,2030+1+dly_d1_m/12)-(MAX(2030,asof)+dly_d1_m/12))))</f>
        <v>0</v>
      </c>
      <c r="L155" s="29" t="n">
        <f aca="false">MAX(0,MIN(2029+1,2031+MAX(0,MIN(1,asof-2031)))-2031)+IF(AND(2031&gt;=dly_d2_y0,2031&lt;=dly_d2_y1),(1-dly_d2_bind)*((1-dly_d1_s)*MAX(0,MIN(2029+1,2031+1+0)-(MAX(2031,asof)+0))+dly_d1_s*MAX(0,MIN(2029+1,2031+1+dly_d1_m/12)-(MAX(2031,asof)+dly_d1_m/12)))+dly_d2_bind*((1-dly_d1_s)*MAX(0,MIN(2029+1,2031+1+dly_d2_m/12)-(MAX(2031,asof)+dly_d2_m/12))+dly_d1_s*MAX(0,MIN(2029+1,2031+1+(dly_d1_m+dly_d2_m)/12)-(MAX(2031,asof)+(dly_d1_m+dly_d2_m)/12))),((1-dly_d1_s)*MAX(0,MIN(2029+1,2031+1+0)-(MAX(2031,asof)+0))+dly_d1_s*MAX(0,MIN(2029+1,2031+1+dly_d1_m/12)-(MAX(2031,asof)+dly_d1_m/12))))</f>
        <v>0</v>
      </c>
      <c r="M155" s="29" t="n">
        <f aca="false">MAX(0,MIN(2029+1,2032+MAX(0,MIN(1,asof-2032)))-2032)+IF(AND(2032&gt;=dly_d2_y0,2032&lt;=dly_d2_y1),(1-dly_d2_bind)*((1-dly_d1_s)*MAX(0,MIN(2029+1,2032+1+0)-(MAX(2032,asof)+0))+dly_d1_s*MAX(0,MIN(2029+1,2032+1+dly_d1_m/12)-(MAX(2032,asof)+dly_d1_m/12)))+dly_d2_bind*((1-dly_d1_s)*MAX(0,MIN(2029+1,2032+1+dly_d2_m/12)-(MAX(2032,asof)+dly_d2_m/12))+dly_d1_s*MAX(0,MIN(2029+1,2032+1+(dly_d1_m+dly_d2_m)/12)-(MAX(2032,asof)+(dly_d1_m+dly_d2_m)/12))),((1-dly_d1_s)*MAX(0,MIN(2029+1,2032+1+0)-(MAX(2032,asof)+0))+dly_d1_s*MAX(0,MIN(2029+1,2032+1+dly_d1_m/12)-(MAX(2032,asof)+dly_d1_m/12))))</f>
        <v>0</v>
      </c>
    </row>
    <row r="156" customFormat="false" ht="17.15" hidden="false" customHeight="false" outlineLevel="0" collapsed="false">
      <c r="A156" s="0" t="s">
        <v>1374</v>
      </c>
      <c r="B156" s="0" t="n">
        <v>2030</v>
      </c>
      <c r="E156" s="29" t="n">
        <f aca="false">MAX(0,MIN(2030+1,2024+MAX(0,MIN(1,asof-2024)))-2024)+IF(AND(2024&gt;=dly_d2_y0,2024&lt;=dly_d2_y1),(1-dly_d2_bind)*((1-dly_d1_s)*MAX(0,MIN(2030+1,2024+1+0)-(MAX(2024,asof)+0))+dly_d1_s*MAX(0,MIN(2030+1,2024+1+dly_d1_m/12)-(MAX(2024,asof)+dly_d1_m/12)))+dly_d2_bind*((1-dly_d1_s)*MAX(0,MIN(2030+1,2024+1+dly_d2_m/12)-(MAX(2024,asof)+dly_d2_m/12))+dly_d1_s*MAX(0,MIN(2030+1,2024+1+(dly_d1_m+dly_d2_m)/12)-(MAX(2024,asof)+(dly_d1_m+dly_d2_m)/12))),((1-dly_d1_s)*MAX(0,MIN(2030+1,2024+1+0)-(MAX(2024,asof)+0))+dly_d1_s*MAX(0,MIN(2030+1,2024+1+dly_d1_m/12)-(MAX(2024,asof)+dly_d1_m/12))))</f>
        <v>1</v>
      </c>
      <c r="F156" s="29" t="n">
        <f aca="false">MAX(0,MIN(2030+1,2025+MAX(0,MIN(1,asof-2025)))-2025)+IF(AND(2025&gt;=dly_d2_y0,2025&lt;=dly_d2_y1),(1-dly_d2_bind)*((1-dly_d1_s)*MAX(0,MIN(2030+1,2025+1+0)-(MAX(2025,asof)+0))+dly_d1_s*MAX(0,MIN(2030+1,2025+1+dly_d1_m/12)-(MAX(2025,asof)+dly_d1_m/12)))+dly_d2_bind*((1-dly_d1_s)*MAX(0,MIN(2030+1,2025+1+dly_d2_m/12)-(MAX(2025,asof)+dly_d2_m/12))+dly_d1_s*MAX(0,MIN(2030+1,2025+1+(dly_d1_m+dly_d2_m)/12)-(MAX(2025,asof)+(dly_d1_m+dly_d2_m)/12))),((1-dly_d1_s)*MAX(0,MIN(2030+1,2025+1+0)-(MAX(2025,asof)+0))+dly_d1_s*MAX(0,MIN(2030+1,2025+1+dly_d1_m/12)-(MAX(2025,asof)+dly_d1_m/12))))</f>
        <v>1</v>
      </c>
      <c r="G156" s="29" t="n">
        <f aca="false">MAX(0,MIN(2030+1,2026+MAX(0,MIN(1,asof-2026)))-2026)+IF(AND(2026&gt;=dly_d2_y0,2026&lt;=dly_d2_y1),(1-dly_d2_bind)*((1-dly_d1_s)*MAX(0,MIN(2030+1,2026+1+0)-(MAX(2026,asof)+0))+dly_d1_s*MAX(0,MIN(2030+1,2026+1+dly_d1_m/12)-(MAX(2026,asof)+dly_d1_m/12)))+dly_d2_bind*((1-dly_d1_s)*MAX(0,MIN(2030+1,2026+1+dly_d2_m/12)-(MAX(2026,asof)+dly_d2_m/12))+dly_d1_s*MAX(0,MIN(2030+1,2026+1+(dly_d1_m+dly_d2_m)/12)-(MAX(2026,asof)+(dly_d1_m+dly_d2_m)/12))),((1-dly_d1_s)*MAX(0,MIN(2030+1,2026+1+0)-(MAX(2026,asof)+0))+dly_d1_s*MAX(0,MIN(2030+1,2026+1+dly_d1_m/12)-(MAX(2026,asof)+dly_d1_m/12))))</f>
        <v>1</v>
      </c>
      <c r="H156" s="29" t="n">
        <f aca="false">MAX(0,MIN(2030+1,2027+MAX(0,MIN(1,asof-2027)))-2027)+IF(AND(2027&gt;=dly_d2_y0,2027&lt;=dly_d2_y1),(1-dly_d2_bind)*((1-dly_d1_s)*MAX(0,MIN(2030+1,2027+1+0)-(MAX(2027,asof)+0))+dly_d1_s*MAX(0,MIN(2030+1,2027+1+dly_d1_m/12)-(MAX(2027,asof)+dly_d1_m/12)))+dly_d2_bind*((1-dly_d1_s)*MAX(0,MIN(2030+1,2027+1+dly_d2_m/12)-(MAX(2027,asof)+dly_d2_m/12))+dly_d1_s*MAX(0,MIN(2030+1,2027+1+(dly_d1_m+dly_d2_m)/12)-(MAX(2027,asof)+(dly_d1_m+dly_d2_m)/12))),((1-dly_d1_s)*MAX(0,MIN(2030+1,2027+1+0)-(MAX(2027,asof)+0))+dly_d1_s*MAX(0,MIN(2030+1,2027+1+dly_d1_m/12)-(MAX(2027,asof)+dly_d1_m/12))))</f>
        <v>1</v>
      </c>
      <c r="I156" s="29" t="n">
        <f aca="false">MAX(0,MIN(2030+1,2028+MAX(0,MIN(1,asof-2028)))-2028)+IF(AND(2028&gt;=dly_d2_y0,2028&lt;=dly_d2_y1),(1-dly_d2_bind)*((1-dly_d1_s)*MAX(0,MIN(2030+1,2028+1+0)-(MAX(2028,asof)+0))+dly_d1_s*MAX(0,MIN(2030+1,2028+1+dly_d1_m/12)-(MAX(2028,asof)+dly_d1_m/12)))+dly_d2_bind*((1-dly_d1_s)*MAX(0,MIN(2030+1,2028+1+dly_d2_m/12)-(MAX(2028,asof)+dly_d2_m/12))+dly_d1_s*MAX(0,MIN(2030+1,2028+1+(dly_d1_m+dly_d2_m)/12)-(MAX(2028,asof)+(dly_d1_m+dly_d2_m)/12))),((1-dly_d1_s)*MAX(0,MIN(2030+1,2028+1+0)-(MAX(2028,asof)+0))+dly_d1_s*MAX(0,MIN(2030+1,2028+1+dly_d1_m/12)-(MAX(2028,asof)+dly_d1_m/12))))</f>
        <v>1</v>
      </c>
      <c r="J156" s="29" t="n">
        <f aca="false">MAX(0,MIN(2030+1,2029+MAX(0,MIN(1,asof-2029)))-2029)+IF(AND(2029&gt;=dly_d2_y0,2029&lt;=dly_d2_y1),(1-dly_d2_bind)*((1-dly_d1_s)*MAX(0,MIN(2030+1,2029+1+0)-(MAX(2029,asof)+0))+dly_d1_s*MAX(0,MIN(2030+1,2029+1+dly_d1_m/12)-(MAX(2029,asof)+dly_d1_m/12)))+dly_d2_bind*((1-dly_d1_s)*MAX(0,MIN(2030+1,2029+1+dly_d2_m/12)-(MAX(2029,asof)+dly_d2_m/12))+dly_d1_s*MAX(0,MIN(2030+1,2029+1+(dly_d1_m+dly_d2_m)/12)-(MAX(2029,asof)+(dly_d1_m+dly_d2_m)/12))),((1-dly_d1_s)*MAX(0,MIN(2030+1,2029+1+0)-(MAX(2029,asof)+0))+dly_d1_s*MAX(0,MIN(2030+1,2029+1+dly_d1_m/12)-(MAX(2029,asof)+dly_d1_m/12))))</f>
        <v>1</v>
      </c>
      <c r="K156" s="29" t="n">
        <f aca="false">MAX(0,MIN(2030+1,2030+MAX(0,MIN(1,asof-2030)))-2030)+IF(AND(2030&gt;=dly_d2_y0,2030&lt;=dly_d2_y1),(1-dly_d2_bind)*((1-dly_d1_s)*MAX(0,MIN(2030+1,2030+1+0)-(MAX(2030,asof)+0))+dly_d1_s*MAX(0,MIN(2030+1,2030+1+dly_d1_m/12)-(MAX(2030,asof)+dly_d1_m/12)))+dly_d2_bind*((1-dly_d1_s)*MAX(0,MIN(2030+1,2030+1+dly_d2_m/12)-(MAX(2030,asof)+dly_d2_m/12))+dly_d1_s*MAX(0,MIN(2030+1,2030+1+(dly_d1_m+dly_d2_m)/12)-(MAX(2030,asof)+(dly_d1_m+dly_d2_m)/12))),((1-dly_d1_s)*MAX(0,MIN(2030+1,2030+1+0)-(MAX(2030,asof)+0))+dly_d1_s*MAX(0,MIN(2030+1,2030+1+dly_d1_m/12)-(MAX(2030,asof)+dly_d1_m/12))))</f>
        <v>0.825</v>
      </c>
      <c r="L156" s="29" t="n">
        <f aca="false">MAX(0,MIN(2030+1,2031+MAX(0,MIN(1,asof-2031)))-2031)+IF(AND(2031&gt;=dly_d2_y0,2031&lt;=dly_d2_y1),(1-dly_d2_bind)*((1-dly_d1_s)*MAX(0,MIN(2030+1,2031+1+0)-(MAX(2031,asof)+0))+dly_d1_s*MAX(0,MIN(2030+1,2031+1+dly_d1_m/12)-(MAX(2031,asof)+dly_d1_m/12)))+dly_d2_bind*((1-dly_d1_s)*MAX(0,MIN(2030+1,2031+1+dly_d2_m/12)-(MAX(2031,asof)+dly_d2_m/12))+dly_d1_s*MAX(0,MIN(2030+1,2031+1+(dly_d1_m+dly_d2_m)/12)-(MAX(2031,asof)+(dly_d1_m+dly_d2_m)/12))),((1-dly_d1_s)*MAX(0,MIN(2030+1,2031+1+0)-(MAX(2031,asof)+0))+dly_d1_s*MAX(0,MIN(2030+1,2031+1+dly_d1_m/12)-(MAX(2031,asof)+dly_d1_m/12))))</f>
        <v>0</v>
      </c>
      <c r="M156" s="29" t="n">
        <f aca="false">MAX(0,MIN(2030+1,2032+MAX(0,MIN(1,asof-2032)))-2032)+IF(AND(2032&gt;=dly_d2_y0,2032&lt;=dly_d2_y1),(1-dly_d2_bind)*((1-dly_d1_s)*MAX(0,MIN(2030+1,2032+1+0)-(MAX(2032,asof)+0))+dly_d1_s*MAX(0,MIN(2030+1,2032+1+dly_d1_m/12)-(MAX(2032,asof)+dly_d1_m/12)))+dly_d2_bind*((1-dly_d1_s)*MAX(0,MIN(2030+1,2032+1+dly_d2_m/12)-(MAX(2032,asof)+dly_d2_m/12))+dly_d1_s*MAX(0,MIN(2030+1,2032+1+(dly_d1_m+dly_d2_m)/12)-(MAX(2032,asof)+(dly_d1_m+dly_d2_m)/12))),((1-dly_d1_s)*MAX(0,MIN(2030+1,2032+1+0)-(MAX(2032,asof)+0))+dly_d1_s*MAX(0,MIN(2030+1,2032+1+dly_d1_m/12)-(MAX(2032,asof)+dly_d1_m/12))))</f>
        <v>0</v>
      </c>
    </row>
    <row r="157" customFormat="false" ht="17.15" hidden="false" customHeight="false" outlineLevel="0" collapsed="false">
      <c r="A157" s="0" t="s">
        <v>1375</v>
      </c>
      <c r="B157" s="0" t="n">
        <v>2031</v>
      </c>
      <c r="E157" s="29" t="n">
        <f aca="false">MAX(0,MIN(2031+1,2024+MAX(0,MIN(1,asof-2024)))-2024)+IF(AND(2024&gt;=dly_d2_y0,2024&lt;=dly_d2_y1),(1-dly_d2_bind)*((1-dly_d1_s)*MAX(0,MIN(2031+1,2024+1+0)-(MAX(2024,asof)+0))+dly_d1_s*MAX(0,MIN(2031+1,2024+1+dly_d1_m/12)-(MAX(2024,asof)+dly_d1_m/12)))+dly_d2_bind*((1-dly_d1_s)*MAX(0,MIN(2031+1,2024+1+dly_d2_m/12)-(MAX(2024,asof)+dly_d2_m/12))+dly_d1_s*MAX(0,MIN(2031+1,2024+1+(dly_d1_m+dly_d2_m)/12)-(MAX(2024,asof)+(dly_d1_m+dly_d2_m)/12))),((1-dly_d1_s)*MAX(0,MIN(2031+1,2024+1+0)-(MAX(2024,asof)+0))+dly_d1_s*MAX(0,MIN(2031+1,2024+1+dly_d1_m/12)-(MAX(2024,asof)+dly_d1_m/12))))</f>
        <v>1</v>
      </c>
      <c r="F157" s="29" t="n">
        <f aca="false">MAX(0,MIN(2031+1,2025+MAX(0,MIN(1,asof-2025)))-2025)+IF(AND(2025&gt;=dly_d2_y0,2025&lt;=dly_d2_y1),(1-dly_d2_bind)*((1-dly_d1_s)*MAX(0,MIN(2031+1,2025+1+0)-(MAX(2025,asof)+0))+dly_d1_s*MAX(0,MIN(2031+1,2025+1+dly_d1_m/12)-(MAX(2025,asof)+dly_d1_m/12)))+dly_d2_bind*((1-dly_d1_s)*MAX(0,MIN(2031+1,2025+1+dly_d2_m/12)-(MAX(2025,asof)+dly_d2_m/12))+dly_d1_s*MAX(0,MIN(2031+1,2025+1+(dly_d1_m+dly_d2_m)/12)-(MAX(2025,asof)+(dly_d1_m+dly_d2_m)/12))),((1-dly_d1_s)*MAX(0,MIN(2031+1,2025+1+0)-(MAX(2025,asof)+0))+dly_d1_s*MAX(0,MIN(2031+1,2025+1+dly_d1_m/12)-(MAX(2025,asof)+dly_d1_m/12))))</f>
        <v>1</v>
      </c>
      <c r="G157" s="29" t="n">
        <f aca="false">MAX(0,MIN(2031+1,2026+MAX(0,MIN(1,asof-2026)))-2026)+IF(AND(2026&gt;=dly_d2_y0,2026&lt;=dly_d2_y1),(1-dly_d2_bind)*((1-dly_d1_s)*MAX(0,MIN(2031+1,2026+1+0)-(MAX(2026,asof)+0))+dly_d1_s*MAX(0,MIN(2031+1,2026+1+dly_d1_m/12)-(MAX(2026,asof)+dly_d1_m/12)))+dly_d2_bind*((1-dly_d1_s)*MAX(0,MIN(2031+1,2026+1+dly_d2_m/12)-(MAX(2026,asof)+dly_d2_m/12))+dly_d1_s*MAX(0,MIN(2031+1,2026+1+(dly_d1_m+dly_d2_m)/12)-(MAX(2026,asof)+(dly_d1_m+dly_d2_m)/12))),((1-dly_d1_s)*MAX(0,MIN(2031+1,2026+1+0)-(MAX(2026,asof)+0))+dly_d1_s*MAX(0,MIN(2031+1,2026+1+dly_d1_m/12)-(MAX(2026,asof)+dly_d1_m/12))))</f>
        <v>1</v>
      </c>
      <c r="H157" s="29" t="n">
        <f aca="false">MAX(0,MIN(2031+1,2027+MAX(0,MIN(1,asof-2027)))-2027)+IF(AND(2027&gt;=dly_d2_y0,2027&lt;=dly_d2_y1),(1-dly_d2_bind)*((1-dly_d1_s)*MAX(0,MIN(2031+1,2027+1+0)-(MAX(2027,asof)+0))+dly_d1_s*MAX(0,MIN(2031+1,2027+1+dly_d1_m/12)-(MAX(2027,asof)+dly_d1_m/12)))+dly_d2_bind*((1-dly_d1_s)*MAX(0,MIN(2031+1,2027+1+dly_d2_m/12)-(MAX(2027,asof)+dly_d2_m/12))+dly_d1_s*MAX(0,MIN(2031+1,2027+1+(dly_d1_m+dly_d2_m)/12)-(MAX(2027,asof)+(dly_d1_m+dly_d2_m)/12))),((1-dly_d1_s)*MAX(0,MIN(2031+1,2027+1+0)-(MAX(2027,asof)+0))+dly_d1_s*MAX(0,MIN(2031+1,2027+1+dly_d1_m/12)-(MAX(2027,asof)+dly_d1_m/12))))</f>
        <v>1</v>
      </c>
      <c r="I157" s="29" t="n">
        <f aca="false">MAX(0,MIN(2031+1,2028+MAX(0,MIN(1,asof-2028)))-2028)+IF(AND(2028&gt;=dly_d2_y0,2028&lt;=dly_d2_y1),(1-dly_d2_bind)*((1-dly_d1_s)*MAX(0,MIN(2031+1,2028+1+0)-(MAX(2028,asof)+0))+dly_d1_s*MAX(0,MIN(2031+1,2028+1+dly_d1_m/12)-(MAX(2028,asof)+dly_d1_m/12)))+dly_d2_bind*((1-dly_d1_s)*MAX(0,MIN(2031+1,2028+1+dly_d2_m/12)-(MAX(2028,asof)+dly_d2_m/12))+dly_d1_s*MAX(0,MIN(2031+1,2028+1+(dly_d1_m+dly_d2_m)/12)-(MAX(2028,asof)+(dly_d1_m+dly_d2_m)/12))),((1-dly_d1_s)*MAX(0,MIN(2031+1,2028+1+0)-(MAX(2028,asof)+0))+dly_d1_s*MAX(0,MIN(2031+1,2028+1+dly_d1_m/12)-(MAX(2028,asof)+dly_d1_m/12))))</f>
        <v>1</v>
      </c>
      <c r="J157" s="29" t="n">
        <f aca="false">MAX(0,MIN(2031+1,2029+MAX(0,MIN(1,asof-2029)))-2029)+IF(AND(2029&gt;=dly_d2_y0,2029&lt;=dly_d2_y1),(1-dly_d2_bind)*((1-dly_d1_s)*MAX(0,MIN(2031+1,2029+1+0)-(MAX(2029,asof)+0))+dly_d1_s*MAX(0,MIN(2031+1,2029+1+dly_d1_m/12)-(MAX(2029,asof)+dly_d1_m/12)))+dly_d2_bind*((1-dly_d1_s)*MAX(0,MIN(2031+1,2029+1+dly_d2_m/12)-(MAX(2029,asof)+dly_d2_m/12))+dly_d1_s*MAX(0,MIN(2031+1,2029+1+(dly_d1_m+dly_d2_m)/12)-(MAX(2029,asof)+(dly_d1_m+dly_d2_m)/12))),((1-dly_d1_s)*MAX(0,MIN(2031+1,2029+1+0)-(MAX(2029,asof)+0))+dly_d1_s*MAX(0,MIN(2031+1,2029+1+dly_d1_m/12)-(MAX(2029,asof)+dly_d1_m/12))))</f>
        <v>1</v>
      </c>
      <c r="K157" s="29" t="n">
        <f aca="false">MAX(0,MIN(2031+1,2030+MAX(0,MIN(1,asof-2030)))-2030)+IF(AND(2030&gt;=dly_d2_y0,2030&lt;=dly_d2_y1),(1-dly_d2_bind)*((1-dly_d1_s)*MAX(0,MIN(2031+1,2030+1+0)-(MAX(2030,asof)+0))+dly_d1_s*MAX(0,MIN(2031+1,2030+1+dly_d1_m/12)-(MAX(2030,asof)+dly_d1_m/12)))+dly_d2_bind*((1-dly_d1_s)*MAX(0,MIN(2031+1,2030+1+dly_d2_m/12)-(MAX(2030,asof)+dly_d2_m/12))+dly_d1_s*MAX(0,MIN(2031+1,2030+1+(dly_d1_m+dly_d2_m)/12)-(MAX(2030,asof)+(dly_d1_m+dly_d2_m)/12))),((1-dly_d1_s)*MAX(0,MIN(2031+1,2030+1+0)-(MAX(2030,asof)+0))+dly_d1_s*MAX(0,MIN(2031+1,2030+1+dly_d1_m/12)-(MAX(2030,asof)+dly_d1_m/12))))</f>
        <v>1</v>
      </c>
      <c r="L157" s="29" t="n">
        <f aca="false">MAX(0,MIN(2031+1,2031+MAX(0,MIN(1,asof-2031)))-2031)+IF(AND(2031&gt;=dly_d2_y0,2031&lt;=dly_d2_y1),(1-dly_d2_bind)*((1-dly_d1_s)*MAX(0,MIN(2031+1,2031+1+0)-(MAX(2031,asof)+0))+dly_d1_s*MAX(0,MIN(2031+1,2031+1+dly_d1_m/12)-(MAX(2031,asof)+dly_d1_m/12)))+dly_d2_bind*((1-dly_d1_s)*MAX(0,MIN(2031+1,2031+1+dly_d2_m/12)-(MAX(2031,asof)+dly_d2_m/12))+dly_d1_s*MAX(0,MIN(2031+1,2031+1+(dly_d1_m+dly_d2_m)/12)-(MAX(2031,asof)+(dly_d1_m+dly_d2_m)/12))),((1-dly_d1_s)*MAX(0,MIN(2031+1,2031+1+0)-(MAX(2031,asof)+0))+dly_d1_s*MAX(0,MIN(2031+1,2031+1+dly_d1_m/12)-(MAX(2031,asof)+dly_d1_m/12))))</f>
        <v>0.825</v>
      </c>
      <c r="M157" s="29" t="n">
        <f aca="false">MAX(0,MIN(2031+1,2032+MAX(0,MIN(1,asof-2032)))-2032)+IF(AND(2032&gt;=dly_d2_y0,2032&lt;=dly_d2_y1),(1-dly_d2_bind)*((1-dly_d1_s)*MAX(0,MIN(2031+1,2032+1+0)-(MAX(2032,asof)+0))+dly_d1_s*MAX(0,MIN(2031+1,2032+1+dly_d1_m/12)-(MAX(2032,asof)+dly_d1_m/12)))+dly_d2_bind*((1-dly_d1_s)*MAX(0,MIN(2031+1,2032+1+dly_d2_m/12)-(MAX(2032,asof)+dly_d2_m/12))+dly_d1_s*MAX(0,MIN(2031+1,2032+1+(dly_d1_m+dly_d2_m)/12)-(MAX(2032,asof)+(dly_d1_m+dly_d2_m)/12))),((1-dly_d1_s)*MAX(0,MIN(2031+1,2032+1+0)-(MAX(2032,asof)+0))+dly_d1_s*MAX(0,MIN(2031+1,2032+1+dly_d1_m/12)-(MAX(2032,asof)+dly_d1_m/12))))</f>
        <v>0</v>
      </c>
    </row>
    <row r="158" customFormat="false" ht="17.15" hidden="false" customHeight="false" outlineLevel="0" collapsed="false">
      <c r="A158" s="0" t="s">
        <v>1376</v>
      </c>
      <c r="B158" s="0" t="n">
        <v>2032</v>
      </c>
      <c r="E158" s="29" t="n">
        <f aca="false">MAX(0,MIN(2032+1,2024+MAX(0,MIN(1,asof-2024)))-2024)+IF(AND(2024&gt;=dly_d2_y0,2024&lt;=dly_d2_y1),(1-dly_d2_bind)*((1-dly_d1_s)*MAX(0,MIN(2032+1,2024+1+0)-(MAX(2024,asof)+0))+dly_d1_s*MAX(0,MIN(2032+1,2024+1+dly_d1_m/12)-(MAX(2024,asof)+dly_d1_m/12)))+dly_d2_bind*((1-dly_d1_s)*MAX(0,MIN(2032+1,2024+1+dly_d2_m/12)-(MAX(2024,asof)+dly_d2_m/12))+dly_d1_s*MAX(0,MIN(2032+1,2024+1+(dly_d1_m+dly_d2_m)/12)-(MAX(2024,asof)+(dly_d1_m+dly_d2_m)/12))),((1-dly_d1_s)*MAX(0,MIN(2032+1,2024+1+0)-(MAX(2024,asof)+0))+dly_d1_s*MAX(0,MIN(2032+1,2024+1+dly_d1_m/12)-(MAX(2024,asof)+dly_d1_m/12))))</f>
        <v>1</v>
      </c>
      <c r="F158" s="29" t="n">
        <f aca="false">MAX(0,MIN(2032+1,2025+MAX(0,MIN(1,asof-2025)))-2025)+IF(AND(2025&gt;=dly_d2_y0,2025&lt;=dly_d2_y1),(1-dly_d2_bind)*((1-dly_d1_s)*MAX(0,MIN(2032+1,2025+1+0)-(MAX(2025,asof)+0))+dly_d1_s*MAX(0,MIN(2032+1,2025+1+dly_d1_m/12)-(MAX(2025,asof)+dly_d1_m/12)))+dly_d2_bind*((1-dly_d1_s)*MAX(0,MIN(2032+1,2025+1+dly_d2_m/12)-(MAX(2025,asof)+dly_d2_m/12))+dly_d1_s*MAX(0,MIN(2032+1,2025+1+(dly_d1_m+dly_d2_m)/12)-(MAX(2025,asof)+(dly_d1_m+dly_d2_m)/12))),((1-dly_d1_s)*MAX(0,MIN(2032+1,2025+1+0)-(MAX(2025,asof)+0))+dly_d1_s*MAX(0,MIN(2032+1,2025+1+dly_d1_m/12)-(MAX(2025,asof)+dly_d1_m/12))))</f>
        <v>1</v>
      </c>
      <c r="G158" s="29" t="n">
        <f aca="false">MAX(0,MIN(2032+1,2026+MAX(0,MIN(1,asof-2026)))-2026)+IF(AND(2026&gt;=dly_d2_y0,2026&lt;=dly_d2_y1),(1-dly_d2_bind)*((1-dly_d1_s)*MAX(0,MIN(2032+1,2026+1+0)-(MAX(2026,asof)+0))+dly_d1_s*MAX(0,MIN(2032+1,2026+1+dly_d1_m/12)-(MAX(2026,asof)+dly_d1_m/12)))+dly_d2_bind*((1-dly_d1_s)*MAX(0,MIN(2032+1,2026+1+dly_d2_m/12)-(MAX(2026,asof)+dly_d2_m/12))+dly_d1_s*MAX(0,MIN(2032+1,2026+1+(dly_d1_m+dly_d2_m)/12)-(MAX(2026,asof)+(dly_d1_m+dly_d2_m)/12))),((1-dly_d1_s)*MAX(0,MIN(2032+1,2026+1+0)-(MAX(2026,asof)+0))+dly_d1_s*MAX(0,MIN(2032+1,2026+1+dly_d1_m/12)-(MAX(2026,asof)+dly_d1_m/12))))</f>
        <v>1</v>
      </c>
      <c r="H158" s="29" t="n">
        <f aca="false">MAX(0,MIN(2032+1,2027+MAX(0,MIN(1,asof-2027)))-2027)+IF(AND(2027&gt;=dly_d2_y0,2027&lt;=dly_d2_y1),(1-dly_d2_bind)*((1-dly_d1_s)*MAX(0,MIN(2032+1,2027+1+0)-(MAX(2027,asof)+0))+dly_d1_s*MAX(0,MIN(2032+1,2027+1+dly_d1_m/12)-(MAX(2027,asof)+dly_d1_m/12)))+dly_d2_bind*((1-dly_d1_s)*MAX(0,MIN(2032+1,2027+1+dly_d2_m/12)-(MAX(2027,asof)+dly_d2_m/12))+dly_d1_s*MAX(0,MIN(2032+1,2027+1+(dly_d1_m+dly_d2_m)/12)-(MAX(2027,asof)+(dly_d1_m+dly_d2_m)/12))),((1-dly_d1_s)*MAX(0,MIN(2032+1,2027+1+0)-(MAX(2027,asof)+0))+dly_d1_s*MAX(0,MIN(2032+1,2027+1+dly_d1_m/12)-(MAX(2027,asof)+dly_d1_m/12))))</f>
        <v>1</v>
      </c>
      <c r="I158" s="29" t="n">
        <f aca="false">MAX(0,MIN(2032+1,2028+MAX(0,MIN(1,asof-2028)))-2028)+IF(AND(2028&gt;=dly_d2_y0,2028&lt;=dly_d2_y1),(1-dly_d2_bind)*((1-dly_d1_s)*MAX(0,MIN(2032+1,2028+1+0)-(MAX(2028,asof)+0))+dly_d1_s*MAX(0,MIN(2032+1,2028+1+dly_d1_m/12)-(MAX(2028,asof)+dly_d1_m/12)))+dly_d2_bind*((1-dly_d1_s)*MAX(0,MIN(2032+1,2028+1+dly_d2_m/12)-(MAX(2028,asof)+dly_d2_m/12))+dly_d1_s*MAX(0,MIN(2032+1,2028+1+(dly_d1_m+dly_d2_m)/12)-(MAX(2028,asof)+(dly_d1_m+dly_d2_m)/12))),((1-dly_d1_s)*MAX(0,MIN(2032+1,2028+1+0)-(MAX(2028,asof)+0))+dly_d1_s*MAX(0,MIN(2032+1,2028+1+dly_d1_m/12)-(MAX(2028,asof)+dly_d1_m/12))))</f>
        <v>1</v>
      </c>
      <c r="J158" s="29" t="n">
        <f aca="false">MAX(0,MIN(2032+1,2029+MAX(0,MIN(1,asof-2029)))-2029)+IF(AND(2029&gt;=dly_d2_y0,2029&lt;=dly_d2_y1),(1-dly_d2_bind)*((1-dly_d1_s)*MAX(0,MIN(2032+1,2029+1+0)-(MAX(2029,asof)+0))+dly_d1_s*MAX(0,MIN(2032+1,2029+1+dly_d1_m/12)-(MAX(2029,asof)+dly_d1_m/12)))+dly_d2_bind*((1-dly_d1_s)*MAX(0,MIN(2032+1,2029+1+dly_d2_m/12)-(MAX(2029,asof)+dly_d2_m/12))+dly_d1_s*MAX(0,MIN(2032+1,2029+1+(dly_d1_m+dly_d2_m)/12)-(MAX(2029,asof)+(dly_d1_m+dly_d2_m)/12))),((1-dly_d1_s)*MAX(0,MIN(2032+1,2029+1+0)-(MAX(2029,asof)+0))+dly_d1_s*MAX(0,MIN(2032+1,2029+1+dly_d1_m/12)-(MAX(2029,asof)+dly_d1_m/12))))</f>
        <v>1</v>
      </c>
      <c r="K158" s="29" t="n">
        <f aca="false">MAX(0,MIN(2032+1,2030+MAX(0,MIN(1,asof-2030)))-2030)+IF(AND(2030&gt;=dly_d2_y0,2030&lt;=dly_d2_y1),(1-dly_d2_bind)*((1-dly_d1_s)*MAX(0,MIN(2032+1,2030+1+0)-(MAX(2030,asof)+0))+dly_d1_s*MAX(0,MIN(2032+1,2030+1+dly_d1_m/12)-(MAX(2030,asof)+dly_d1_m/12)))+dly_d2_bind*((1-dly_d1_s)*MAX(0,MIN(2032+1,2030+1+dly_d2_m/12)-(MAX(2030,asof)+dly_d2_m/12))+dly_d1_s*MAX(0,MIN(2032+1,2030+1+(dly_d1_m+dly_d2_m)/12)-(MAX(2030,asof)+(dly_d1_m+dly_d2_m)/12))),((1-dly_d1_s)*MAX(0,MIN(2032+1,2030+1+0)-(MAX(2030,asof)+0))+dly_d1_s*MAX(0,MIN(2032+1,2030+1+dly_d1_m/12)-(MAX(2030,asof)+dly_d1_m/12))))</f>
        <v>1</v>
      </c>
      <c r="L158" s="29" t="n">
        <f aca="false">MAX(0,MIN(2032+1,2031+MAX(0,MIN(1,asof-2031)))-2031)+IF(AND(2031&gt;=dly_d2_y0,2031&lt;=dly_d2_y1),(1-dly_d2_bind)*((1-dly_d1_s)*MAX(0,MIN(2032+1,2031+1+0)-(MAX(2031,asof)+0))+dly_d1_s*MAX(0,MIN(2032+1,2031+1+dly_d1_m/12)-(MAX(2031,asof)+dly_d1_m/12)))+dly_d2_bind*((1-dly_d1_s)*MAX(0,MIN(2032+1,2031+1+dly_d2_m/12)-(MAX(2031,asof)+dly_d2_m/12))+dly_d1_s*MAX(0,MIN(2032+1,2031+1+(dly_d1_m+dly_d2_m)/12)-(MAX(2031,asof)+(dly_d1_m+dly_d2_m)/12))),((1-dly_d1_s)*MAX(0,MIN(2032+1,2031+1+0)-(MAX(2031,asof)+0))+dly_d1_s*MAX(0,MIN(2032+1,2031+1+dly_d1_m/12)-(MAX(2031,asof)+dly_d1_m/12))))</f>
        <v>1</v>
      </c>
      <c r="M158" s="29" t="n">
        <f aca="false">MAX(0,MIN(2032+1,2032+MAX(0,MIN(1,asof-2032)))-2032)+IF(AND(2032&gt;=dly_d2_y0,2032&lt;=dly_d2_y1),(1-dly_d2_bind)*((1-dly_d1_s)*MAX(0,MIN(2032+1,2032+1+0)-(MAX(2032,asof)+0))+dly_d1_s*MAX(0,MIN(2032+1,2032+1+dly_d1_m/12)-(MAX(2032,asof)+dly_d1_m/12)))+dly_d2_bind*((1-dly_d1_s)*MAX(0,MIN(2032+1,2032+1+dly_d2_m/12)-(MAX(2032,asof)+dly_d2_m/12))+dly_d1_s*MAX(0,MIN(2032+1,2032+1+(dly_d1_m+dly_d2_m)/12)-(MAX(2032,asof)+(dly_d1_m+dly_d2_m)/12))),((1-dly_d1_s)*MAX(0,MIN(2032+1,2032+1+0)-(MAX(2032,asof)+0))+dly_d1_s*MAX(0,MIN(2032+1,2032+1+dly_d1_m/12)-(MAX(2032,asof)+dly_d1_m/12))))</f>
        <v>0.825</v>
      </c>
    </row>
    <row r="160" customFormat="false" ht="17.15" hidden="false" customHeight="false" outlineLevel="0" collapsed="false">
      <c r="A160" s="8" t="s">
        <v>1377</v>
      </c>
    </row>
    <row r="161" customFormat="false" ht="15" hidden="false" customHeight="false" outlineLevel="0" collapsed="false">
      <c r="A161" s="6" t="s">
        <v>15</v>
      </c>
      <c r="B161" s="6" t="s">
        <v>1378</v>
      </c>
      <c r="C161" s="6"/>
      <c r="D161" s="7" t="s">
        <v>21</v>
      </c>
      <c r="E161" s="7" t="s">
        <v>22</v>
      </c>
      <c r="F161" s="7" t="s">
        <v>23</v>
      </c>
      <c r="G161" s="7" t="s">
        <v>24</v>
      </c>
      <c r="H161" s="7" t="s">
        <v>25</v>
      </c>
      <c r="I161" s="7" t="s">
        <v>26</v>
      </c>
      <c r="J161" s="7" t="s">
        <v>27</v>
      </c>
      <c r="K161" s="7" t="s">
        <v>28</v>
      </c>
      <c r="L161" s="7" t="s">
        <v>29</v>
      </c>
      <c r="M161" s="7" t="s">
        <v>30</v>
      </c>
    </row>
    <row r="162" customFormat="false" ht="15" hidden="false" customHeight="false" outlineLevel="0" collapsed="false">
      <c r="A162" s="5" t="s">
        <v>1379</v>
      </c>
      <c r="D162" s="24" t="n">
        <f aca="false">SUM($D$120:D120)</f>
        <v>0.630578355681972</v>
      </c>
      <c r="E162" s="24" t="n">
        <f aca="false">SUM($D$120:E120)</f>
        <v>4.58957736166105</v>
      </c>
      <c r="F162" s="24" t="n">
        <f aca="false">SUM($D$120:F120)</f>
        <v>14.6682106949944</v>
      </c>
      <c r="G162" s="24" t="n">
        <f aca="false">SUM($D$120:G120)</f>
        <v>14.6682106949944</v>
      </c>
      <c r="H162" s="24" t="n">
        <f aca="false">SUM($D$120:H120)</f>
        <v>14.6682106949944</v>
      </c>
      <c r="I162" s="24" t="n">
        <f aca="false">SUM($D$120:I120)</f>
        <v>14.6682106949944</v>
      </c>
      <c r="J162" s="24" t="n">
        <f aca="false">SUM($D$120:J120)</f>
        <v>14.6682106949944</v>
      </c>
      <c r="K162" s="24" t="n">
        <f aca="false">SUM($D$120:K120)</f>
        <v>14.6682106949944</v>
      </c>
      <c r="L162" s="24" t="n">
        <f aca="false">SUM($D$120:L120)</f>
        <v>14.6682106949944</v>
      </c>
      <c r="M162" s="24" t="n">
        <f aca="false">SUM($D$120:M120)</f>
        <v>14.6682106949944</v>
      </c>
    </row>
    <row r="163" customFormat="false" ht="15" hidden="false" customHeight="false" outlineLevel="0" collapsed="false">
      <c r="A163" s="5" t="s">
        <v>1380</v>
      </c>
      <c r="D163" s="24" t="n">
        <f aca="false">SUM($D$117:D117)</f>
        <v>0</v>
      </c>
      <c r="E163" s="24" t="n">
        <f aca="false">SUM($D$117:E117)</f>
        <v>0</v>
      </c>
      <c r="F163" s="24" t="n">
        <f aca="false">SUM($D$117:F117)</f>
        <v>0</v>
      </c>
      <c r="G163" s="24" t="n">
        <f aca="false">SUM($D$117:G117)</f>
        <v>3.11976412772586</v>
      </c>
      <c r="H163" s="24" t="n">
        <f aca="false">SUM($D$117:H117)</f>
        <v>3.11976412772586</v>
      </c>
      <c r="I163" s="24" t="n">
        <f aca="false">SUM($D$117:I117)</f>
        <v>3.11976412772586</v>
      </c>
      <c r="J163" s="24" t="n">
        <f aca="false">SUM($D$117:J117)</f>
        <v>3.11976412772586</v>
      </c>
      <c r="K163" s="24" t="n">
        <f aca="false">SUM($D$117:K117)</f>
        <v>3.11976412772586</v>
      </c>
      <c r="L163" s="24" t="n">
        <f aca="false">SUM($D$117:L117)</f>
        <v>3.11976412772586</v>
      </c>
      <c r="M163" s="24" t="n">
        <f aca="false">SUM($D$117:M117)</f>
        <v>3.11976412772586</v>
      </c>
    </row>
    <row r="164" customFormat="false" ht="15" hidden="false" customHeight="false" outlineLevel="0" collapsed="false">
      <c r="A164" s="5" t="s">
        <v>1381</v>
      </c>
      <c r="B164" s="0" t="s">
        <v>1382</v>
      </c>
      <c r="D164" s="24" t="n">
        <f aca="false">SUMPRODUCT($E$118:$M$118,$E$125:$M$125)</f>
        <v>0</v>
      </c>
      <c r="E164" s="24" t="n">
        <f aca="false">SUMPRODUCT($E$118:$M$118,$E$126:$M$126)</f>
        <v>1.61980834349181</v>
      </c>
      <c r="F164" s="24" t="n">
        <f aca="false">SUMPRODUCT($E$118:$M$118,$E$127:$M$127)</f>
        <v>10.347932638339</v>
      </c>
      <c r="G164" s="24" t="n">
        <f aca="false">SUMPRODUCT($E$118:$M$118,$E$128:$M$128)</f>
        <v>17.5505399716723</v>
      </c>
      <c r="H164" s="24" t="n">
        <f aca="false">SUMPRODUCT($E$118:$M$118,$E$129:$M$129)</f>
        <v>20.8195184295128</v>
      </c>
      <c r="I164" s="24" t="n">
        <f aca="false">SUMPRODUCT($E$118:$M$118,$E$130:$M$130)</f>
        <v>24.6382324904218</v>
      </c>
      <c r="J164" s="24" t="n">
        <f aca="false">SUMPRODUCT($E$118:$M$118,$E$131:$M$131)</f>
        <v>28.7882538214193</v>
      </c>
      <c r="K164" s="24" t="n">
        <f aca="false">SUMPRODUCT($E$118:$M$118,$E$132:$M$132)</f>
        <v>33.3143088434672</v>
      </c>
      <c r="L164" s="24" t="n">
        <f aca="false">SUMPRODUCT($E$118:$M$118,$E$133:$M$133)</f>
        <v>35.4681549973133</v>
      </c>
      <c r="M164" s="24" t="n">
        <f aca="false">SUMPRODUCT($E$118:$M$118,$E$134:$M$134)</f>
        <v>37.8373857665441</v>
      </c>
    </row>
    <row r="165" customFormat="false" ht="15" hidden="false" customHeight="false" outlineLevel="0" collapsed="false">
      <c r="A165" s="5" t="s">
        <v>1381</v>
      </c>
      <c r="B165" s="0" t="s">
        <v>1383</v>
      </c>
      <c r="D165" s="24" t="n">
        <f aca="false">SUMPRODUCT($E$118:$M$118,$E$137:$M$137)</f>
        <v>0</v>
      </c>
      <c r="E165" s="24" t="n">
        <f aca="false">SUMPRODUCT($E$118:$M$118,$E$138:$M$138)</f>
        <v>1.61980834349181</v>
      </c>
      <c r="F165" s="24" t="n">
        <f aca="false">SUMPRODUCT($E$118:$M$118,$E$139:$M$139)</f>
        <v>10.347932638339</v>
      </c>
      <c r="G165" s="24" t="n">
        <f aca="false">SUMPRODUCT($E$118:$M$118,$E$140:$M$140)</f>
        <v>17.1093802725057</v>
      </c>
      <c r="H165" s="24" t="n">
        <f aca="false">SUMPRODUCT($E$118:$M$118,$E$141:$M$141)</f>
        <v>20.2474471993907</v>
      </c>
      <c r="I165" s="24" t="n">
        <f aca="false">SUMPRODUCT($E$118:$M$118,$E$142:$M$142)</f>
        <v>23.9699575297627</v>
      </c>
      <c r="J165" s="24" t="n">
        <f aca="false">SUMPRODUCT($E$118:$M$118,$E$143:$M$143)</f>
        <v>28.0620000884947</v>
      </c>
      <c r="K165" s="24" t="n">
        <f aca="false">SUMPRODUCT($E$118:$M$118,$E$144:$M$144)</f>
        <v>32.5222492146088</v>
      </c>
      <c r="L165" s="24" t="n">
        <f aca="false">SUMPRODUCT($E$118:$M$118,$E$145:$M$145)</f>
        <v>35.0912319203902</v>
      </c>
      <c r="M165" s="24" t="n">
        <f aca="false">SUMPRODUCT($E$118:$M$118,$E$146:$M$146)</f>
        <v>37.4227703819287</v>
      </c>
    </row>
    <row r="166" customFormat="false" ht="15" hidden="false" customHeight="false" outlineLevel="0" collapsed="false">
      <c r="A166" s="5" t="s">
        <v>1381</v>
      </c>
      <c r="B166" s="0" t="s">
        <v>1384</v>
      </c>
      <c r="D166" s="24" t="n">
        <f aca="false">SUMPRODUCT($E$118:$M$118,$E$149:$M$149)</f>
        <v>0</v>
      </c>
      <c r="E166" s="24" t="n">
        <f aca="false">SUMPRODUCT($E$118:$M$118,$E$150:$M$150)</f>
        <v>1.61980834349181</v>
      </c>
      <c r="F166" s="24" t="n">
        <f aca="false">SUMPRODUCT($E$118:$M$118,$E$151:$M$151)</f>
        <v>10.347932638339</v>
      </c>
      <c r="G166" s="24" t="n">
        <f aca="false">SUMPRODUCT($E$118:$M$118,$E$152:$M$152)</f>
        <v>17.1093802725057</v>
      </c>
      <c r="H166" s="24" t="n">
        <f aca="false">SUMPRODUCT($E$118:$M$118,$E$153:$M$153)</f>
        <v>19.1686843083033</v>
      </c>
      <c r="I166" s="24" t="n">
        <f aca="false">SUMPRODUCT($E$118:$M$118,$E$154:$M$154)</f>
        <v>22.4809533976139</v>
      </c>
      <c r="J166" s="24" t="n">
        <f aca="false">SUMPRODUCT($E$118:$M$118,$E$155:$M$155)</f>
        <v>27.7946901042311</v>
      </c>
      <c r="K166" s="24" t="n">
        <f aca="false">SUMPRODUCT($E$118:$M$118,$E$156:$M$156)</f>
        <v>32.5222492146088</v>
      </c>
      <c r="L166" s="24" t="n">
        <f aca="false">SUMPRODUCT($E$118:$M$118,$E$157:$M$157)</f>
        <v>35.0912319203902</v>
      </c>
      <c r="M166" s="24" t="n">
        <f aca="false">SUMPRODUCT($E$118:$M$118,$E$158:$M$158)</f>
        <v>37.4227703819287</v>
      </c>
    </row>
    <row r="167" customFormat="false" ht="15" hidden="false" customHeight="false" outlineLevel="0" collapsed="false">
      <c r="A167" s="5" t="s">
        <v>1385</v>
      </c>
      <c r="B167" s="0" t="s">
        <v>1382</v>
      </c>
      <c r="D167" s="24" t="n">
        <f aca="false">SUMPRODUCT($L$5:$L$64,$Q$5:$Q$64,($M$5:$M$64&lt;=2023+1)*1)</f>
        <v>0</v>
      </c>
      <c r="E167" s="24" t="n">
        <f aca="false">SUMPRODUCT($L$5:$L$64,$Q$5:$Q$64,($M$5:$M$64&lt;=2024+1)*1)</f>
        <v>0</v>
      </c>
      <c r="F167" s="24" t="n">
        <f aca="false">SUMPRODUCT($L$5:$L$64,$Q$5:$Q$64,($M$5:$M$64&lt;=2025+1)*1)</f>
        <v>0.321</v>
      </c>
      <c r="G167" s="24" t="n">
        <f aca="false">SUMPRODUCT($L$5:$L$64,$Q$5:$Q$64,($M$5:$M$64&lt;=2026+1)*1)</f>
        <v>2.514</v>
      </c>
      <c r="H167" s="24" t="n">
        <f aca="false">SUMPRODUCT($L$5:$L$64,$Q$5:$Q$64,($M$5:$M$64&lt;=2027+1)*1)</f>
        <v>7.71366666666667</v>
      </c>
      <c r="I167" s="24" t="n">
        <f aca="false">SUMPRODUCT($L$5:$L$64,$Q$5:$Q$64,($M$5:$M$64&lt;=2028+1)*1)</f>
        <v>22.2828333333333</v>
      </c>
      <c r="J167" s="24" t="n">
        <f aca="false">SUMPRODUCT($L$5:$L$64,$Q$5:$Q$64,($M$5:$M$64&lt;=2029+1)*1)</f>
        <v>23.8618333333333</v>
      </c>
      <c r="K167" s="24" t="n">
        <f aca="false">SUMPRODUCT($L$5:$L$64,$Q$5:$Q$64,($M$5:$M$64&lt;=2030+1)*1)</f>
        <v>25.2108333333333</v>
      </c>
      <c r="L167" s="24" t="n">
        <f aca="false">SUMPRODUCT($L$5:$L$64,$Q$5:$Q$64,($M$5:$M$64&lt;=2031+1)*1)</f>
        <v>26.3608333333333</v>
      </c>
      <c r="M167" s="24" t="n">
        <f aca="false">SUMPRODUCT($L$5:$L$64,$Q$5:$Q$64,($M$5:$M$64&lt;=2032+1)*1)</f>
        <v>26.3608333333333</v>
      </c>
    </row>
    <row r="168" customFormat="false" ht="15" hidden="false" customHeight="false" outlineLevel="0" collapsed="false">
      <c r="A168" s="5" t="s">
        <v>1385</v>
      </c>
      <c r="B168" s="0" t="s">
        <v>1383</v>
      </c>
      <c r="D168" s="24" t="n">
        <f aca="false">SUMPRODUCT($L$5:$L$64,$Q$5:$Q$64,((($J$5:$J$64&gt;0)+($J$5:$J$64&lt;=0)*(1-dly_d1_s))*($N$5:$N$64&lt;=2023+1)+($J$5:$J$64&lt;=0)*dly_d1_s*($O$5:$O$64&lt;=2023+1)))</f>
        <v>0</v>
      </c>
      <c r="E168" s="24" t="n">
        <f aca="false">SUMPRODUCT($L$5:$L$64,$Q$5:$Q$64,((($J$5:$J$64&gt;0)+($J$5:$J$64&lt;=0)*(1-dly_d1_s))*($N$5:$N$64&lt;=2024+1)+($J$5:$J$64&lt;=0)*dly_d1_s*($O$5:$O$64&lt;=2024+1)))</f>
        <v>0</v>
      </c>
      <c r="F168" s="24" t="n">
        <f aca="false">SUMPRODUCT($L$5:$L$64,$Q$5:$Q$64,((($J$5:$J$64&gt;0)+($J$5:$J$64&lt;=0)*(1-dly_d1_s))*($N$5:$N$64&lt;=2025+1)+($J$5:$J$64&lt;=0)*dly_d1_s*($O$5:$O$64&lt;=2025+1)))</f>
        <v>0.321</v>
      </c>
      <c r="G168" s="24" t="n">
        <f aca="false">SUMPRODUCT($L$5:$L$64,$Q$5:$Q$64,((($J$5:$J$64&gt;0)+($J$5:$J$64&lt;=0)*(1-dly_d1_s))*($N$5:$N$64&lt;=2026+1)+($J$5:$J$64&lt;=0)*dly_d1_s*($O$5:$O$64&lt;=2026+1)))</f>
        <v>2.1507</v>
      </c>
      <c r="H168" s="24" t="n">
        <f aca="false">SUMPRODUCT($L$5:$L$64,$Q$5:$Q$64,((($J$5:$J$64&gt;0)+($J$5:$J$64&lt;=0)*(1-dly_d1_s))*($N$5:$N$64&lt;=2027+1)+($J$5:$J$64&lt;=0)*dly_d1_s*($O$5:$O$64&lt;=2027+1)))</f>
        <v>6.61618333333333</v>
      </c>
      <c r="I168" s="24" t="n">
        <f aca="false">SUMPRODUCT($L$5:$L$64,$Q$5:$Q$64,((($J$5:$J$64&gt;0)+($J$5:$J$64&lt;=0)*(1-dly_d1_s))*($N$5:$N$64&lt;=2028+1)+($J$5:$J$64&lt;=0)*dly_d1_s*($O$5:$O$64&lt;=2028+1)))</f>
        <v>19.299375</v>
      </c>
      <c r="J168" s="24" t="n">
        <f aca="false">SUMPRODUCT($L$5:$L$64,$Q$5:$Q$64,((($J$5:$J$64&gt;0)+($J$5:$J$64&lt;=0)*(1-dly_d1_s))*($N$5:$N$64&lt;=2029+1)+($J$5:$J$64&lt;=0)*dly_d1_s*($O$5:$O$64&lt;=2029+1)))</f>
        <v>23.3308833333333</v>
      </c>
      <c r="K168" s="24" t="n">
        <f aca="false">SUMPRODUCT($L$5:$L$64,$Q$5:$Q$64,((($J$5:$J$64&gt;0)+($J$5:$J$64&lt;=0)*(1-dly_d1_s))*($N$5:$N$64&lt;=2030+1)+($J$5:$J$64&lt;=0)*dly_d1_s*($O$5:$O$64&lt;=2030+1)))</f>
        <v>24.7386833333333</v>
      </c>
      <c r="L168" s="24" t="n">
        <f aca="false">SUMPRODUCT($L$5:$L$64,$Q$5:$Q$64,((($J$5:$J$64&gt;0)+($J$5:$J$64&lt;=0)*(1-dly_d1_s))*($N$5:$N$64&lt;=2031+1)+($J$5:$J$64&lt;=0)*dly_d1_s*($O$5:$O$64&lt;=2031+1)))</f>
        <v>25.9583333333333</v>
      </c>
      <c r="M168" s="24" t="n">
        <f aca="false">SUMPRODUCT($L$5:$L$64,$Q$5:$Q$64,((($J$5:$J$64&gt;0)+($J$5:$J$64&lt;=0)*(1-dly_d1_s))*($N$5:$N$64&lt;=2032+1)+($J$5:$J$64&lt;=0)*dly_d1_s*($O$5:$O$64&lt;=2032+1)))</f>
        <v>26.3608333333333</v>
      </c>
    </row>
    <row r="169" customFormat="false" ht="15" hidden="false" customHeight="false" outlineLevel="0" collapsed="false">
      <c r="A169" s="5" t="s">
        <v>1385</v>
      </c>
      <c r="B169" s="0" t="s">
        <v>1384</v>
      </c>
      <c r="D169" s="24" t="n">
        <f aca="false">SUMPRODUCT($L$5:$L$64,$Q$5:$Q$64,(1-dly_d2_bind*$R$5:$R$64)*((($J$5:$J$64&gt;0)+($J$5:$J$64&lt;=0)*(1-dly_d1_s))*($N$5:$N$64&lt;=2023+1)+($J$5:$J$64&lt;=0)*dly_d1_s*($O$5:$O$64&lt;=2023+1))+dly_d2_bind*$R$5:$R$64*((($J$5:$J$64&gt;0)+($J$5:$J$64&lt;=0)*(1-dly_d1_s))*($N$5:$N$64+dly_d2_m/12&lt;=2023+1)+($J$5:$J$64&lt;=0)*dly_d1_s*($O$5:$O$64+dly_d2_m/12&lt;=2023+1)))</f>
        <v>0</v>
      </c>
      <c r="E169" s="24" t="n">
        <f aca="false">SUMPRODUCT($L$5:$L$64,$Q$5:$Q$64,(1-dly_d2_bind*$R$5:$R$64)*((($J$5:$J$64&gt;0)+($J$5:$J$64&lt;=0)*(1-dly_d1_s))*($N$5:$N$64&lt;=2024+1)+($J$5:$J$64&lt;=0)*dly_d1_s*($O$5:$O$64&lt;=2024+1))+dly_d2_bind*$R$5:$R$64*((($J$5:$J$64&gt;0)+($J$5:$J$64&lt;=0)*(1-dly_d1_s))*($N$5:$N$64+dly_d2_m/12&lt;=2024+1)+($J$5:$J$64&lt;=0)*dly_d1_s*($O$5:$O$64+dly_d2_m/12&lt;=2024+1)))</f>
        <v>0</v>
      </c>
      <c r="F169" s="24" t="n">
        <f aca="false">SUMPRODUCT($L$5:$L$64,$Q$5:$Q$64,(1-dly_d2_bind*$R$5:$R$64)*((($J$5:$J$64&gt;0)+($J$5:$J$64&lt;=0)*(1-dly_d1_s))*($N$5:$N$64&lt;=2025+1)+($J$5:$J$64&lt;=0)*dly_d1_s*($O$5:$O$64&lt;=2025+1))+dly_d2_bind*$R$5:$R$64*((($J$5:$J$64&gt;0)+($J$5:$J$64&lt;=0)*(1-dly_d1_s))*($N$5:$N$64+dly_d2_m/12&lt;=2025+1)+($J$5:$J$64&lt;=0)*dly_d1_s*($O$5:$O$64+dly_d2_m/12&lt;=2025+1)))</f>
        <v>0.321</v>
      </c>
      <c r="G169" s="24" t="n">
        <f aca="false">SUMPRODUCT($L$5:$L$64,$Q$5:$Q$64,(1-dly_d2_bind*$R$5:$R$64)*((($J$5:$J$64&gt;0)+($J$5:$J$64&lt;=0)*(1-dly_d1_s))*($N$5:$N$64&lt;=2026+1)+($J$5:$J$64&lt;=0)*dly_d1_s*($O$5:$O$64&lt;=2026+1))+dly_d2_bind*$R$5:$R$64*((($J$5:$J$64&gt;0)+($J$5:$J$64&lt;=0)*(1-dly_d1_s))*($N$5:$N$64+dly_d2_m/12&lt;=2026+1)+($J$5:$J$64&lt;=0)*dly_d1_s*($O$5:$O$64+dly_d2_m/12&lt;=2026+1)))</f>
        <v>2.1507</v>
      </c>
      <c r="H169" s="24" t="n">
        <f aca="false">SUMPRODUCT($L$5:$L$64,$Q$5:$Q$64,(1-dly_d2_bind*$R$5:$R$64)*((($J$5:$J$64&gt;0)+($J$5:$J$64&lt;=0)*(1-dly_d1_s))*($N$5:$N$64&lt;=2027+1)+($J$5:$J$64&lt;=0)*dly_d1_s*($O$5:$O$64&lt;=2027+1))+dly_d2_bind*$R$5:$R$64*((($J$5:$J$64&gt;0)+($J$5:$J$64&lt;=0)*(1-dly_d1_s))*($N$5:$N$64+dly_d2_m/12&lt;=2027+1)+($J$5:$J$64&lt;=0)*dly_d1_s*($O$5:$O$64+dly_d2_m/12&lt;=2027+1)))</f>
        <v>5.02523</v>
      </c>
      <c r="I169" s="24" t="n">
        <f aca="false">SUMPRODUCT($L$5:$L$64,$Q$5:$Q$64,(1-dly_d2_bind*$R$5:$R$64)*((($J$5:$J$64&gt;0)+($J$5:$J$64&lt;=0)*(1-dly_d1_s))*($N$5:$N$64&lt;=2028+1)+($J$5:$J$64&lt;=0)*dly_d1_s*($O$5:$O$64&lt;=2028+1))+dly_d2_bind*$R$5:$R$64*((($J$5:$J$64&gt;0)+($J$5:$J$64&lt;=0)*(1-dly_d1_s))*($N$5:$N$64+dly_d2_m/12&lt;=2028+1)+($J$5:$J$64&lt;=0)*dly_d1_s*($O$5:$O$64+dly_d2_m/12&lt;=2028+1)))</f>
        <v>14.9458183333333</v>
      </c>
      <c r="J169" s="24" t="n">
        <f aca="false">SUMPRODUCT($L$5:$L$64,$Q$5:$Q$64,(1-dly_d2_bind*$R$5:$R$64)*((($J$5:$J$64&gt;0)+($J$5:$J$64&lt;=0)*(1-dly_d1_s))*($N$5:$N$64&lt;=2029+1)+($J$5:$J$64&lt;=0)*dly_d1_s*($O$5:$O$64&lt;=2029+1))+dly_d2_bind*$R$5:$R$64*((($J$5:$J$64&gt;0)+($J$5:$J$64&lt;=0)*(1-dly_d1_s))*($N$5:$N$64+dly_d2_m/12&lt;=2029+1)+($J$5:$J$64&lt;=0)*dly_d1_s*($O$5:$O$64+dly_d2_m/12&lt;=2029+1)))</f>
        <v>22.15906</v>
      </c>
      <c r="K169" s="24" t="n">
        <f aca="false">SUMPRODUCT($L$5:$L$64,$Q$5:$Q$64,(1-dly_d2_bind*$R$5:$R$64)*((($J$5:$J$64&gt;0)+($J$5:$J$64&lt;=0)*(1-dly_d1_s))*($N$5:$N$64&lt;=2030+1)+($J$5:$J$64&lt;=0)*dly_d1_s*($O$5:$O$64&lt;=2030+1))+dly_d2_bind*$R$5:$R$64*((($J$5:$J$64&gt;0)+($J$5:$J$64&lt;=0)*(1-dly_d1_s))*($N$5:$N$64+dly_d2_m/12&lt;=2030+1)+($J$5:$J$64&lt;=0)*dly_d1_s*($O$5:$O$64+dly_d2_m/12&lt;=2030+1)))</f>
        <v>24.7386833333333</v>
      </c>
      <c r="L169" s="24" t="n">
        <f aca="false">SUMPRODUCT($L$5:$L$64,$Q$5:$Q$64,(1-dly_d2_bind*$R$5:$R$64)*((($J$5:$J$64&gt;0)+($J$5:$J$64&lt;=0)*(1-dly_d1_s))*($N$5:$N$64&lt;=2031+1)+($J$5:$J$64&lt;=0)*dly_d1_s*($O$5:$O$64&lt;=2031+1))+dly_d2_bind*$R$5:$R$64*((($J$5:$J$64&gt;0)+($J$5:$J$64&lt;=0)*(1-dly_d1_s))*($N$5:$N$64+dly_d2_m/12&lt;=2031+1)+($J$5:$J$64&lt;=0)*dly_d1_s*($O$5:$O$64+dly_d2_m/12&lt;=2031+1)))</f>
        <v>25.9583333333333</v>
      </c>
      <c r="M169" s="24" t="n">
        <f aca="false">SUMPRODUCT($L$5:$L$64,$Q$5:$Q$64,(1-dly_d2_bind*$R$5:$R$64)*((($J$5:$J$64&gt;0)+($J$5:$J$64&lt;=0)*(1-dly_d1_s))*($N$5:$N$64&lt;=2032+1)+($J$5:$J$64&lt;=0)*dly_d1_s*($O$5:$O$64&lt;=2032+1))+dly_d2_bind*$R$5:$R$64*((($J$5:$J$64&gt;0)+($J$5:$J$64&lt;=0)*(1-dly_d1_s))*($N$5:$N$64+dly_d2_m/12&lt;=2032+1)+($J$5:$J$64&lt;=0)*dly_d1_s*($O$5:$O$64+dly_d2_m/12&lt;=2032+1)))</f>
        <v>26.3608333333333</v>
      </c>
    </row>
    <row r="170" customFormat="false" ht="17.15" hidden="false" customHeight="false" outlineLevel="0" collapsed="false">
      <c r="A170" s="21" t="s">
        <v>1386</v>
      </c>
      <c r="B170" s="20" t="s">
        <v>1382</v>
      </c>
      <c r="D170" s="25" t="n">
        <f aca="false">D162+D163+D164+D167</f>
        <v>0.630578355681972</v>
      </c>
      <c r="E170" s="25" t="n">
        <f aca="false">E162+E163+E164+E167</f>
        <v>6.20938570515285</v>
      </c>
      <c r="F170" s="25" t="n">
        <f aca="false">F162+F163+F164+F167</f>
        <v>25.3371433333333</v>
      </c>
      <c r="G170" s="25" t="n">
        <f aca="false">G162+G163+G164+G167</f>
        <v>37.8525147943925</v>
      </c>
      <c r="H170" s="25" t="n">
        <f aca="false">H162+H163+H164+H167</f>
        <v>46.3211599188997</v>
      </c>
      <c r="I170" s="25" t="n">
        <f aca="false">I162+I163+I164+I167</f>
        <v>64.7090406464754</v>
      </c>
      <c r="J170" s="25" t="n">
        <f aca="false">J162+J163+J164+J167</f>
        <v>70.4380619774728</v>
      </c>
      <c r="K170" s="25" t="n">
        <f aca="false">K162+K163+K164+K167</f>
        <v>76.3131169995207</v>
      </c>
      <c r="L170" s="25" t="n">
        <f aca="false">L162+L163+L164+L167</f>
        <v>79.6169631533669</v>
      </c>
      <c r="M170" s="25" t="n">
        <f aca="false">M162+M163+M164+M167</f>
        <v>81.9861939225977</v>
      </c>
    </row>
    <row r="171" customFormat="false" ht="17.15" hidden="false" customHeight="false" outlineLevel="0" collapsed="false">
      <c r="A171" s="21" t="s">
        <v>1386</v>
      </c>
      <c r="B171" s="20" t="s">
        <v>1383</v>
      </c>
      <c r="D171" s="25" t="n">
        <f aca="false">D162+D163+D165+D168</f>
        <v>0.630578355681972</v>
      </c>
      <c r="E171" s="25" t="n">
        <f aca="false">E162+E163+E165+E168</f>
        <v>6.20938570515285</v>
      </c>
      <c r="F171" s="25" t="n">
        <f aca="false">F162+F163+F165+F168</f>
        <v>25.3371433333333</v>
      </c>
      <c r="G171" s="25" t="n">
        <f aca="false">G162+G163+G165+G168</f>
        <v>37.048055095226</v>
      </c>
      <c r="H171" s="25" t="n">
        <f aca="false">H162+H163+H165+H168</f>
        <v>44.6516053554443</v>
      </c>
      <c r="I171" s="25" t="n">
        <f aca="false">I162+I163+I165+I168</f>
        <v>61.057307352483</v>
      </c>
      <c r="J171" s="25" t="n">
        <f aca="false">J162+J163+J165+J168</f>
        <v>69.1808582445483</v>
      </c>
      <c r="K171" s="25" t="n">
        <f aca="false">K162+K163+K165+K168</f>
        <v>75.0489073706624</v>
      </c>
      <c r="L171" s="25" t="n">
        <f aca="false">L162+L163+L165+L168</f>
        <v>78.8375400764438</v>
      </c>
      <c r="M171" s="25" t="n">
        <f aca="false">M162+M163+M165+M168</f>
        <v>81.5715785379823</v>
      </c>
    </row>
    <row r="172" customFormat="false" ht="17.15" hidden="false" customHeight="false" outlineLevel="0" collapsed="false">
      <c r="A172" s="21" t="s">
        <v>1386</v>
      </c>
      <c r="B172" s="20" t="s">
        <v>1384</v>
      </c>
      <c r="D172" s="25" t="n">
        <f aca="false">D162+D163+D166+D169</f>
        <v>0.630578355681972</v>
      </c>
      <c r="E172" s="25" t="n">
        <f aca="false">E162+E163+E166+E169</f>
        <v>6.20938570515285</v>
      </c>
      <c r="F172" s="25" t="n">
        <f aca="false">F162+F163+F166+F169</f>
        <v>25.3371433333333</v>
      </c>
      <c r="G172" s="25" t="n">
        <f aca="false">G162+G163+G166+G169</f>
        <v>37.048055095226</v>
      </c>
      <c r="H172" s="25" t="n">
        <f aca="false">H162+H163+H166+H169</f>
        <v>41.9818891310236</v>
      </c>
      <c r="I172" s="25" t="n">
        <f aca="false">I162+I163+I166+I169</f>
        <v>55.2147465536675</v>
      </c>
      <c r="J172" s="25" t="n">
        <f aca="false">J162+J163+J166+J169</f>
        <v>67.7417249269513</v>
      </c>
      <c r="K172" s="25" t="n">
        <f aca="false">K162+K163+K166+K169</f>
        <v>75.0489073706624</v>
      </c>
      <c r="L172" s="25" t="n">
        <f aca="false">L162+L163+L166+L169</f>
        <v>78.8375400764438</v>
      </c>
      <c r="M172" s="25" t="n">
        <f aca="false">M162+M163+M166+M169</f>
        <v>81.5715785379823</v>
      </c>
    </row>
    <row r="173" customFormat="false" ht="17.15" hidden="false" customHeight="false" outlineLevel="0" collapsed="false">
      <c r="A173" s="5" t="s">
        <v>1387</v>
      </c>
      <c r="B173" s="0" t="s">
        <v>1382</v>
      </c>
      <c r="D173" s="24" t="n">
        <f aca="false">0</f>
        <v>0</v>
      </c>
      <c r="E173" s="24" t="n">
        <f aca="false">E170-D170-E120</f>
        <v>1.61980834349181</v>
      </c>
      <c r="F173" s="24" t="n">
        <f aca="false">F170-E170-F120</f>
        <v>9.04912429484716</v>
      </c>
      <c r="G173" s="24" t="n">
        <f aca="false">G170-F170-G120</f>
        <v>12.5153714610592</v>
      </c>
      <c r="H173" s="24" t="n">
        <f aca="false">H170-G170-H120</f>
        <v>8.46864512450717</v>
      </c>
      <c r="I173" s="24" t="n">
        <f aca="false">I170-H170-I120</f>
        <v>18.3878807275757</v>
      </c>
      <c r="J173" s="24" t="n">
        <f aca="false">J170-I170-J120</f>
        <v>5.72902133099746</v>
      </c>
      <c r="K173" s="24" t="n">
        <f aca="false">K170-J170-K120</f>
        <v>5.87505502204789</v>
      </c>
      <c r="L173" s="24" t="n">
        <f aca="false">L170-K170-L120</f>
        <v>3.30384615384617</v>
      </c>
      <c r="M173" s="24" t="n">
        <f aca="false">M170-L170-M120</f>
        <v>2.36923076923077</v>
      </c>
    </row>
    <row r="174" customFormat="false" ht="17.15" hidden="false" customHeight="false" outlineLevel="0" collapsed="false">
      <c r="A174" s="5" t="s">
        <v>1387</v>
      </c>
      <c r="B174" s="0" t="s">
        <v>1383</v>
      </c>
      <c r="D174" s="24" t="n">
        <f aca="false">0</f>
        <v>0</v>
      </c>
      <c r="E174" s="24" t="n">
        <f aca="false">E171-D171-E120</f>
        <v>1.61980834349181</v>
      </c>
      <c r="F174" s="24" t="n">
        <f aca="false">F171-E171-F120</f>
        <v>9.04912429484716</v>
      </c>
      <c r="G174" s="24" t="n">
        <f aca="false">G171-F171-G120</f>
        <v>11.7109117618926</v>
      </c>
      <c r="H174" s="24" t="n">
        <f aca="false">H171-G171-H120</f>
        <v>7.6035502602183</v>
      </c>
      <c r="I174" s="24" t="n">
        <f aca="false">I171-H171-I120</f>
        <v>16.4057019970387</v>
      </c>
      <c r="J174" s="24" t="n">
        <f aca="false">J171-I171-J120</f>
        <v>8.12355089206531</v>
      </c>
      <c r="K174" s="24" t="n">
        <f aca="false">K171-J171-K120</f>
        <v>5.86804912611407</v>
      </c>
      <c r="L174" s="24" t="n">
        <f aca="false">L171-K171-L120</f>
        <v>3.78863270578147</v>
      </c>
      <c r="M174" s="24" t="n">
        <f aca="false">M171-L171-M120</f>
        <v>2.73403846153846</v>
      </c>
    </row>
    <row r="175" customFormat="false" ht="17.15" hidden="false" customHeight="false" outlineLevel="0" collapsed="false">
      <c r="A175" s="5" t="s">
        <v>1387</v>
      </c>
      <c r="B175" s="0" t="s">
        <v>1384</v>
      </c>
      <c r="D175" s="24" t="n">
        <f aca="false">0</f>
        <v>0</v>
      </c>
      <c r="E175" s="24" t="n">
        <f aca="false">E172-D172-E120</f>
        <v>1.61980834349181</v>
      </c>
      <c r="F175" s="24" t="n">
        <f aca="false">F172-E172-F120</f>
        <v>9.04912429484716</v>
      </c>
      <c r="G175" s="24" t="n">
        <f aca="false">G172-F172-G120</f>
        <v>11.7109117618926</v>
      </c>
      <c r="H175" s="24" t="n">
        <f aca="false">H172-G172-H120</f>
        <v>4.9338340357976</v>
      </c>
      <c r="I175" s="24" t="n">
        <f aca="false">I172-H172-I120</f>
        <v>13.2328574226439</v>
      </c>
      <c r="J175" s="24" t="n">
        <f aca="false">J172-I172-J120</f>
        <v>12.5269783732838</v>
      </c>
      <c r="K175" s="24" t="n">
        <f aca="false">K172-J172-K120</f>
        <v>7.30718244371103</v>
      </c>
      <c r="L175" s="24" t="n">
        <f aca="false">L172-K172-L120</f>
        <v>3.78863270578147</v>
      </c>
      <c r="M175" s="24" t="n">
        <f aca="false">M172-L172-M120</f>
        <v>2.73403846153846</v>
      </c>
    </row>
    <row r="176" customFormat="false" ht="17.15" hidden="false" customHeight="false" outlineLevel="0" collapsed="false">
      <c r="A176" s="5" t="s">
        <v>1388</v>
      </c>
      <c r="B176" s="0" t="s">
        <v>1383</v>
      </c>
      <c r="D176" s="24" t="n">
        <f aca="false">D170-D171</f>
        <v>0</v>
      </c>
      <c r="E176" s="24" t="n">
        <f aca="false">E170-E171</f>
        <v>0</v>
      </c>
      <c r="F176" s="24" t="n">
        <f aca="false">F170-F171</f>
        <v>0</v>
      </c>
      <c r="G176" s="24" t="n">
        <f aca="false">G170-G171</f>
        <v>0.80445969916655</v>
      </c>
      <c r="H176" s="24" t="n">
        <f aca="false">H170-H171</f>
        <v>1.66955456345542</v>
      </c>
      <c r="I176" s="24" t="n">
        <f aca="false">I170-I171</f>
        <v>3.65173329399242</v>
      </c>
      <c r="J176" s="24" t="n">
        <f aca="false">J170-J171</f>
        <v>1.25720373292457</v>
      </c>
      <c r="K176" s="24" t="n">
        <f aca="false">K170-K171</f>
        <v>1.26420962885838</v>
      </c>
      <c r="L176" s="24" t="n">
        <f aca="false">L170-L171</f>
        <v>0.779423076923081</v>
      </c>
      <c r="M176" s="24" t="n">
        <f aca="false">M170-M171</f>
        <v>0.414615384615388</v>
      </c>
    </row>
    <row r="177" customFormat="false" ht="17.15" hidden="false" customHeight="false" outlineLevel="0" collapsed="false">
      <c r="A177" s="5" t="s">
        <v>1388</v>
      </c>
      <c r="B177" s="0" t="s">
        <v>1384</v>
      </c>
      <c r="D177" s="24" t="n">
        <f aca="false">D170-D172</f>
        <v>0</v>
      </c>
      <c r="E177" s="24" t="n">
        <f aca="false">E170-E172</f>
        <v>0</v>
      </c>
      <c r="F177" s="24" t="n">
        <f aca="false">F170-F172</f>
        <v>0</v>
      </c>
      <c r="G177" s="24" t="n">
        <f aca="false">G170-G172</f>
        <v>0.80445969916655</v>
      </c>
      <c r="H177" s="24" t="n">
        <f aca="false">H170-H172</f>
        <v>4.33927078787612</v>
      </c>
      <c r="I177" s="24" t="n">
        <f aca="false">I170-I172</f>
        <v>9.49429409280789</v>
      </c>
      <c r="J177" s="24" t="n">
        <f aca="false">J170-J172</f>
        <v>2.69633705052152</v>
      </c>
      <c r="K177" s="24" t="n">
        <f aca="false">K170-K172</f>
        <v>1.26420962885838</v>
      </c>
      <c r="L177" s="24" t="n">
        <f aca="false">L170-L172</f>
        <v>0.779423076923081</v>
      </c>
      <c r="M177" s="24" t="n">
        <f aca="false">M170-M172</f>
        <v>0.414615384615388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4" min="14" style="0" width="50"/>
  </cols>
  <sheetData>
    <row r="1" customFormat="false" ht="17.15" hidden="false" customHeight="false" outlineLevel="0" collapsed="false">
      <c r="A1" s="0" t="s">
        <v>1389</v>
      </c>
    </row>
    <row r="2" customFormat="false" ht="17.15" hidden="false" customHeight="false" outlineLevel="0" collapsed="false">
      <c r="A2" s="5" t="s">
        <v>1390</v>
      </c>
    </row>
    <row r="3" customFormat="false" ht="15" hidden="false" customHeight="false" outlineLevel="0" collapsed="false">
      <c r="A3" s="6" t="s">
        <v>15</v>
      </c>
      <c r="B3" s="6" t="s">
        <v>1332</v>
      </c>
      <c r="C3" s="6" t="s">
        <v>17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6" t="s">
        <v>20</v>
      </c>
    </row>
    <row r="4" customFormat="false" ht="17.15" hidden="false" customHeight="false" outlineLevel="0" collapsed="false">
      <c r="A4" s="5" t="s">
        <v>1391</v>
      </c>
      <c r="D4" s="0" t="n">
        <f aca="false">MAX(0,1-lag_bldg/12)</f>
        <v>0</v>
      </c>
      <c r="E4" s="0" t="n">
        <f aca="false">MAX(0,MIN(lag_bldg/12,2-lag_bldg/12))</f>
        <v>0.5</v>
      </c>
      <c r="F4" s="0" t="n">
        <f aca="false">MAX(0,MIN(1,lag_bldg/12-1))</f>
        <v>0.5</v>
      </c>
    </row>
    <row r="5" customFormat="false" ht="17.15" hidden="false" customHeight="false" outlineLevel="0" collapsed="false">
      <c r="A5" s="5" t="s">
        <v>1392</v>
      </c>
      <c r="D5" s="0" t="n">
        <f aca="false">MAX(0,1-lag_bldg_lo/12)</f>
        <v>0</v>
      </c>
      <c r="E5" s="0" t="n">
        <f aca="false">MAX(0,MIN(lag_bldg_lo/12,2-lag_bldg_lo/12))</f>
        <v>1</v>
      </c>
      <c r="F5" s="0" t="n">
        <f aca="false">MAX(0,MIN(1,lag_bldg_lo/12-1))</f>
        <v>0</v>
      </c>
    </row>
    <row r="6" customFormat="false" ht="17.15" hidden="false" customHeight="false" outlineLevel="0" collapsed="false">
      <c r="A6" s="5" t="s">
        <v>1393</v>
      </c>
      <c r="D6" s="0" t="n">
        <f aca="false">MAX(0,1-lag_bldg_hi/12)</f>
        <v>0</v>
      </c>
      <c r="E6" s="0" t="n">
        <f aca="false">MAX(0,MIN(lag_bldg_hi/12,2-lag_bldg_hi/12))</f>
        <v>0</v>
      </c>
      <c r="F6" s="0" t="n">
        <f aca="false">MAX(0,MIN(1,lag_bldg_hi/12-1))</f>
        <v>1</v>
      </c>
    </row>
    <row r="7" customFormat="false" ht="17.15" hidden="false" customHeight="false" outlineLevel="0" collapsed="false">
      <c r="A7" s="0" t="s">
        <v>1394</v>
      </c>
      <c r="C7" s="0" t="s">
        <v>390</v>
      </c>
      <c r="D7" s="29" t="n">
        <f aca="false">Players!D5*TK_CapexIT_H100+Players!D6*TK_CapexIT_GB200+Players!D7*TK_CapexIT_GB300+Players!D8*TK_CapexIT_VR200+Players!D9*TK_CapexIT_RU</f>
        <v>27.510214</v>
      </c>
      <c r="E7" s="29" t="n">
        <f aca="false">Players!E5*TK_CapexIT_H100+Players!E6*TK_CapexIT_GB200+Players!E7*TK_CapexIT_GB300+Players!E8*TK_CapexIT_VR200+Players!E9*TK_CapexIT_RU</f>
        <v>27.510214</v>
      </c>
      <c r="F7" s="29" t="n">
        <f aca="false">Players!F5*TK_CapexIT_H100+Players!F6*TK_CapexIT_GB200+Players!F7*TK_CapexIT_GB300+Players!F8*TK_CapexIT_VR200+Players!F9*TK_CapexIT_RU</f>
        <v>26.009088</v>
      </c>
      <c r="G7" s="29" t="n">
        <f aca="false">Players!G5*TK_CapexIT_H100+Players!G6*TK_CapexIT_GB200+Players!G7*TK_CapexIT_GB300+Players!G8*TK_CapexIT_VR200+Players!G9*TK_CapexIT_RU</f>
        <v>33.41403216</v>
      </c>
      <c r="H7" s="29" t="n">
        <f aca="false">Players!H5*TK_CapexIT_H100+Players!H6*TK_CapexIT_GB200+Players!H7*TK_CapexIT_GB300+Players!H8*TK_CapexIT_VR200+Players!H9*TK_CapexIT_RU</f>
        <v>38.3403893327246</v>
      </c>
      <c r="I7" s="29" t="n">
        <f aca="false">Players!I5*TK_CapexIT_H100+Players!I6*TK_CapexIT_GB200+Players!I7*TK_CapexIT_GB300+Players!I8*TK_CapexIT_VR200+Players!I9*TK_CapexIT_RU</f>
        <v>41.3326208898258</v>
      </c>
      <c r="J7" s="29" t="n">
        <f aca="false">Players!J5*TK_CapexIT_H100+Players!J6*TK_CapexIT_GB200+Players!J7*TK_CapexIT_GB300+Players!J8*TK_CapexIT_VR200+Players!J9*TK_CapexIT_RU</f>
        <v>41.3326208898258</v>
      </c>
      <c r="K7" s="29" t="n">
        <f aca="false">Players!K5*TK_CapexIT_H100+Players!K6*TK_CapexIT_GB200+Players!K7*TK_CapexIT_GB300+Players!K8*TK_CapexIT_VR200+Players!K9*TK_CapexIT_RU</f>
        <v>41.3326208898258</v>
      </c>
      <c r="L7" s="29" t="n">
        <f aca="false">Players!L5*TK_CapexIT_H100+Players!L6*TK_CapexIT_GB200+Players!L7*TK_CapexIT_GB300+Players!L8*TK_CapexIT_VR200+Players!L9*TK_CapexIT_RU</f>
        <v>41.3326208898258</v>
      </c>
      <c r="M7" s="29" t="n">
        <f aca="false">Players!M5*TK_CapexIT_H100+Players!M6*TK_CapexIT_GB200+Players!M7*TK_CapexIT_GB300+Players!M8*TK_CapexIT_VR200+Players!M9*TK_CapexIT_RU</f>
        <v>41.3326208898258</v>
      </c>
    </row>
    <row r="8" customFormat="false" ht="17.15" hidden="false" customHeight="false" outlineLevel="0" collapsed="false">
      <c r="A8" s="0" t="s">
        <v>1395</v>
      </c>
      <c r="C8" s="0" t="s">
        <v>390</v>
      </c>
      <c r="D8" s="29" t="n">
        <f aca="false">Players!D5*TK_CapexFacility_H100+Players!D6*TK_CapexFacility_GB200+Players!D7*TK_CapexFacility_GB300+Players!D8*TK_CapexFacility_VR200+Players!D9*TK_CapexFacility_RU</f>
        <v>12.67</v>
      </c>
      <c r="E8" s="29" t="n">
        <f aca="false">Players!E5*TK_CapexFacility_H100+Players!E6*TK_CapexFacility_GB200+Players!E7*TK_CapexFacility_GB300+Players!E8*TK_CapexFacility_VR200+Players!E9*TK_CapexFacility_RU</f>
        <v>12.67</v>
      </c>
      <c r="F8" s="29" t="n">
        <f aca="false">Players!F5*TK_CapexFacility_H100+Players!F6*TK_CapexFacility_GB200+Players!F7*TK_CapexFacility_GB300+Players!F8*TK_CapexFacility_VR200+Players!F9*TK_CapexFacility_RU</f>
        <v>12.67</v>
      </c>
      <c r="G8" s="29" t="n">
        <f aca="false">Players!G5*TK_CapexFacility_H100+Players!G6*TK_CapexFacility_GB200+Players!G7*TK_CapexFacility_GB300+Players!G8*TK_CapexFacility_VR200+Players!G9*TK_CapexFacility_RU</f>
        <v>12.67</v>
      </c>
      <c r="H8" s="29" t="n">
        <f aca="false">Players!H5*TK_CapexFacility_H100+Players!H6*TK_CapexFacility_GB200+Players!H7*TK_CapexFacility_GB300+Players!H8*TK_CapexFacility_VR200+Players!H9*TK_CapexFacility_RU</f>
        <v>12.67</v>
      </c>
      <c r="I8" s="29" t="n">
        <f aca="false">Players!I5*TK_CapexFacility_H100+Players!I6*TK_CapexFacility_GB200+Players!I7*TK_CapexFacility_GB300+Players!I8*TK_CapexFacility_VR200+Players!I9*TK_CapexFacility_RU</f>
        <v>12.67</v>
      </c>
      <c r="J8" s="29" t="n">
        <f aca="false">Players!J5*TK_CapexFacility_H100+Players!J6*TK_CapexFacility_GB200+Players!J7*TK_CapexFacility_GB300+Players!J8*TK_CapexFacility_VR200+Players!J9*TK_CapexFacility_RU</f>
        <v>12.67</v>
      </c>
      <c r="K8" s="29" t="n">
        <f aca="false">Players!K5*TK_CapexFacility_H100+Players!K6*TK_CapexFacility_GB200+Players!K7*TK_CapexFacility_GB300+Players!K8*TK_CapexFacility_VR200+Players!K9*TK_CapexFacility_RU</f>
        <v>12.67</v>
      </c>
      <c r="L8" s="29" t="n">
        <f aca="false">Players!L5*TK_CapexFacility_H100+Players!L6*TK_CapexFacility_GB200+Players!L7*TK_CapexFacility_GB300+Players!L8*TK_CapexFacility_VR200+Players!L9*TK_CapexFacility_RU</f>
        <v>12.67</v>
      </c>
      <c r="M8" s="29" t="n">
        <f aca="false">Players!M5*TK_CapexFacility_H100+Players!M6*TK_CapexFacility_GB200+Players!M7*TK_CapexFacility_GB300+Players!M8*TK_CapexFacility_VR200+Players!M9*TK_CapexFacility_RU</f>
        <v>12.67</v>
      </c>
    </row>
    <row r="10" customFormat="false" ht="17.15" hidden="false" customHeight="false" outlineLevel="0" collapsed="false">
      <c r="A10" s="8" t="s">
        <v>964</v>
      </c>
      <c r="B10" s="20" t="s">
        <v>506</v>
      </c>
      <c r="N10" s="20" t="s">
        <v>1396</v>
      </c>
    </row>
    <row r="11" customFormat="false" ht="17.15" hidden="false" customHeight="false" outlineLevel="0" collapsed="false">
      <c r="A11" s="5" t="s">
        <v>1397</v>
      </c>
      <c r="B11" s="0" t="s">
        <v>967</v>
      </c>
      <c r="C11" s="0" t="s">
        <v>390</v>
      </c>
      <c r="D11" s="19" t="str">
        <f aca="false">IF(In!H124="","",In!H124)</f>
        <v/>
      </c>
      <c r="E11" s="30" t="n">
        <f aca="false">IF(In!I124="","",In!I124)</f>
        <v>44.477</v>
      </c>
      <c r="F11" s="30" t="n">
        <f aca="false">IF(In!J124="","",In!J124)</f>
        <v>64.551</v>
      </c>
      <c r="G11" s="30" t="n">
        <f aca="false">IF(In!K124="","",In!K124)</f>
        <v>115.948</v>
      </c>
      <c r="H11" s="30" t="n">
        <f aca="false">IF(In!L124="","",In!L124)</f>
        <v>192.827</v>
      </c>
      <c r="I11" s="30" t="n">
        <f aca="false">IF(In!M124="","",In!M124)</f>
        <v>216.787</v>
      </c>
      <c r="J11" s="30" t="n">
        <f aca="false">IF(In!N124="","",In!N124)</f>
        <v>251.173</v>
      </c>
      <c r="K11" s="19" t="str">
        <f aca="false">IF(In!O124="","",In!O124)</f>
        <v/>
      </c>
      <c r="L11" s="19" t="str">
        <f aca="false">IF(In!P124="","",In!P124)</f>
        <v/>
      </c>
      <c r="M11" s="19" t="str">
        <f aca="false">IF(In!Q124="","",In!Q124)</f>
        <v/>
      </c>
    </row>
    <row r="12" customFormat="false" ht="15" hidden="false" customHeight="false" outlineLevel="0" collapsed="false">
      <c r="A12" s="5" t="s">
        <v>1398</v>
      </c>
      <c r="B12" s="0" t="s">
        <v>1399</v>
      </c>
      <c r="C12" s="0" t="s">
        <v>35</v>
      </c>
      <c r="D12" s="26" t="n">
        <f aca="false">(D11&lt;&gt;"")</f>
        <v>0</v>
      </c>
      <c r="E12" s="26" t="n">
        <f aca="false">(E11&lt;&gt;"")+D12</f>
        <v>1</v>
      </c>
      <c r="F12" s="26" t="n">
        <f aca="false">(F11&lt;&gt;"")+E12</f>
        <v>2</v>
      </c>
      <c r="G12" s="26" t="n">
        <f aca="false">(G11&lt;&gt;"")+F12</f>
        <v>3</v>
      </c>
      <c r="H12" s="26" t="n">
        <f aca="false">(H11&lt;&gt;"")+G12</f>
        <v>4</v>
      </c>
      <c r="I12" s="26" t="n">
        <f aca="false">(I11&lt;&gt;"")+H12</f>
        <v>5</v>
      </c>
      <c r="J12" s="26" t="n">
        <f aca="false">(J11&lt;&gt;"")+I12</f>
        <v>6</v>
      </c>
      <c r="K12" s="26" t="n">
        <f aca="false">(K11&lt;&gt;"")+J12</f>
        <v>6</v>
      </c>
      <c r="L12" s="26" t="n">
        <f aca="false">(L11&lt;&gt;"")+K12</f>
        <v>6</v>
      </c>
      <c r="M12" s="26" t="n">
        <f aca="false">(M11&lt;&gt;"")+L12</f>
        <v>6</v>
      </c>
    </row>
    <row r="13" customFormat="false" ht="15" hidden="false" customHeight="false" outlineLevel="0" collapsed="false">
      <c r="A13" s="5" t="s">
        <v>1400</v>
      </c>
      <c r="B13" s="0" t="s">
        <v>977</v>
      </c>
      <c r="C13" s="0" t="s">
        <v>390</v>
      </c>
      <c r="D13" s="31" t="n">
        <f aca="false">IF(D11&lt;&gt;"",D11,E13)</f>
        <v>44.477</v>
      </c>
      <c r="E13" s="31" t="n">
        <f aca="false">IF(E11&lt;&gt;"",E11,F13)</f>
        <v>44.477</v>
      </c>
      <c r="F13" s="31" t="n">
        <f aca="false">IF(F11&lt;&gt;"",F11,G13)</f>
        <v>64.551</v>
      </c>
      <c r="G13" s="31" t="n">
        <f aca="false">IF(G11&lt;&gt;"",G11,H13)</f>
        <v>115.948</v>
      </c>
      <c r="H13" s="31" t="n">
        <f aca="false">IF(H11&lt;&gt;"",H11,I13)</f>
        <v>192.827</v>
      </c>
      <c r="I13" s="31" t="n">
        <f aca="false">IF(I11&lt;&gt;"",I11,J13)</f>
        <v>216.787</v>
      </c>
      <c r="J13" s="31" t="n">
        <f aca="false">IF(J11&lt;&gt;"",J11,K13)</f>
        <v>251.173</v>
      </c>
      <c r="K13" s="0" t="str">
        <f aca="false">IF(K11&lt;&gt;"",K11,L13)</f>
        <v/>
      </c>
      <c r="L13" s="0" t="str">
        <f aca="false">IF(L11&lt;&gt;"",L11,M13)</f>
        <v/>
      </c>
      <c r="M13" s="0" t="str">
        <f aca="false">IF(M11&lt;&gt;"",M11,"")</f>
        <v/>
      </c>
    </row>
    <row r="14" customFormat="false" ht="15" hidden="false" customHeight="false" outlineLevel="0" collapsed="false">
      <c r="A14" s="5" t="s">
        <v>1401</v>
      </c>
      <c r="B14" s="0" t="s">
        <v>1402</v>
      </c>
      <c r="C14" s="0" t="s">
        <v>390</v>
      </c>
      <c r="D14" s="32" t="str">
        <f aca="false">IF(D11&lt;&gt;"",D11,IF(0&gt;0,""*(1+cap_g_ext),""))</f>
        <v/>
      </c>
      <c r="E14" s="32" t="n">
        <f aca="false">IF(E11&lt;&gt;"",E11,IF(D12&gt;0,D14*(1+cap_g_ext),""))</f>
        <v>44.477</v>
      </c>
      <c r="F14" s="32" t="n">
        <f aca="false">IF(F11&lt;&gt;"",F11,IF(E12&gt;0,E14*(1+cap_g_ext),""))</f>
        <v>64.551</v>
      </c>
      <c r="G14" s="32" t="n">
        <f aca="false">IF(G11&lt;&gt;"",G11,IF(F12&gt;0,F14*(1+cap_g_ext),""))</f>
        <v>115.948</v>
      </c>
      <c r="H14" s="32" t="n">
        <f aca="false">IF(H11&lt;&gt;"",H11,IF(G12&gt;0,G14*(1+cap_g_ext),""))</f>
        <v>192.827</v>
      </c>
      <c r="I14" s="32" t="n">
        <f aca="false">IF(I11&lt;&gt;"",I11,IF(H12&gt;0,H14*(1+cap_g_ext),""))</f>
        <v>216.787</v>
      </c>
      <c r="J14" s="32" t="n">
        <f aca="false">IF(J11&lt;&gt;"",J11,IF(I12&gt;0,I14*(1+cap_g_ext),""))</f>
        <v>251.173</v>
      </c>
      <c r="K14" s="32" t="n">
        <f aca="false">IF(K11&lt;&gt;"",K11,IF(J12&gt;0,J14*(1+cap_g_ext),""))</f>
        <v>276.2903</v>
      </c>
      <c r="L14" s="32" t="n">
        <f aca="false">IF(L11&lt;&gt;"",L11,IF(K12&gt;0,K14*(1+cap_g_ext),""))</f>
        <v>303.91933</v>
      </c>
      <c r="M14" s="32" t="n">
        <f aca="false">IF(M11&lt;&gt;"",M11,IF(L12&gt;0,L14*(1+cap_g_ext),""))</f>
        <v>334.311263</v>
      </c>
    </row>
    <row r="15" customFormat="false" ht="15" hidden="false" customHeight="false" outlineLevel="0" collapsed="false">
      <c r="A15" s="5" t="s">
        <v>1403</v>
      </c>
      <c r="B15" s="0" t="s">
        <v>1404</v>
      </c>
      <c r="C15" s="0" t="s">
        <v>390</v>
      </c>
      <c r="D15" s="32" t="str">
        <f aca="false">IF(OR(D14="",AND(fye_msft&lt;12,E14="")),"",D14*fye_msft/12+IF(fye_msft&lt;12,E14,0)*(12-fye_msft)/12)</f>
        <v/>
      </c>
      <c r="E15" s="32" t="n">
        <f aca="false">IF(OR(E14="",AND(fye_msft&lt;12,F14="")),"",E14*fye_msft/12+IF(fye_msft&lt;12,F14,0)*(12-fye_msft)/12)</f>
        <v>54.514</v>
      </c>
      <c r="F15" s="32" t="n">
        <f aca="false">IF(OR(F14="",AND(fye_msft&lt;12,G14="")),"",F14*fye_msft/12+IF(fye_msft&lt;12,G14,0)*(12-fye_msft)/12)</f>
        <v>90.2495</v>
      </c>
      <c r="G15" s="32" t="n">
        <f aca="false">IF(OR(G14="",AND(fye_msft&lt;12,H14="")),"",G14*fye_msft/12+IF(fye_msft&lt;12,H14,0)*(12-fye_msft)/12)</f>
        <v>154.3875</v>
      </c>
      <c r="H15" s="32" t="n">
        <f aca="false">IF(OR(H14="",AND(fye_msft&lt;12,I14="")),"",H14*fye_msft/12+IF(fye_msft&lt;12,I14,0)*(12-fye_msft)/12)</f>
        <v>204.807</v>
      </c>
      <c r="I15" s="32" t="n">
        <f aca="false">IF(OR(I14="",AND(fye_msft&lt;12,J14="")),"",I14*fye_msft/12+IF(fye_msft&lt;12,J14,0)*(12-fye_msft)/12)</f>
        <v>233.98</v>
      </c>
      <c r="J15" s="32" t="n">
        <f aca="false">IF(OR(J14="",AND(fye_msft&lt;12,K14="")),"",J14*fye_msft/12+IF(fye_msft&lt;12,K14,0)*(12-fye_msft)/12)</f>
        <v>263.73165</v>
      </c>
      <c r="K15" s="32" t="n">
        <f aca="false">IF(OR(K14="",AND(fye_msft&lt;12,L14="")),"",K14*fye_msft/12+IF(fye_msft&lt;12,L14,0)*(12-fye_msft)/12)</f>
        <v>290.104815</v>
      </c>
      <c r="L15" s="32" t="n">
        <f aca="false">IF(OR(L14="",AND(fye_msft&lt;12,M14="")),"",L14*fye_msft/12+IF(fye_msft&lt;12,M14,0)*(12-fye_msft)/12)</f>
        <v>319.1152965</v>
      </c>
      <c r="M15" s="32" t="n">
        <f aca="false">IF(OR(M14="",AND(fye_msft&lt;12,IF(M14="","",M14*(1+cap_g_ext))="")),"",M14*fye_msft/12+IF(fye_msft&lt;12,IF(M14="","",M14*(1+cap_g_ext)),0)*(12-fye_msft)/12)</f>
        <v>351.02682615</v>
      </c>
    </row>
    <row r="16" customFormat="false" ht="17.15" hidden="false" customHeight="false" outlineLevel="0" collapsed="false">
      <c r="A16" s="5" t="s">
        <v>1405</v>
      </c>
      <c r="B16" s="0" t="s">
        <v>1406</v>
      </c>
      <c r="C16" s="0" t="s">
        <v>390</v>
      </c>
      <c r="D16" s="32" t="str">
        <f aca="false">IF(D15="","",D15*ai_sh)</f>
        <v/>
      </c>
      <c r="E16" s="32" t="n">
        <f aca="false">IF(E15="","",E15*ai_sh)</f>
        <v>46.3369</v>
      </c>
      <c r="F16" s="32" t="n">
        <f aca="false">IF(F15="","",F15*ai_sh)</f>
        <v>76.712075</v>
      </c>
      <c r="G16" s="32" t="n">
        <f aca="false">IF(G15="","",G15*ai_sh)</f>
        <v>131.229375</v>
      </c>
      <c r="H16" s="32" t="n">
        <f aca="false">IF(H15="","",H15*ai_sh)</f>
        <v>174.08595</v>
      </c>
      <c r="I16" s="32" t="n">
        <f aca="false">IF(I15="","",I15*ai_sh)</f>
        <v>198.883</v>
      </c>
      <c r="J16" s="32" t="n">
        <f aca="false">IF(J15="","",J15*ai_sh)</f>
        <v>224.1719025</v>
      </c>
      <c r="K16" s="32" t="n">
        <f aca="false">IF(K15="","",K15*ai_sh)</f>
        <v>246.58909275</v>
      </c>
      <c r="L16" s="32" t="n">
        <f aca="false">IF(L15="","",L15*ai_sh)</f>
        <v>271.248002025</v>
      </c>
      <c r="M16" s="32" t="n">
        <f aca="false">IF(M15="","",M15*ai_sh)</f>
        <v>298.3728022275</v>
      </c>
    </row>
    <row r="17" customFormat="false" ht="17.15" hidden="false" customHeight="false" outlineLevel="0" collapsed="false">
      <c r="A17" s="5" t="s">
        <v>1407</v>
      </c>
      <c r="B17" s="0" t="s">
        <v>1408</v>
      </c>
      <c r="C17" s="0" t="s">
        <v>390</v>
      </c>
      <c r="D17" s="29" t="n">
        <f aca="false">(1-Players!D38)*D$7+Players!D38*TK_NonNV_Hold_Maia*TK_CapexIT_VR200</f>
        <v>25.4337277924695</v>
      </c>
      <c r="E17" s="29" t="n">
        <f aca="false">(1-Players!E38)*E$7+Players!E38*TK_NonNV_Hold_Maia*TK_CapexIT_VR200</f>
        <v>25.4337277924695</v>
      </c>
      <c r="F17" s="29" t="n">
        <f aca="false">(1-Players!F38)*F$7+Players!F38*TK_NonNV_Hold_Maia*TK_CapexIT_VR200</f>
        <v>24.2901851177648</v>
      </c>
      <c r="G17" s="29" t="n">
        <f aca="false">(1-Players!G38)*G$7+Players!G38*TK_NonNV_Hold_Maia*TK_CapexIT_VR200</f>
        <v>29.9311970319981</v>
      </c>
      <c r="H17" s="29" t="n">
        <f aca="false">(1-Players!H38)*H$7+Players!H38*TK_NonNV_Hold_Maia*TK_CapexIT_VR200</f>
        <v>33.0020089706715</v>
      </c>
      <c r="I17" s="29" t="n">
        <f aca="false">(1-Players!I38)*I$7+Players!I38*TK_NonNV_Hold_Maia*TK_CapexIT_VR200</f>
        <v>35.2555042907785</v>
      </c>
      <c r="J17" s="29" t="n">
        <f aca="false">(1-Players!J38)*J$7+Players!J38*TK_NonNV_Hold_Maia*TK_CapexIT_VR200</f>
        <v>35.1976655218092</v>
      </c>
      <c r="K17" s="29" t="n">
        <f aca="false">(1-Players!K38)*K$7+Players!K38*TK_NonNV_Hold_Maia*TK_CapexIT_VR200</f>
        <v>35.1976655218092</v>
      </c>
      <c r="L17" s="29" t="n">
        <f aca="false">(1-Players!L38)*L$7+Players!L38*TK_NonNV_Hold_Maia*TK_CapexIT_VR200</f>
        <v>35.1976655218092</v>
      </c>
      <c r="M17" s="29" t="n">
        <f aca="false">(1-Players!M38)*M$7+Players!M38*TK_NonNV_Hold_Maia*TK_CapexIT_VR200</f>
        <v>35.1976655218092</v>
      </c>
    </row>
    <row r="18" customFormat="false" ht="17.15" hidden="false" customHeight="false" outlineLevel="0" collapsed="false">
      <c r="A18" s="5" t="s">
        <v>1409</v>
      </c>
      <c r="B18" s="0" t="s">
        <v>1410</v>
      </c>
      <c r="C18" s="0" t="s">
        <v>390</v>
      </c>
      <c r="D18" s="29" t="n">
        <f aca="false">(1-Players!D38)*D$8+Players!D38*TK_NonNV_Hold_Maia*TK_CapexFacility_VR200</f>
        <v>11.1609392244584</v>
      </c>
      <c r="E18" s="29" t="n">
        <f aca="false">(1-Players!E38)*E$8+Players!E38*TK_NonNV_Hold_Maia*TK_CapexFacility_VR200</f>
        <v>11.1609392244584</v>
      </c>
      <c r="F18" s="29" t="n">
        <f aca="false">(1-Players!F38)*F$8+Players!F38*TK_NonNV_Hold_Maia*TK_CapexFacility_VR200</f>
        <v>11.1609392244584</v>
      </c>
      <c r="G18" s="29" t="n">
        <f aca="false">(1-Players!G38)*G$8+Players!G38*TK_NonNV_Hold_Maia*TK_CapexFacility_VR200</f>
        <v>11.1609392244584</v>
      </c>
      <c r="H18" s="29" t="n">
        <f aca="false">(1-Players!H38)*H$8+Players!H38*TK_NonNV_Hold_Maia*TK_CapexFacility_VR200</f>
        <v>10.9398997029418</v>
      </c>
      <c r="I18" s="29" t="n">
        <f aca="false">(1-Players!I38)*I$8+Players!I38*TK_NonNV_Hold_Maia*TK_CapexFacility_VR200</f>
        <v>10.9619484555566</v>
      </c>
      <c r="J18" s="29" t="n">
        <f aca="false">(1-Players!J38)*J$8+Players!J38*TK_NonNV_Hold_Maia*TK_CapexFacility_VR200</f>
        <v>10.9456921278958</v>
      </c>
      <c r="K18" s="29" t="n">
        <f aca="false">(1-Players!K38)*K$8+Players!K38*TK_NonNV_Hold_Maia*TK_CapexFacility_VR200</f>
        <v>10.9456921278958</v>
      </c>
      <c r="L18" s="29" t="n">
        <f aca="false">(1-Players!L38)*L$8+Players!L38*TK_NonNV_Hold_Maia*TK_CapexFacility_VR200</f>
        <v>10.9456921278958</v>
      </c>
      <c r="M18" s="29" t="n">
        <f aca="false">(1-Players!M38)*M$8+Players!M38*TK_NonNV_Hold_Maia*TK_CapexFacility_VR200</f>
        <v>10.9456921278958</v>
      </c>
    </row>
    <row r="19" customFormat="false" ht="17.15" hidden="false" customHeight="false" outlineLevel="0" collapsed="false">
      <c r="A19" s="5" t="s">
        <v>1411</v>
      </c>
      <c r="B19" s="0" t="s">
        <v>1412</v>
      </c>
      <c r="C19" s="0" t="s">
        <v>390</v>
      </c>
      <c r="D19" s="32" t="str">
        <f aca="false">IF(OR(D16="",D16="",D16=""),"",D17/(D17+D18)*D16+D18/(D17+D18)*(CapexGW!$D$4*D16+CapexGW!$E$4*D16+CapexGW!$F$4*D16))</f>
        <v/>
      </c>
      <c r="E19" s="32" t="str">
        <f aca="false">IF(OR(E16="",D16="",E16=""),"",E17/(E17+E18)*E16+E18/(E17+E18)*(CapexGW!$D$4*E16+CapexGW!$E$4*D16+CapexGW!$F$4*E16))</f>
        <v/>
      </c>
      <c r="F19" s="32" t="str">
        <f aca="false">IF(OR(F16="",E16="",D16=""),"",F17/(F17+F18)*F16+F18/(F17+F18)*(CapexGW!$D$4*F16+CapexGW!$E$4*E16+CapexGW!$F$4*D16))</f>
        <v/>
      </c>
      <c r="G19" s="32" t="n">
        <f aca="false">IF(OR(G16="",F16="",E16=""),"",G17/(G17+G18)*G16+G18/(G17+G18)*(CapexGW!$D$4*G16+CapexGW!$E$4*F16+CapexGW!$F$4*E16))</f>
        <v>112.29699318904</v>
      </c>
      <c r="H19" s="32" t="n">
        <f aca="false">IF(OR(H16="",G16="",F16=""),"",H17/(H17+H18)*H16+H18/(H17+H18)*(CapexGW!$D$4*H16+CapexGW!$E$4*G16+CapexGW!$F$4*F16))</f>
        <v>156.62986872582</v>
      </c>
      <c r="I19" s="32" t="n">
        <f aca="false">IF(OR(I16="",H16="",G16=""),"",I17/(I17+I18)*I16+I18/(I17+I18)*(CapexGW!$D$4*I16+CapexGW!$E$4*H16+CapexGW!$F$4*G16))</f>
        <v>187.919181422701</v>
      </c>
      <c r="J19" s="32" t="n">
        <f aca="false">IF(OR(J16="",I16="",H16=""),"",J17/(J17+J18)*J16+J18/(J17+J18)*(CapexGW!$D$4*J16+CapexGW!$E$4*I16+CapexGW!$F$4*H16))</f>
        <v>215.232046375117</v>
      </c>
      <c r="K19" s="32" t="n">
        <f aca="false">IF(OR(K16="",J16="",I16=""),"",K17/(K17+K18)*K16+K18/(K17+K18)*(CapexGW!$D$4*K16+CapexGW!$E$4*J16+CapexGW!$F$4*I16))</f>
        <v>238.27210081649</v>
      </c>
      <c r="L19" s="32" t="n">
        <f aca="false">IF(OR(L16="",K16="",J16=""),"",L17/(L17+L18)*L16+L18/(L17+L18)*(CapexGW!$D$4*L16+CapexGW!$E$4*K16+CapexGW!$F$4*J16))</f>
        <v>262.739850894371</v>
      </c>
      <c r="M19" s="32" t="n">
        <f aca="false">IF(OR(M16="",L16="",K16=""),"",M17/(M17+M18)*M16+M18/(M17+M18)*(CapexGW!$D$4*M16+CapexGW!$E$4*L16+CapexGW!$F$4*K16))</f>
        <v>289.013835983808</v>
      </c>
    </row>
    <row r="20" customFormat="false" ht="17.15" hidden="false" customHeight="false" outlineLevel="0" collapsed="false">
      <c r="A20" s="5" t="s">
        <v>1413</v>
      </c>
      <c r="B20" s="0" t="s">
        <v>1414</v>
      </c>
      <c r="C20" s="0" t="s">
        <v>77</v>
      </c>
      <c r="D20" s="25" t="str">
        <f aca="false">IF(D19="","",D19/(D17+D18))</f>
        <v/>
      </c>
      <c r="E20" s="25" t="str">
        <f aca="false">IF(E19="","",E19/(E17+E18))</f>
        <v/>
      </c>
      <c r="F20" s="25" t="str">
        <f aca="false">IF(F19="","",F19/(F17+F18))</f>
        <v/>
      </c>
      <c r="G20" s="25" t="n">
        <f aca="false">IF(G19="","",G19/(G17+G18))</f>
        <v>2.73280981276305</v>
      </c>
      <c r="H20" s="25" t="n">
        <f aca="false">IF(H19="","",H19/(H17+H18))</f>
        <v>3.56447576934396</v>
      </c>
      <c r="I20" s="25" t="n">
        <f aca="false">IF(I19="","",I19/(I17+I18))</f>
        <v>4.06597876464757</v>
      </c>
      <c r="J20" s="25" t="n">
        <f aca="false">IF(J19="","",J19/(J17+J18))</f>
        <v>4.6644209987717</v>
      </c>
      <c r="K20" s="25" t="n">
        <f aca="false">IF(K19="","",K19/(K17+K18))</f>
        <v>5.16373564804974</v>
      </c>
      <c r="L20" s="25" t="n">
        <f aca="false">IF(L19="","",L19/(L17+L18))</f>
        <v>5.69399073402824</v>
      </c>
      <c r="M20" s="25" t="n">
        <f aca="false">IF(M19="","",M19/(M17+M18))</f>
        <v>6.26338980743106</v>
      </c>
    </row>
    <row r="21" customFormat="false" ht="17.15" hidden="false" customHeight="false" outlineLevel="0" collapsed="false">
      <c r="A21" s="5" t="s">
        <v>1415</v>
      </c>
      <c r="B21" s="0" t="s">
        <v>1416</v>
      </c>
      <c r="C21" s="0" t="s">
        <v>77</v>
      </c>
      <c r="D21" s="19" t="n">
        <f aca="false">Players!D36</f>
        <v>0</v>
      </c>
      <c r="E21" s="27" t="n">
        <f aca="false">Players!E36</f>
        <v>0</v>
      </c>
      <c r="F21" s="27" t="n">
        <f aca="false">Players!F36</f>
        <v>2.13527</v>
      </c>
      <c r="G21" s="27" t="n">
        <f aca="false">Players!G36</f>
        <v>0.770955</v>
      </c>
      <c r="H21" s="27" t="n">
        <f aca="false">Players!H36</f>
        <v>1.04</v>
      </c>
      <c r="I21" s="27" t="n">
        <f aca="false">Players!I36</f>
        <v>1.526</v>
      </c>
      <c r="J21" s="27" t="n">
        <f aca="false">Players!J36</f>
        <v>0</v>
      </c>
      <c r="K21" s="27" t="n">
        <f aca="false">Players!K36</f>
        <v>0</v>
      </c>
      <c r="L21" s="27" t="n">
        <f aca="false">Players!L36</f>
        <v>0</v>
      </c>
      <c r="M21" s="27" t="n">
        <f aca="false">Players!M36</f>
        <v>0</v>
      </c>
    </row>
    <row r="22" customFormat="false" ht="17.15" hidden="false" customHeight="false" outlineLevel="0" collapsed="false">
      <c r="A22" s="5" t="s">
        <v>1417</v>
      </c>
      <c r="B22" s="0" t="s">
        <v>1418</v>
      </c>
      <c r="C22" s="0" t="s">
        <v>77</v>
      </c>
      <c r="D22" s="24" t="n">
        <f aca="false">IF(AND(2023&gt;=2027,D20&lt;&gt;""),D20,D21)</f>
        <v>0</v>
      </c>
      <c r="E22" s="24" t="n">
        <f aca="false">IF(AND(2024&gt;=2027,E20&lt;&gt;""),E20,E21)</f>
        <v>0</v>
      </c>
      <c r="F22" s="24" t="n">
        <f aca="false">IF(AND(2025&gt;=2027,F20&lt;&gt;""),F20,F21)</f>
        <v>2.13527</v>
      </c>
      <c r="G22" s="24" t="n">
        <f aca="false">IF(AND(2026&gt;=2027,G20&lt;&gt;""),G20,G21)</f>
        <v>0.770955</v>
      </c>
      <c r="H22" s="24" t="n">
        <f aca="false">IF(AND(2027&gt;=2027,H20&lt;&gt;""),H20,H21)</f>
        <v>3.56447576934396</v>
      </c>
      <c r="I22" s="24" t="n">
        <f aca="false">IF(AND(2028&gt;=2027,I20&lt;&gt;""),I20,I21)</f>
        <v>4.06597876464757</v>
      </c>
      <c r="J22" s="24" t="n">
        <f aca="false">IF(AND(2029&gt;=2027,J20&lt;&gt;""),J20,J21)</f>
        <v>4.6644209987717</v>
      </c>
      <c r="K22" s="24" t="n">
        <f aca="false">IF(AND(2030&gt;=2027,K20&lt;&gt;""),K20,K21)</f>
        <v>5.16373564804974</v>
      </c>
      <c r="L22" s="24" t="n">
        <f aca="false">IF(AND(2031&gt;=2027,L20&lt;&gt;""),L20,L21)</f>
        <v>5.69399073402824</v>
      </c>
      <c r="M22" s="24" t="n">
        <f aca="false">IF(AND(2032&gt;=2027,M20&lt;&gt;""),M20,M21)</f>
        <v>6.26338980743106</v>
      </c>
    </row>
    <row r="23" customFormat="false" ht="17.15" hidden="false" customHeight="false" outlineLevel="0" collapsed="false">
      <c r="A23" s="5" t="s">
        <v>1419</v>
      </c>
      <c r="B23" s="0" t="s">
        <v>1420</v>
      </c>
      <c r="C23" s="0" t="s">
        <v>77</v>
      </c>
      <c r="D23" s="24" t="n">
        <f aca="false">N(Players!D30)</f>
        <v>0</v>
      </c>
      <c r="E23" s="24" t="n">
        <f aca="false">IF(2024&gt;=2027,D23+E22,N(Players!E30))</f>
        <v>1.593775</v>
      </c>
      <c r="F23" s="24" t="n">
        <f aca="false">IF(2025&gt;=2027,E23+F22,N(Players!F30))</f>
        <v>3.729045</v>
      </c>
      <c r="G23" s="24" t="n">
        <f aca="false">IF(2026&gt;=2027,F23+G22,N(Players!G30))</f>
        <v>4.5</v>
      </c>
      <c r="H23" s="24" t="n">
        <f aca="false">IF(2027&gt;=2027,G23+H22,N(Players!H30))</f>
        <v>8.06447576934396</v>
      </c>
      <c r="I23" s="24" t="n">
        <f aca="false">IF(2028&gt;=2027,H23+I22,N(Players!I30))</f>
        <v>12.1304545339915</v>
      </c>
      <c r="J23" s="24" t="n">
        <f aca="false">IF(2029&gt;=2027,I23+J22,N(Players!J30))</f>
        <v>16.7948755327632</v>
      </c>
      <c r="K23" s="24" t="n">
        <f aca="false">IF(2030&gt;=2027,J23+K22,N(Players!K30))</f>
        <v>21.958611180813</v>
      </c>
      <c r="L23" s="24" t="n">
        <f aca="false">IF(2031&gt;=2027,K23+L22,N(Players!L30))</f>
        <v>27.6526019148412</v>
      </c>
      <c r="M23" s="24" t="n">
        <f aca="false">IF(2032&gt;=2027,L23+M22,N(Players!M30))</f>
        <v>33.9159917222723</v>
      </c>
    </row>
    <row r="24" customFormat="false" ht="17.15" hidden="false" customHeight="false" outlineLevel="0" collapsed="false">
      <c r="A24" s="5" t="s">
        <v>1421</v>
      </c>
      <c r="B24" s="0" t="s">
        <v>1422</v>
      </c>
      <c r="C24" s="0" t="s">
        <v>77</v>
      </c>
      <c r="D24" s="24" t="str">
        <f aca="false">IF(D20="","",D20*ai_sh_lo/ai_sh)</f>
        <v/>
      </c>
      <c r="E24" s="24" t="str">
        <f aca="false">IF(E20="","",E20*ai_sh_lo/ai_sh)</f>
        <v/>
      </c>
      <c r="F24" s="24" t="str">
        <f aca="false">IF(F20="","",F20*ai_sh_lo/ai_sh)</f>
        <v/>
      </c>
      <c r="G24" s="24" t="n">
        <f aca="false">IF(G20="","",G20*ai_sh_lo/ai_sh)</f>
        <v>2.4113027759674</v>
      </c>
      <c r="H24" s="24" t="n">
        <f aca="false">IF(H20="","",H20*ai_sh_lo/ai_sh)</f>
        <v>3.1451256788329</v>
      </c>
      <c r="I24" s="24" t="n">
        <f aca="false">IF(I20="","",I20*ai_sh_lo/ai_sh)</f>
        <v>3.58762832174786</v>
      </c>
      <c r="J24" s="24" t="n">
        <f aca="false">IF(J20="","",J20*ai_sh_lo/ai_sh)</f>
        <v>4.1156655871515</v>
      </c>
      <c r="K24" s="24" t="n">
        <f aca="false">IF(K20="","",K20*ai_sh_lo/ai_sh)</f>
        <v>4.55623733651447</v>
      </c>
      <c r="L24" s="24" t="n">
        <f aca="false">IF(L20="","",L20*ai_sh_lo/ai_sh)</f>
        <v>5.02410947120139</v>
      </c>
      <c r="M24" s="24" t="n">
        <f aca="false">IF(M20="","",M20*ai_sh_lo/ai_sh)</f>
        <v>5.52652041832152</v>
      </c>
    </row>
    <row r="25" customFormat="false" ht="17.15" hidden="false" customHeight="false" outlineLevel="0" collapsed="false">
      <c r="A25" s="5" t="s">
        <v>1423</v>
      </c>
      <c r="B25" s="0" t="s">
        <v>1424</v>
      </c>
      <c r="C25" s="0" t="s">
        <v>77</v>
      </c>
      <c r="D25" s="24" t="str">
        <f aca="false">IF(D20="","",D20*ai_sh_hi/ai_sh)</f>
        <v/>
      </c>
      <c r="E25" s="24" t="str">
        <f aca="false">IF(E20="","",E20*ai_sh_hi/ai_sh)</f>
        <v/>
      </c>
      <c r="F25" s="24" t="str">
        <f aca="false">IF(F20="","",F20*ai_sh_hi/ai_sh)</f>
        <v/>
      </c>
      <c r="G25" s="24" t="n">
        <f aca="false">IF(G20="","",G20*ai_sh_hi/ai_sh)</f>
        <v>3.0543168495587</v>
      </c>
      <c r="H25" s="24" t="n">
        <f aca="false">IF(H20="","",H20*ai_sh_hi/ai_sh)</f>
        <v>3.98382585985501</v>
      </c>
      <c r="I25" s="24" t="n">
        <f aca="false">IF(I20="","",I20*ai_sh_hi/ai_sh)</f>
        <v>4.54432920754729</v>
      </c>
      <c r="J25" s="24" t="n">
        <f aca="false">IF(J20="","",J20*ai_sh_hi/ai_sh)</f>
        <v>5.2131764103919</v>
      </c>
      <c r="K25" s="24" t="n">
        <f aca="false">IF(K20="","",K20*ai_sh_hi/ai_sh)</f>
        <v>5.771233959585</v>
      </c>
      <c r="L25" s="24" t="n">
        <f aca="false">IF(L20="","",L20*ai_sh_hi/ai_sh)</f>
        <v>6.36387199685509</v>
      </c>
      <c r="M25" s="24" t="n">
        <f aca="false">IF(M20="","",M20*ai_sh_hi/ai_sh)</f>
        <v>7.0002591965406</v>
      </c>
    </row>
    <row r="26" customFormat="false" ht="17.15" hidden="false" customHeight="false" outlineLevel="0" collapsed="false">
      <c r="A26" s="5" t="s">
        <v>1425</v>
      </c>
      <c r="B26" s="0" t="s">
        <v>1426</v>
      </c>
      <c r="C26" s="0" t="s">
        <v>77</v>
      </c>
      <c r="D26" s="24" t="str">
        <f aca="false">IF(OR(D16="",D16="",D16=""),"",(D17/(D17+D18)*D16+D18/(D17+D18)*(CapexGW!$D$5*D16+CapexGW!$E$5*D16+CapexGW!$F$5*D16))/(D17+D18))</f>
        <v/>
      </c>
      <c r="E26" s="24" t="str">
        <f aca="false">IF(OR(E16="",D16="",E16=""),"",(E17/(E17+E18)*E16+E18/(E17+E18)*(CapexGW!$D$5*E16+CapexGW!$E$5*D16+CapexGW!$F$5*E16))/(E17+E18))</f>
        <v/>
      </c>
      <c r="F26" s="24" t="str">
        <f aca="false">IF(OR(F16="",E16="",D16=""),"",(F17/(F17+F18)*F16+F18/(F17+F18)*(CapexGW!$D$5*F16+CapexGW!$E$5*E16+CapexGW!$F$5*D16))/(F17+F18))</f>
        <v/>
      </c>
      <c r="G26" s="24" t="n">
        <f aca="false">IF(OR(G16="",F16="",E16=""),"",(G17/(G17+G18)*G16+G18/(G17+G18)*(CapexGW!$D$5*G16+CapexGW!$E$5*F16+CapexGW!$F$5*E16))/(G17+G18))</f>
        <v>2.83319556951972</v>
      </c>
      <c r="H26" s="24" t="n">
        <f aca="false">IF(OR(H16="",G16="",F16=""),"",(H17/(H17+H18)*H16+H18/(H17+H18)*(CapexGW!$D$5*H16+CapexGW!$E$5*G16+CapexGW!$F$5*F16))/(H17+H18))</f>
        <v>3.71891578944627</v>
      </c>
      <c r="I26" s="24" t="n">
        <f aca="false">IF(OR(I16="",H16="",G16=""),"",(I17/(I17+I18)*I16+I18/(I17+I18)*(CapexGW!$D$5*I16+CapexGW!$E$5*H16+CapexGW!$F$5*G16))/(I17+I18))</f>
        <v>4.17594597512608</v>
      </c>
      <c r="J26" s="24" t="n">
        <f aca="false">IF(OR(J16="",I16="",H16=""),"",(J17/(J17+J18)*J16+J18/(J17+J18)*(CapexGW!$D$5*J16+CapexGW!$E$5*I16+CapexGW!$F$5*H16))/(J17+J18))</f>
        <v>4.72815847521363</v>
      </c>
      <c r="K26" s="24" t="n">
        <f aca="false">IF(OR(K16="",J16="",I16=""),"",(K17/(K17+K18)*K16+K18/(K17+K18)*(CapexGW!$D$5*K16+CapexGW!$E$5*J16+CapexGW!$F$5*I16))/(K17+K18))</f>
        <v>5.22873736508205</v>
      </c>
      <c r="L26" s="24" t="n">
        <f aca="false">IF(OR(L16="",K16="",J16=""),"",(L17/(L17+L18)*L16+L18/(L17+L18)*(CapexGW!$D$5*L16+CapexGW!$E$5*K16+CapexGW!$F$5*J16))/(L17+L18))</f>
        <v>5.75161110159025</v>
      </c>
      <c r="M26" s="24" t="n">
        <f aca="false">IF(OR(M16="",L16="",K16=""),"",(M17/(M17+M18)*M16+M18/(M17+M18)*(CapexGW!$D$5*M16+CapexGW!$E$5*L16+CapexGW!$F$5*K16))/(M17+M18))</f>
        <v>6.32677221174928</v>
      </c>
    </row>
    <row r="27" customFormat="false" ht="17.15" hidden="false" customHeight="false" outlineLevel="0" collapsed="false">
      <c r="A27" s="5" t="s">
        <v>1427</v>
      </c>
      <c r="B27" s="0" t="s">
        <v>1428</v>
      </c>
      <c r="C27" s="0" t="s">
        <v>77</v>
      </c>
      <c r="D27" s="24" t="str">
        <f aca="false">IF(OR(D16="",D16="",D16=""),"",(D17/(D17+D18)*D16+D18/(D17+D18)*(CapexGW!$D$6*D16+CapexGW!$E$6*D16+CapexGW!$F$6*D16))/(D17+D18))</f>
        <v/>
      </c>
      <c r="E27" s="24" t="str">
        <f aca="false">IF(OR(E16="",D16="",E16=""),"",(E17/(E17+E18)*E16+E18/(E17+E18)*(CapexGW!$D$6*E16+CapexGW!$E$6*D16+CapexGW!$F$6*E16))/(E17+E18))</f>
        <v/>
      </c>
      <c r="F27" s="24" t="str">
        <f aca="false">IF(OR(F16="",E16="",D16=""),"",(F17/(F17+F18)*F16+F18/(F17+F18)*(CapexGW!$D$6*F16+CapexGW!$E$6*E16+CapexGW!$F$6*D16))/(F17+F18))</f>
        <v/>
      </c>
      <c r="G27" s="24" t="n">
        <f aca="false">IF(OR(G16="",F16="",E16=""),"",(G17/(G17+G18)*G16+G18/(G17+G18)*(CapexGW!$D$6*G16+CapexGW!$E$6*F16+CapexGW!$F$6*E16))/(G17+G18))</f>
        <v>2.63242405600638</v>
      </c>
      <c r="H27" s="24" t="n">
        <f aca="false">IF(OR(H16="",G16="",F16=""),"",(H17/(H17+H18)*H16+H18/(H17+H18)*(CapexGW!$D$6*H16+CapexGW!$E$6*G16+CapexGW!$F$6*F16))/(H17+H18))</f>
        <v>3.41003574924164</v>
      </c>
      <c r="I27" s="24" t="n">
        <f aca="false">IF(OR(I16="",H16="",G16=""),"",(I17/(I17+I18)*I16+I18/(I17+I18)*(CapexGW!$D$6*I16+CapexGW!$E$6*H16+CapexGW!$F$6*G16))/(I17+I18))</f>
        <v>3.95601155416906</v>
      </c>
      <c r="J27" s="24" t="n">
        <f aca="false">IF(OR(J16="",I16="",H16=""),"",(J17/(J17+J18)*J16+J18/(J17+J18)*(CapexGW!$D$6*J16+CapexGW!$E$6*I16+CapexGW!$F$6*H16))/(J17+J18))</f>
        <v>4.60068352232977</v>
      </c>
      <c r="K27" s="24" t="n">
        <f aca="false">IF(OR(K16="",J16="",I16=""),"",(K17/(K17+K18)*K16+K18/(K17+K18)*(CapexGW!$D$6*K16+CapexGW!$E$6*J16+CapexGW!$F$6*I16))/(K17+K18))</f>
        <v>5.09873393101743</v>
      </c>
      <c r="L27" s="24" t="n">
        <f aca="false">IF(OR(L16="",K16="",J16=""),"",(L17/(L17+L18)*L16+L18/(L17+L18)*(CapexGW!$D$6*L16+CapexGW!$E$6*K16+CapexGW!$F$6*J16))/(L17+L18))</f>
        <v>5.63637036646622</v>
      </c>
      <c r="M27" s="24" t="n">
        <f aca="false">IF(OR(M16="",L16="",K16=""),"",(M17/(M17+M18)*M16+M18/(M17+M18)*(CapexGW!$D$6*M16+CapexGW!$E$6*L16+CapexGW!$F$6*K16))/(M17+M18))</f>
        <v>6.20000740311284</v>
      </c>
    </row>
    <row r="29" customFormat="false" ht="17.15" hidden="false" customHeight="false" outlineLevel="0" collapsed="false">
      <c r="A29" s="8" t="s">
        <v>1000</v>
      </c>
      <c r="B29" s="20" t="s">
        <v>511</v>
      </c>
      <c r="N29" s="20" t="s">
        <v>1429</v>
      </c>
    </row>
    <row r="30" customFormat="false" ht="17.15" hidden="false" customHeight="false" outlineLevel="0" collapsed="false">
      <c r="A30" s="5" t="s">
        <v>1397</v>
      </c>
      <c r="B30" s="0" t="s">
        <v>1002</v>
      </c>
      <c r="C30" s="0" t="s">
        <v>390</v>
      </c>
      <c r="D30" s="19" t="str">
        <f aca="false">IF(In!H125="","",In!H125)</f>
        <v/>
      </c>
      <c r="E30" s="19" t="str">
        <f aca="false">IF(In!I125="","",In!I125)</f>
        <v/>
      </c>
      <c r="F30" s="30" t="n">
        <f aca="false">IF(In!J125="","",In!J125)</f>
        <v>91.447</v>
      </c>
      <c r="G30" s="30" t="n">
        <f aca="false">IF(In!K125="","",In!K125)</f>
        <v>200</v>
      </c>
      <c r="H30" s="30" t="n">
        <f aca="false">IF(In!L125="","",In!L125)</f>
        <v>300.979</v>
      </c>
      <c r="I30" s="30" t="n">
        <f aca="false">IF(In!M125="","",In!M125)</f>
        <v>339.451</v>
      </c>
      <c r="J30" s="19" t="str">
        <f aca="false">IF(In!N125="","",In!N125)</f>
        <v/>
      </c>
      <c r="K30" s="19" t="str">
        <f aca="false">IF(In!O125="","",In!O125)</f>
        <v/>
      </c>
      <c r="L30" s="19" t="str">
        <f aca="false">IF(In!P125="","",In!P125)</f>
        <v/>
      </c>
      <c r="M30" s="19" t="str">
        <f aca="false">IF(In!Q125="","",In!Q125)</f>
        <v/>
      </c>
    </row>
    <row r="31" customFormat="false" ht="15" hidden="false" customHeight="false" outlineLevel="0" collapsed="false">
      <c r="A31" s="5" t="s">
        <v>1398</v>
      </c>
      <c r="B31" s="0" t="s">
        <v>1430</v>
      </c>
      <c r="C31" s="0" t="s">
        <v>35</v>
      </c>
      <c r="D31" s="26" t="n">
        <f aca="false">(D30&lt;&gt;"")</f>
        <v>0</v>
      </c>
      <c r="E31" s="26" t="n">
        <f aca="false">(E30&lt;&gt;"")+D31</f>
        <v>0</v>
      </c>
      <c r="F31" s="26" t="n">
        <f aca="false">(F30&lt;&gt;"")+E31</f>
        <v>1</v>
      </c>
      <c r="G31" s="26" t="n">
        <f aca="false">(G30&lt;&gt;"")+F31</f>
        <v>2</v>
      </c>
      <c r="H31" s="26" t="n">
        <f aca="false">(H30&lt;&gt;"")+G31</f>
        <v>3</v>
      </c>
      <c r="I31" s="26" t="n">
        <f aca="false">(I30&lt;&gt;"")+H31</f>
        <v>4</v>
      </c>
      <c r="J31" s="26" t="n">
        <f aca="false">(J30&lt;&gt;"")+I31</f>
        <v>4</v>
      </c>
      <c r="K31" s="26" t="n">
        <f aca="false">(K30&lt;&gt;"")+J31</f>
        <v>4</v>
      </c>
      <c r="L31" s="26" t="n">
        <f aca="false">(L30&lt;&gt;"")+K31</f>
        <v>4</v>
      </c>
      <c r="M31" s="26" t="n">
        <f aca="false">(M30&lt;&gt;"")+L31</f>
        <v>4</v>
      </c>
    </row>
    <row r="32" customFormat="false" ht="15" hidden="false" customHeight="false" outlineLevel="0" collapsed="false">
      <c r="A32" s="5" t="s">
        <v>1400</v>
      </c>
      <c r="B32" s="0" t="s">
        <v>1007</v>
      </c>
      <c r="C32" s="0" t="s">
        <v>390</v>
      </c>
      <c r="D32" s="31" t="n">
        <f aca="false">IF(D30&lt;&gt;"",D30,E32)</f>
        <v>91.447</v>
      </c>
      <c r="E32" s="31" t="n">
        <f aca="false">IF(E30&lt;&gt;"",E30,F32)</f>
        <v>91.447</v>
      </c>
      <c r="F32" s="31" t="n">
        <f aca="false">IF(F30&lt;&gt;"",F30,G32)</f>
        <v>91.447</v>
      </c>
      <c r="G32" s="31" t="n">
        <f aca="false">IF(G30&lt;&gt;"",G30,H32)</f>
        <v>200</v>
      </c>
      <c r="H32" s="31" t="n">
        <f aca="false">IF(H30&lt;&gt;"",H30,I32)</f>
        <v>300.979</v>
      </c>
      <c r="I32" s="31" t="n">
        <f aca="false">IF(I30&lt;&gt;"",I30,J32)</f>
        <v>339.451</v>
      </c>
      <c r="J32" s="0" t="str">
        <f aca="false">IF(J30&lt;&gt;"",J30,K32)</f>
        <v/>
      </c>
      <c r="K32" s="0" t="str">
        <f aca="false">IF(K30&lt;&gt;"",K30,L32)</f>
        <v/>
      </c>
      <c r="L32" s="0" t="str">
        <f aca="false">IF(L30&lt;&gt;"",L30,M32)</f>
        <v/>
      </c>
      <c r="M32" s="0" t="str">
        <f aca="false">IF(M30&lt;&gt;"",M30,"")</f>
        <v/>
      </c>
    </row>
    <row r="33" customFormat="false" ht="15" hidden="false" customHeight="false" outlineLevel="0" collapsed="false">
      <c r="A33" s="5" t="s">
        <v>1401</v>
      </c>
      <c r="B33" s="0" t="s">
        <v>1431</v>
      </c>
      <c r="C33" s="0" t="s">
        <v>390</v>
      </c>
      <c r="D33" s="32" t="str">
        <f aca="false">IF(D30&lt;&gt;"",D30,IF(0&gt;0,""*(1+cap_g_ext),""))</f>
        <v/>
      </c>
      <c r="E33" s="32" t="str">
        <f aca="false">IF(E30&lt;&gt;"",E30,IF(D31&gt;0,D33*(1+cap_g_ext),""))</f>
        <v/>
      </c>
      <c r="F33" s="32" t="n">
        <f aca="false">IF(F30&lt;&gt;"",F30,IF(E31&gt;0,E33*(1+cap_g_ext),""))</f>
        <v>91.447</v>
      </c>
      <c r="G33" s="32" t="n">
        <f aca="false">IF(G30&lt;&gt;"",G30,IF(F31&gt;0,F33*(1+cap_g_ext),""))</f>
        <v>200</v>
      </c>
      <c r="H33" s="32" t="n">
        <f aca="false">IF(H30&lt;&gt;"",H30,IF(G31&gt;0,G33*(1+cap_g_ext),""))</f>
        <v>300.979</v>
      </c>
      <c r="I33" s="32" t="n">
        <f aca="false">IF(I30&lt;&gt;"",I30,IF(H31&gt;0,H33*(1+cap_g_ext),""))</f>
        <v>339.451</v>
      </c>
      <c r="J33" s="32" t="n">
        <f aca="false">IF(J30&lt;&gt;"",J30,IF(I31&gt;0,I33*(1+cap_g_ext),""))</f>
        <v>373.3961</v>
      </c>
      <c r="K33" s="32" t="n">
        <f aca="false">IF(K30&lt;&gt;"",K30,IF(J31&gt;0,J33*(1+cap_g_ext),""))</f>
        <v>410.73571</v>
      </c>
      <c r="L33" s="32" t="n">
        <f aca="false">IF(L30&lt;&gt;"",L30,IF(K31&gt;0,K33*(1+cap_g_ext),""))</f>
        <v>451.809281</v>
      </c>
      <c r="M33" s="32" t="n">
        <f aca="false">IF(M30&lt;&gt;"",M30,IF(L31&gt;0,L33*(1+cap_g_ext),""))</f>
        <v>496.9902091</v>
      </c>
    </row>
    <row r="34" customFormat="false" ht="15" hidden="false" customHeight="false" outlineLevel="0" collapsed="false">
      <c r="A34" s="5" t="s">
        <v>1403</v>
      </c>
      <c r="B34" s="0" t="s">
        <v>1432</v>
      </c>
      <c r="C34" s="0" t="s">
        <v>390</v>
      </c>
      <c r="D34" s="32" t="str">
        <f aca="false">IF(OR(D33="",AND(fye_googl&lt;12,E33="")),"",D33*fye_googl/12+IF(fye_googl&lt;12,E33,0)*(12-fye_googl)/12)</f>
        <v/>
      </c>
      <c r="E34" s="32" t="str">
        <f aca="false">IF(OR(E33="",AND(fye_googl&lt;12,F33="")),"",E33*fye_googl/12+IF(fye_googl&lt;12,F33,0)*(12-fye_googl)/12)</f>
        <v/>
      </c>
      <c r="F34" s="32" t="n">
        <f aca="false">IF(OR(F33="",AND(fye_googl&lt;12,G33="")),"",F33*fye_googl/12+IF(fye_googl&lt;12,G33,0)*(12-fye_googl)/12)</f>
        <v>91.447</v>
      </c>
      <c r="G34" s="32" t="n">
        <f aca="false">IF(OR(G33="",AND(fye_googl&lt;12,H33="")),"",G33*fye_googl/12+IF(fye_googl&lt;12,H33,0)*(12-fye_googl)/12)</f>
        <v>200</v>
      </c>
      <c r="H34" s="32" t="n">
        <f aca="false">IF(OR(H33="",AND(fye_googl&lt;12,I33="")),"",H33*fye_googl/12+IF(fye_googl&lt;12,I33,0)*(12-fye_googl)/12)</f>
        <v>300.979</v>
      </c>
      <c r="I34" s="32" t="n">
        <f aca="false">IF(OR(I33="",AND(fye_googl&lt;12,J33="")),"",I33*fye_googl/12+IF(fye_googl&lt;12,J33,0)*(12-fye_googl)/12)</f>
        <v>339.451</v>
      </c>
      <c r="J34" s="32" t="n">
        <f aca="false">IF(OR(J33="",AND(fye_googl&lt;12,K33="")),"",J33*fye_googl/12+IF(fye_googl&lt;12,K33,0)*(12-fye_googl)/12)</f>
        <v>373.3961</v>
      </c>
      <c r="K34" s="32" t="n">
        <f aca="false">IF(OR(K33="",AND(fye_googl&lt;12,L33="")),"",K33*fye_googl/12+IF(fye_googl&lt;12,L33,0)*(12-fye_googl)/12)</f>
        <v>410.73571</v>
      </c>
      <c r="L34" s="32" t="n">
        <f aca="false">IF(OR(L33="",AND(fye_googl&lt;12,M33="")),"",L33*fye_googl/12+IF(fye_googl&lt;12,M33,0)*(12-fye_googl)/12)</f>
        <v>451.809281</v>
      </c>
      <c r="M34" s="32" t="n">
        <f aca="false">IF(OR(M33="",AND(fye_googl&lt;12,IF(M33="","",M33*(1+cap_g_ext))="")),"",M33*fye_googl/12+IF(fye_googl&lt;12,IF(M33="","",M33*(1+cap_g_ext)),0)*(12-fye_googl)/12)</f>
        <v>496.9902091</v>
      </c>
    </row>
    <row r="35" customFormat="false" ht="17.15" hidden="false" customHeight="false" outlineLevel="0" collapsed="false">
      <c r="A35" s="5" t="s">
        <v>1405</v>
      </c>
      <c r="B35" s="0" t="s">
        <v>1433</v>
      </c>
      <c r="C35" s="0" t="s">
        <v>390</v>
      </c>
      <c r="D35" s="32" t="str">
        <f aca="false">IF(D34="","",D34*ai_sh)</f>
        <v/>
      </c>
      <c r="E35" s="32" t="str">
        <f aca="false">IF(E34="","",E34*ai_sh)</f>
        <v/>
      </c>
      <c r="F35" s="32" t="n">
        <f aca="false">IF(F34="","",F34*ai_sh)</f>
        <v>77.72995</v>
      </c>
      <c r="G35" s="32" t="n">
        <f aca="false">IF(G34="","",G34*ai_sh)</f>
        <v>170</v>
      </c>
      <c r="H35" s="32" t="n">
        <f aca="false">IF(H34="","",H34*ai_sh)</f>
        <v>255.83215</v>
      </c>
      <c r="I35" s="32" t="n">
        <f aca="false">IF(I34="","",I34*ai_sh)</f>
        <v>288.53335</v>
      </c>
      <c r="J35" s="32" t="n">
        <f aca="false">IF(J34="","",J34*ai_sh)</f>
        <v>317.386685</v>
      </c>
      <c r="K35" s="32" t="n">
        <f aca="false">IF(K34="","",K34*ai_sh)</f>
        <v>349.1253535</v>
      </c>
      <c r="L35" s="32" t="n">
        <f aca="false">IF(L34="","",L34*ai_sh)</f>
        <v>384.03788885</v>
      </c>
      <c r="M35" s="32" t="n">
        <f aca="false">IF(M34="","",M34*ai_sh)</f>
        <v>422.441677735</v>
      </c>
    </row>
    <row r="36" customFormat="false" ht="17.15" hidden="false" customHeight="false" outlineLevel="0" collapsed="false">
      <c r="A36" s="5" t="s">
        <v>1407</v>
      </c>
      <c r="B36" s="0" t="s">
        <v>1434</v>
      </c>
      <c r="C36" s="0" t="s">
        <v>390</v>
      </c>
      <c r="D36" s="29" t="n">
        <f aca="false">(1-Players!D57)*D$7+Players!D57*TK_NonNV_Hold_TPU*TK_CapexIT_VR200</f>
        <v>26.6067889972</v>
      </c>
      <c r="E36" s="29" t="n">
        <f aca="false">(1-Players!E57)*E$7+Players!E57*TK_NonNV_Hold_TPU*TK_CapexIT_VR200</f>
        <v>26.6067889972</v>
      </c>
      <c r="F36" s="29" t="n">
        <f aca="false">(1-Players!F57)*F$7+Players!F57*TK_NonNV_Hold_TPU*TK_CapexIT_VR200</f>
        <v>26.2360108752</v>
      </c>
      <c r="G36" s="29" t="n">
        <f aca="false">(1-Players!G57)*G$7+Players!G57*TK_NonNV_Hold_TPU*TK_CapexIT_VR200</f>
        <v>28.06503208272</v>
      </c>
      <c r="H36" s="29" t="n">
        <f aca="false">(1-Players!H57)*H$7+Players!H57*TK_NonNV_Hold_TPU*TK_CapexIT_VR200</f>
        <v>29.281842304383</v>
      </c>
      <c r="I36" s="29" t="n">
        <f aca="false">(1-Players!I57)*I$7+Players!I57*TK_NonNV_Hold_TPU*TK_CapexIT_VR200</f>
        <v>30.020923498987</v>
      </c>
      <c r="J36" s="29" t="n">
        <f aca="false">(1-Players!J57)*J$7+Players!J57*TK_NonNV_Hold_TPU*TK_CapexIT_VR200</f>
        <v>30.020923498987</v>
      </c>
      <c r="K36" s="29" t="n">
        <f aca="false">(1-Players!K57)*K$7+Players!K57*TK_NonNV_Hold_TPU*TK_CapexIT_VR200</f>
        <v>30.020923498987</v>
      </c>
      <c r="L36" s="29" t="n">
        <f aca="false">(1-Players!L57)*L$7+Players!L57*TK_NonNV_Hold_TPU*TK_CapexIT_VR200</f>
        <v>30.020923498987</v>
      </c>
      <c r="M36" s="29" t="n">
        <f aca="false">(1-Players!M57)*M$7+Players!M57*TK_NonNV_Hold_TPU*TK_CapexIT_VR200</f>
        <v>30.020923498987</v>
      </c>
    </row>
    <row r="37" customFormat="false" ht="17.15" hidden="false" customHeight="false" outlineLevel="0" collapsed="false">
      <c r="A37" s="5" t="s">
        <v>1409</v>
      </c>
      <c r="B37" s="0" t="s">
        <v>1435</v>
      </c>
      <c r="C37" s="0" t="s">
        <v>390</v>
      </c>
      <c r="D37" s="29" t="n">
        <f aca="false">(1-Players!D57)*D$8+Players!D57*TK_NonNV_Hold_TPU*TK_CapexFacility_VR200</f>
        <v>9.807847</v>
      </c>
      <c r="E37" s="29" t="n">
        <f aca="false">(1-Players!E57)*E$8+Players!E57*TK_NonNV_Hold_TPU*TK_CapexFacility_VR200</f>
        <v>9.807847</v>
      </c>
      <c r="F37" s="29" t="n">
        <f aca="false">(1-Players!F57)*F$8+Players!F57*TK_NonNV_Hold_TPU*TK_CapexFacility_VR200</f>
        <v>9.807847</v>
      </c>
      <c r="G37" s="29" t="n">
        <f aca="false">(1-Players!G57)*G$8+Players!G57*TK_NonNV_Hold_TPU*TK_CapexFacility_VR200</f>
        <v>9.807847</v>
      </c>
      <c r="H37" s="29" t="n">
        <f aca="false">(1-Players!H57)*H$8+Players!H57*TK_NonNV_Hold_TPU*TK_CapexFacility_VR200</f>
        <v>9.807847</v>
      </c>
      <c r="I37" s="29" t="n">
        <f aca="false">(1-Players!I57)*I$8+Players!I57*TK_NonNV_Hold_TPU*TK_CapexFacility_VR200</f>
        <v>9.807847</v>
      </c>
      <c r="J37" s="29" t="n">
        <f aca="false">(1-Players!J57)*J$8+Players!J57*TK_NonNV_Hold_TPU*TK_CapexFacility_VR200</f>
        <v>9.807847</v>
      </c>
      <c r="K37" s="29" t="n">
        <f aca="false">(1-Players!K57)*K$8+Players!K57*TK_NonNV_Hold_TPU*TK_CapexFacility_VR200</f>
        <v>9.807847</v>
      </c>
      <c r="L37" s="29" t="n">
        <f aca="false">(1-Players!L57)*L$8+Players!L57*TK_NonNV_Hold_TPU*TK_CapexFacility_VR200</f>
        <v>9.807847</v>
      </c>
      <c r="M37" s="29" t="n">
        <f aca="false">(1-Players!M57)*M$8+Players!M57*TK_NonNV_Hold_TPU*TK_CapexFacility_VR200</f>
        <v>9.807847</v>
      </c>
    </row>
    <row r="38" customFormat="false" ht="17.15" hidden="false" customHeight="false" outlineLevel="0" collapsed="false">
      <c r="A38" s="5" t="s">
        <v>1411</v>
      </c>
      <c r="B38" s="0" t="s">
        <v>1436</v>
      </c>
      <c r="C38" s="0" t="s">
        <v>390</v>
      </c>
      <c r="D38" s="32" t="str">
        <f aca="false">IF(OR(D35="",D35="",D35=""),"",D36/(D36+D37)*D35+D37/(D36+D37)*(CapexGW!$D$4*D35+CapexGW!$E$4*D35+CapexGW!$F$4*D35))</f>
        <v/>
      </c>
      <c r="E38" s="32" t="str">
        <f aca="false">IF(OR(E35="",D35="",E35=""),"",E36/(E36+E37)*E35+E37/(E36+E37)*(CapexGW!$D$4*E35+CapexGW!$E$4*D35+CapexGW!$F$4*E35))</f>
        <v/>
      </c>
      <c r="F38" s="32" t="str">
        <f aca="false">IF(OR(F35="",E35="",D35=""),"",F36/(F36+F37)*F35+F37/(F36+F37)*(CapexGW!$D$4*F35+CapexGW!$E$4*E35+CapexGW!$F$4*D35))</f>
        <v/>
      </c>
      <c r="G38" s="32" t="str">
        <f aca="false">IF(OR(G35="",F35="",E35=""),"",G36/(G36+G37)*G35+G37/(G36+G37)*(CapexGW!$D$4*G35+CapexGW!$E$4*F35+CapexGW!$F$4*E35))</f>
        <v/>
      </c>
      <c r="H38" s="32" t="n">
        <f aca="false">IF(OR(H35="",G35="",F35=""),"",H36/(H36+H37)*H35+H37/(H36+H37)*(CapexGW!$D$4*H35+CapexGW!$E$4*G35+CapexGW!$F$4*F35))</f>
        <v>222.720762202986</v>
      </c>
      <c r="I38" s="32" t="n">
        <f aca="false">IF(OR(I35="",H35="",G35=""),"",I36/(I36+I37)*I35+I37/(I36+I37)*(CapexGW!$D$4*I35+CapexGW!$E$4*H35+CapexGW!$F$4*G35))</f>
        <v>269.912572746136</v>
      </c>
      <c r="J38" s="32" t="n">
        <f aca="false">IF(OR(J35="",I35="",H35=""),"",J36/(J36+J37)*J35+J37/(J36+J37)*(CapexGW!$D$4*J35+CapexGW!$E$4*I35+CapexGW!$F$4*H35))</f>
        <v>306.255202086431</v>
      </c>
      <c r="K38" s="32" t="n">
        <f aca="false">IF(OR(K35="",J35="",I35=""),"",K36/(K36+K37)*K35+K37/(K36+K37)*(CapexGW!$D$4*K35+CapexGW!$E$4*J35+CapexGW!$F$4*I35))</f>
        <v>337.757125294133</v>
      </c>
      <c r="L38" s="32" t="n">
        <f aca="false">IF(OR(L35="",K35="",J35=""),"",L36/(L36+L37)*L35+L37/(L36+L37)*(CapexGW!$D$4*L35+CapexGW!$E$4*K35+CapexGW!$F$4*J35))</f>
        <v>371.532837823546</v>
      </c>
      <c r="M38" s="32" t="n">
        <f aca="false">IF(OR(M35="",L35="",K35=""),"",M36/(M36+M37)*M35+M37/(M36+M37)*(CapexGW!$D$4*M35+CapexGW!$E$4*L35+CapexGW!$F$4*K35))</f>
        <v>408.686121605901</v>
      </c>
    </row>
    <row r="39" customFormat="false" ht="17.15" hidden="false" customHeight="false" outlineLevel="0" collapsed="false">
      <c r="A39" s="5" t="s">
        <v>1413</v>
      </c>
      <c r="B39" s="0" t="s">
        <v>1437</v>
      </c>
      <c r="C39" s="0" t="s">
        <v>77</v>
      </c>
      <c r="D39" s="25" t="str">
        <f aca="false">IF(D38="","",D38/(D36+D37))</f>
        <v/>
      </c>
      <c r="E39" s="25" t="str">
        <f aca="false">IF(E38="","",E38/(E36+E37))</f>
        <v/>
      </c>
      <c r="F39" s="25" t="str">
        <f aca="false">IF(F38="","",F38/(F36+F37))</f>
        <v/>
      </c>
      <c r="G39" s="25" t="str">
        <f aca="false">IF(G38="","",G38/(G36+G37))</f>
        <v/>
      </c>
      <c r="H39" s="25" t="n">
        <f aca="false">IF(H38="","",H38/(H36+H37))</f>
        <v>5.69768565998842</v>
      </c>
      <c r="I39" s="25" t="n">
        <f aca="false">IF(I38="","",I38/(I36+I37))</f>
        <v>6.77682412398346</v>
      </c>
      <c r="J39" s="25" t="n">
        <f aca="false">IF(J38="","",J38/(J36+J37))</f>
        <v>7.68929590970478</v>
      </c>
      <c r="K39" s="25" t="n">
        <f aca="false">IF(K38="","",K38/(K36+K37))</f>
        <v>8.4802297701538</v>
      </c>
      <c r="L39" s="25" t="n">
        <f aca="false">IF(L38="","",L38/(L36+L37))</f>
        <v>9.32825274716918</v>
      </c>
      <c r="M39" s="25" t="n">
        <f aca="false">IF(M38="","",M38/(M36+M37))</f>
        <v>10.2610780218861</v>
      </c>
    </row>
    <row r="40" customFormat="false" ht="17.15" hidden="false" customHeight="false" outlineLevel="0" collapsed="false">
      <c r="A40" s="5" t="s">
        <v>1415</v>
      </c>
      <c r="B40" s="0" t="s">
        <v>1438</v>
      </c>
      <c r="C40" s="0" t="s">
        <v>77</v>
      </c>
      <c r="D40" s="19" t="n">
        <f aca="false">Players!D55</f>
        <v>0</v>
      </c>
      <c r="E40" s="27" t="n">
        <f aca="false">Players!E55</f>
        <v>1.32980834349181</v>
      </c>
      <c r="F40" s="27" t="n">
        <f aca="false">Players!F55</f>
        <v>2.40961330082622</v>
      </c>
      <c r="G40" s="27" t="n">
        <f aca="false">Players!G55</f>
        <v>1.29267912772586</v>
      </c>
      <c r="H40" s="27" t="n">
        <f aca="false">Players!H55</f>
        <v>0</v>
      </c>
      <c r="I40" s="27" t="n">
        <f aca="false">Players!I55</f>
        <v>0</v>
      </c>
      <c r="J40" s="27" t="n">
        <f aca="false">Players!J55</f>
        <v>0</v>
      </c>
      <c r="K40" s="27" t="n">
        <f aca="false">Players!K55</f>
        <v>0</v>
      </c>
      <c r="L40" s="27" t="n">
        <f aca="false">Players!L55</f>
        <v>0</v>
      </c>
      <c r="M40" s="27" t="n">
        <f aca="false">Players!M55</f>
        <v>0</v>
      </c>
    </row>
    <row r="41" customFormat="false" ht="17.15" hidden="false" customHeight="false" outlineLevel="0" collapsed="false">
      <c r="A41" s="5" t="s">
        <v>1417</v>
      </c>
      <c r="B41" s="0" t="s">
        <v>1439</v>
      </c>
      <c r="C41" s="0" t="s">
        <v>77</v>
      </c>
      <c r="D41" s="24" t="n">
        <f aca="false">IF(AND(2023&gt;=2027,D39&lt;&gt;""),D39,D40)</f>
        <v>0</v>
      </c>
      <c r="E41" s="24" t="n">
        <f aca="false">IF(AND(2024&gt;=2027,E39&lt;&gt;""),E39,E40)</f>
        <v>1.32980834349181</v>
      </c>
      <c r="F41" s="24" t="n">
        <f aca="false">IF(AND(2025&gt;=2027,F39&lt;&gt;""),F39,F40)</f>
        <v>2.40961330082622</v>
      </c>
      <c r="G41" s="24" t="n">
        <f aca="false">IF(AND(2026&gt;=2027,G39&lt;&gt;""),G39,G40)</f>
        <v>1.29267912772586</v>
      </c>
      <c r="H41" s="24" t="n">
        <f aca="false">IF(AND(2027&gt;=2027,H39&lt;&gt;""),H39,H40)</f>
        <v>5.69768565998842</v>
      </c>
      <c r="I41" s="24" t="n">
        <f aca="false">IF(AND(2028&gt;=2027,I39&lt;&gt;""),I39,I40)</f>
        <v>6.77682412398346</v>
      </c>
      <c r="J41" s="24" t="n">
        <f aca="false">IF(AND(2029&gt;=2027,J39&lt;&gt;""),J39,J40)</f>
        <v>7.68929590970478</v>
      </c>
      <c r="K41" s="24" t="n">
        <f aca="false">IF(AND(2030&gt;=2027,K39&lt;&gt;""),K39,K40)</f>
        <v>8.4802297701538</v>
      </c>
      <c r="L41" s="24" t="n">
        <f aca="false">IF(AND(2031&gt;=2027,L39&lt;&gt;""),L39,L40)</f>
        <v>9.32825274716918</v>
      </c>
      <c r="M41" s="24" t="n">
        <f aca="false">IF(AND(2032&gt;=2027,M39&lt;&gt;""),M39,M40)</f>
        <v>10.2610780218861</v>
      </c>
    </row>
    <row r="42" customFormat="false" ht="17.15" hidden="false" customHeight="false" outlineLevel="0" collapsed="false">
      <c r="A42" s="5" t="s">
        <v>1419</v>
      </c>
      <c r="B42" s="0" t="s">
        <v>1440</v>
      </c>
      <c r="C42" s="0" t="s">
        <v>77</v>
      </c>
      <c r="D42" s="24" t="n">
        <f aca="false">N(Players!D49)</f>
        <v>0.560578355681972</v>
      </c>
      <c r="E42" s="24" t="n">
        <f aca="false">IF(2024&gt;=2027,D42+E41,N(Players!E49))</f>
        <v>1.89038669917378</v>
      </c>
      <c r="F42" s="24" t="n">
        <f aca="false">IF(2025&gt;=2027,E42+F41,N(Players!F49))</f>
        <v>4.3</v>
      </c>
      <c r="G42" s="24" t="n">
        <f aca="false">IF(2026&gt;=2027,F42+G41,N(Players!G49))</f>
        <v>5.59267912772586</v>
      </c>
      <c r="H42" s="24" t="n">
        <f aca="false">IF(2027&gt;=2027,G42+H41,N(Players!H49))</f>
        <v>11.2903647877143</v>
      </c>
      <c r="I42" s="24" t="n">
        <f aca="false">IF(2028&gt;=2027,H42+I41,N(Players!I49))</f>
        <v>18.0671889116977</v>
      </c>
      <c r="J42" s="24" t="n">
        <f aca="false">IF(2029&gt;=2027,I42+J41,N(Players!J49))</f>
        <v>25.7564848214025</v>
      </c>
      <c r="K42" s="24" t="n">
        <f aca="false">IF(2030&gt;=2027,J42+K41,N(Players!K49))</f>
        <v>34.2367145915563</v>
      </c>
      <c r="L42" s="24" t="n">
        <f aca="false">IF(2031&gt;=2027,K42+L41,N(Players!L49))</f>
        <v>43.5649673387255</v>
      </c>
      <c r="M42" s="24" t="n">
        <f aca="false">IF(2032&gt;=2027,L42+M41,N(Players!M49))</f>
        <v>53.8260453606116</v>
      </c>
    </row>
    <row r="43" customFormat="false" ht="17.15" hidden="false" customHeight="false" outlineLevel="0" collapsed="false">
      <c r="A43" s="5" t="s">
        <v>1421</v>
      </c>
      <c r="B43" s="0" t="s">
        <v>1441</v>
      </c>
      <c r="C43" s="0" t="s">
        <v>77</v>
      </c>
      <c r="D43" s="24" t="str">
        <f aca="false">IF(D39="","",D39*ai_sh_lo/ai_sh)</f>
        <v/>
      </c>
      <c r="E43" s="24" t="str">
        <f aca="false">IF(E39="","",E39*ai_sh_lo/ai_sh)</f>
        <v/>
      </c>
      <c r="F43" s="24" t="str">
        <f aca="false">IF(F39="","",F39*ai_sh_lo/ai_sh)</f>
        <v/>
      </c>
      <c r="G43" s="24" t="str">
        <f aca="false">IF(G39="","",G39*ai_sh_lo/ai_sh)</f>
        <v/>
      </c>
      <c r="H43" s="24" t="n">
        <f aca="false">IF(H39="","",H39*ai_sh_lo/ai_sh)</f>
        <v>5.02736969998979</v>
      </c>
      <c r="I43" s="24" t="n">
        <f aca="false">IF(I39="","",I39*ai_sh_lo/ai_sh)</f>
        <v>5.97955069763246</v>
      </c>
      <c r="J43" s="24" t="n">
        <f aca="false">IF(J39="","",J39*ai_sh_lo/ai_sh)</f>
        <v>6.78467286150421</v>
      </c>
      <c r="K43" s="24" t="n">
        <f aca="false">IF(K39="","",K39*ai_sh_lo/ai_sh)</f>
        <v>7.48255567954747</v>
      </c>
      <c r="L43" s="24" t="n">
        <f aca="false">IF(L39="","",L39*ai_sh_lo/ai_sh)</f>
        <v>8.23081124750222</v>
      </c>
      <c r="M43" s="24" t="n">
        <f aca="false">IF(M39="","",M39*ai_sh_lo/ai_sh)</f>
        <v>9.05389237225244</v>
      </c>
    </row>
    <row r="44" customFormat="false" ht="17.15" hidden="false" customHeight="false" outlineLevel="0" collapsed="false">
      <c r="A44" s="5" t="s">
        <v>1423</v>
      </c>
      <c r="B44" s="0" t="s">
        <v>1442</v>
      </c>
      <c r="C44" s="0" t="s">
        <v>77</v>
      </c>
      <c r="D44" s="24" t="str">
        <f aca="false">IF(D39="","",D39*ai_sh_hi/ai_sh)</f>
        <v/>
      </c>
      <c r="E44" s="24" t="str">
        <f aca="false">IF(E39="","",E39*ai_sh_hi/ai_sh)</f>
        <v/>
      </c>
      <c r="F44" s="24" t="str">
        <f aca="false">IF(F39="","",F39*ai_sh_hi/ai_sh)</f>
        <v/>
      </c>
      <c r="G44" s="24" t="str">
        <f aca="false">IF(G39="","",G39*ai_sh_hi/ai_sh)</f>
        <v/>
      </c>
      <c r="H44" s="24" t="n">
        <f aca="false">IF(H39="","",H39*ai_sh_hi/ai_sh)</f>
        <v>6.36800161998706</v>
      </c>
      <c r="I44" s="24" t="n">
        <f aca="false">IF(I39="","",I39*ai_sh_hi/ai_sh)</f>
        <v>7.57409755033445</v>
      </c>
      <c r="J44" s="24" t="n">
        <f aca="false">IF(J39="","",J39*ai_sh_hi/ai_sh)</f>
        <v>8.59391895790534</v>
      </c>
      <c r="K44" s="24" t="n">
        <f aca="false">IF(K39="","",K39*ai_sh_hi/ai_sh)</f>
        <v>9.47790386076013</v>
      </c>
      <c r="L44" s="24" t="n">
        <f aca="false">IF(L39="","",L39*ai_sh_hi/ai_sh)</f>
        <v>10.4256942468361</v>
      </c>
      <c r="M44" s="24" t="n">
        <f aca="false">IF(M39="","",M39*ai_sh_hi/ai_sh)</f>
        <v>11.4682636715198</v>
      </c>
    </row>
    <row r="45" customFormat="false" ht="17.15" hidden="false" customHeight="false" outlineLevel="0" collapsed="false">
      <c r="A45" s="5" t="s">
        <v>1425</v>
      </c>
      <c r="B45" s="0" t="s">
        <v>1443</v>
      </c>
      <c r="C45" s="0" t="s">
        <v>77</v>
      </c>
      <c r="D45" s="24" t="str">
        <f aca="false">IF(OR(D35="",D35="",D35=""),"",(D36/(D36+D37)*D35+D37/(D36+D37)*(CapexGW!$D$5*D35+CapexGW!$E$5*D35+CapexGW!$F$5*D35))/(D36+D37))</f>
        <v/>
      </c>
      <c r="E45" s="24" t="str">
        <f aca="false">IF(OR(E35="",D35="",E35=""),"",(E36/(E36+E37)*E35+E37/(E36+E37)*(CapexGW!$D$5*E35+CapexGW!$E$5*D35+CapexGW!$F$5*E35))/(E36+E37))</f>
        <v/>
      </c>
      <c r="F45" s="24" t="str">
        <f aca="false">IF(OR(F35="",E35="",D35=""),"",(F36/(F36+F37)*F35+F37/(F36+F37)*(CapexGW!$D$5*F35+CapexGW!$E$5*E35+CapexGW!$F$5*D35))/(F36+F37))</f>
        <v/>
      </c>
      <c r="G45" s="24" t="str">
        <f aca="false">IF(OR(G35="",F35="",E35=""),"",(G36/(G36+G37)*G35+G37/(G36+G37)*(CapexGW!$D$5*G35+CapexGW!$E$5*F35+CapexGW!$F$5*E35))/(G36+G37))</f>
        <v/>
      </c>
      <c r="H45" s="24" t="n">
        <f aca="false">IF(OR(H35="",G35="",F35=""),"",(H36/(H36+H37)*H35+H37/(H36+H37)*(CapexGW!$D$5*H35+CapexGW!$E$5*G35+CapexGW!$F$5*F35))/(H36+H37))</f>
        <v>5.99381402276187</v>
      </c>
      <c r="I45" s="24" t="n">
        <f aca="false">IF(OR(I35="",H35="",G35=""),"",(I36/(I36+I37)*I35+I37/(I36+I37)*(CapexGW!$D$5*I35+CapexGW!$E$5*H35+CapexGW!$F$5*G35))/(I36+I37))</f>
        <v>7.04216238453379</v>
      </c>
      <c r="J45" s="24" t="n">
        <f aca="false">IF(OR(J35="",I35="",H35=""),"",(J36/(J36+J37)*J35+J37/(J36+J37)*(CapexGW!$D$5*J35+CapexGW!$E$5*I35+CapexGW!$F$5*H35))/(J36+J37))</f>
        <v>7.79038716194428</v>
      </c>
      <c r="K45" s="24" t="n">
        <f aca="false">IF(OR(K35="",J35="",I35=""),"",(K36/(K36+K37)*K35+K37/(K36+K37)*(CapexGW!$D$5*K35+CapexGW!$E$5*J35+CapexGW!$F$5*I35))/(K36+K37))</f>
        <v>8.56942587813871</v>
      </c>
      <c r="L45" s="24" t="n">
        <f aca="false">IF(OR(L35="",K35="",J35=""),"",(L36/(L36+L37)*L35+L37/(L36+L37)*(CapexGW!$D$5*L35+CapexGW!$E$5*K35+CapexGW!$F$5*J35))/(L36+L37))</f>
        <v>9.42636846595258</v>
      </c>
      <c r="M45" s="24" t="n">
        <f aca="false">IF(OR(M35="",L35="",K35=""),"",(M36/(M36+M37)*M35+M37/(M36+M37)*(CapexGW!$D$5*M35+CapexGW!$E$5*L35+CapexGW!$F$5*K35))/(M36+M37))</f>
        <v>10.3690053125478</v>
      </c>
    </row>
    <row r="46" customFormat="false" ht="17.15" hidden="false" customHeight="false" outlineLevel="0" collapsed="false">
      <c r="A46" s="5" t="s">
        <v>1427</v>
      </c>
      <c r="B46" s="0" t="s">
        <v>1444</v>
      </c>
      <c r="C46" s="0" t="s">
        <v>77</v>
      </c>
      <c r="D46" s="24" t="str">
        <f aca="false">IF(OR(D35="",D35="",D35=""),"",(D36/(D36+D37)*D35+D37/(D36+D37)*(CapexGW!$D$6*D35+CapexGW!$E$6*D35+CapexGW!$F$6*D35))/(D36+D37))</f>
        <v/>
      </c>
      <c r="E46" s="24" t="str">
        <f aca="false">IF(OR(E35="",D35="",E35=""),"",(E36/(E36+E37)*E35+E37/(E36+E37)*(CapexGW!$D$6*E35+CapexGW!$E$6*D35+CapexGW!$F$6*E35))/(E36+E37))</f>
        <v/>
      </c>
      <c r="F46" s="24" t="str">
        <f aca="false">IF(OR(F35="",E35="",D35=""),"",(F36/(F36+F37)*F35+F37/(F36+F37)*(CapexGW!$D$6*F35+CapexGW!$E$6*E35+CapexGW!$F$6*D35))/(F36+F37))</f>
        <v/>
      </c>
      <c r="G46" s="24" t="str">
        <f aca="false">IF(OR(G35="",F35="",E35=""),"",(G36/(G36+G37)*G35+G37/(G36+G37)*(CapexGW!$D$6*G35+CapexGW!$E$6*F35+CapexGW!$F$6*E35))/(G36+G37))</f>
        <v/>
      </c>
      <c r="H46" s="24" t="n">
        <f aca="false">IF(OR(H35="",G35="",F35=""),"",(H36/(H36+H37)*H35+H37/(H36+H37)*(CapexGW!$D$6*H35+CapexGW!$E$6*G35+CapexGW!$F$6*F35))/(H36+H37))</f>
        <v>5.40155729721498</v>
      </c>
      <c r="I46" s="24" t="n">
        <f aca="false">IF(OR(I35="",H35="",G35=""),"",(I36/(I36+I37)*I35+I37/(I36+I37)*(CapexGW!$D$6*I35+CapexGW!$E$6*H35+CapexGW!$F$6*G35))/(I36+I37))</f>
        <v>6.51148586343312</v>
      </c>
      <c r="J46" s="24" t="n">
        <f aca="false">IF(OR(J35="",I35="",H35=""),"",(J36/(J36+J37)*J35+J37/(J36+J37)*(CapexGW!$D$6*J35+CapexGW!$E$6*I35+CapexGW!$F$6*H35))/(J36+J37))</f>
        <v>7.58820465746527</v>
      </c>
      <c r="K46" s="24" t="n">
        <f aca="false">IF(OR(K35="",J35="",I35=""),"",(K36/(K36+K37)*K35+K37/(K36+K37)*(CapexGW!$D$6*K35+CapexGW!$E$6*J35+CapexGW!$F$6*I35))/(K36+K37))</f>
        <v>8.3910336621689</v>
      </c>
      <c r="L46" s="24" t="n">
        <f aca="false">IF(OR(L35="",K35="",J35=""),"",(L36/(L36+L37)*L35+L37/(L36+L37)*(CapexGW!$D$6*L35+CapexGW!$E$6*K35+CapexGW!$F$6*J35))/(L36+L37))</f>
        <v>9.23013702838579</v>
      </c>
      <c r="M46" s="24" t="n">
        <f aca="false">IF(OR(M35="",L35="",K35=""),"",(M36/(M36+M37)*M35+M37/(M36+M37)*(CapexGW!$D$6*M35+CapexGW!$E$6*L35+CapexGW!$F$6*K35))/(M36+M37))</f>
        <v>10.1531507312244</v>
      </c>
    </row>
    <row r="48" customFormat="false" ht="17.15" hidden="false" customHeight="false" outlineLevel="0" collapsed="false">
      <c r="A48" s="8" t="s">
        <v>1019</v>
      </c>
      <c r="B48" s="20" t="s">
        <v>519</v>
      </c>
      <c r="N48" s="20" t="s">
        <v>1445</v>
      </c>
    </row>
    <row r="49" customFormat="false" ht="17.15" hidden="false" customHeight="false" outlineLevel="0" collapsed="false">
      <c r="A49" s="5" t="s">
        <v>1397</v>
      </c>
      <c r="B49" s="0" t="s">
        <v>1021</v>
      </c>
      <c r="C49" s="0" t="s">
        <v>390</v>
      </c>
      <c r="D49" s="19" t="str">
        <f aca="false">IF(In!H126="","",In!H126)</f>
        <v/>
      </c>
      <c r="E49" s="19" t="str">
        <f aca="false">IF(In!I126="","",In!I126)</f>
        <v/>
      </c>
      <c r="F49" s="30" t="n">
        <f aca="false">IF(In!J126="","",In!J126)</f>
        <v>128.32</v>
      </c>
      <c r="G49" s="30" t="n">
        <f aca="false">IF(In!K126="","",In!K126)</f>
        <v>220</v>
      </c>
      <c r="H49" s="30" t="n">
        <f aca="false">IF(In!L126="","",In!L126)</f>
        <v>275.063</v>
      </c>
      <c r="I49" s="30" t="n">
        <f aca="false">IF(In!M126="","",In!M126)</f>
        <v>292.927</v>
      </c>
      <c r="J49" s="19" t="str">
        <f aca="false">IF(In!N126="","",In!N126)</f>
        <v/>
      </c>
      <c r="K49" s="19" t="str">
        <f aca="false">IF(In!O126="","",In!O126)</f>
        <v/>
      </c>
      <c r="L49" s="19" t="str">
        <f aca="false">IF(In!P126="","",In!P126)</f>
        <v/>
      </c>
      <c r="M49" s="19" t="str">
        <f aca="false">IF(In!Q126="","",In!Q126)</f>
        <v/>
      </c>
    </row>
    <row r="50" customFormat="false" ht="15" hidden="false" customHeight="false" outlineLevel="0" collapsed="false">
      <c r="A50" s="5" t="s">
        <v>1398</v>
      </c>
      <c r="B50" s="0" t="s">
        <v>1446</v>
      </c>
      <c r="C50" s="0" t="s">
        <v>35</v>
      </c>
      <c r="D50" s="26" t="n">
        <f aca="false">(D49&lt;&gt;"")</f>
        <v>0</v>
      </c>
      <c r="E50" s="26" t="n">
        <f aca="false">(E49&lt;&gt;"")+D50</f>
        <v>0</v>
      </c>
      <c r="F50" s="26" t="n">
        <f aca="false">(F49&lt;&gt;"")+E50</f>
        <v>1</v>
      </c>
      <c r="G50" s="26" t="n">
        <f aca="false">(G49&lt;&gt;"")+F50</f>
        <v>2</v>
      </c>
      <c r="H50" s="26" t="n">
        <f aca="false">(H49&lt;&gt;"")+G50</f>
        <v>3</v>
      </c>
      <c r="I50" s="26" t="n">
        <f aca="false">(I49&lt;&gt;"")+H50</f>
        <v>4</v>
      </c>
      <c r="J50" s="26" t="n">
        <f aca="false">(J49&lt;&gt;"")+I50</f>
        <v>4</v>
      </c>
      <c r="K50" s="26" t="n">
        <f aca="false">(K49&lt;&gt;"")+J50</f>
        <v>4</v>
      </c>
      <c r="L50" s="26" t="n">
        <f aca="false">(L49&lt;&gt;"")+K50</f>
        <v>4</v>
      </c>
      <c r="M50" s="26" t="n">
        <f aca="false">(M49&lt;&gt;"")+L50</f>
        <v>4</v>
      </c>
    </row>
    <row r="51" customFormat="false" ht="15" hidden="false" customHeight="false" outlineLevel="0" collapsed="false">
      <c r="A51" s="5" t="s">
        <v>1400</v>
      </c>
      <c r="B51" s="0" t="s">
        <v>1026</v>
      </c>
      <c r="C51" s="0" t="s">
        <v>390</v>
      </c>
      <c r="D51" s="31" t="n">
        <f aca="false">IF(D49&lt;&gt;"",D49,E51)</f>
        <v>128.32</v>
      </c>
      <c r="E51" s="31" t="n">
        <f aca="false">IF(E49&lt;&gt;"",E49,F51)</f>
        <v>128.32</v>
      </c>
      <c r="F51" s="31" t="n">
        <f aca="false">IF(F49&lt;&gt;"",F49,G51)</f>
        <v>128.32</v>
      </c>
      <c r="G51" s="31" t="n">
        <f aca="false">IF(G49&lt;&gt;"",G49,H51)</f>
        <v>220</v>
      </c>
      <c r="H51" s="31" t="n">
        <f aca="false">IF(H49&lt;&gt;"",H49,I51)</f>
        <v>275.063</v>
      </c>
      <c r="I51" s="31" t="n">
        <f aca="false">IF(I49&lt;&gt;"",I49,J51)</f>
        <v>292.927</v>
      </c>
      <c r="J51" s="0" t="str">
        <f aca="false">IF(J49&lt;&gt;"",J49,K51)</f>
        <v/>
      </c>
      <c r="K51" s="0" t="str">
        <f aca="false">IF(K49&lt;&gt;"",K49,L51)</f>
        <v/>
      </c>
      <c r="L51" s="0" t="str">
        <f aca="false">IF(L49&lt;&gt;"",L49,M51)</f>
        <v/>
      </c>
      <c r="M51" s="0" t="str">
        <f aca="false">IF(M49&lt;&gt;"",M49,"")</f>
        <v/>
      </c>
    </row>
    <row r="52" customFormat="false" ht="15" hidden="false" customHeight="false" outlineLevel="0" collapsed="false">
      <c r="A52" s="5" t="s">
        <v>1401</v>
      </c>
      <c r="B52" s="0" t="s">
        <v>1447</v>
      </c>
      <c r="C52" s="0" t="s">
        <v>390</v>
      </c>
      <c r="D52" s="32" t="str">
        <f aca="false">IF(D49&lt;&gt;"",D49,IF(0&gt;0,""*(1+cap_g_ext),""))</f>
        <v/>
      </c>
      <c r="E52" s="32" t="str">
        <f aca="false">IF(E49&lt;&gt;"",E49,IF(D50&gt;0,D52*(1+cap_g_ext),""))</f>
        <v/>
      </c>
      <c r="F52" s="32" t="n">
        <f aca="false">IF(F49&lt;&gt;"",F49,IF(E50&gt;0,E52*(1+cap_g_ext),""))</f>
        <v>128.32</v>
      </c>
      <c r="G52" s="32" t="n">
        <f aca="false">IF(G49&lt;&gt;"",G49,IF(F50&gt;0,F52*(1+cap_g_ext),""))</f>
        <v>220</v>
      </c>
      <c r="H52" s="32" t="n">
        <f aca="false">IF(H49&lt;&gt;"",H49,IF(G50&gt;0,G52*(1+cap_g_ext),""))</f>
        <v>275.063</v>
      </c>
      <c r="I52" s="32" t="n">
        <f aca="false">IF(I49&lt;&gt;"",I49,IF(H50&gt;0,H52*(1+cap_g_ext),""))</f>
        <v>292.927</v>
      </c>
      <c r="J52" s="32" t="n">
        <f aca="false">IF(J49&lt;&gt;"",J49,IF(I50&gt;0,I52*(1+cap_g_ext),""))</f>
        <v>322.2197</v>
      </c>
      <c r="K52" s="32" t="n">
        <f aca="false">IF(K49&lt;&gt;"",K49,IF(J50&gt;0,J52*(1+cap_g_ext),""))</f>
        <v>354.44167</v>
      </c>
      <c r="L52" s="32" t="n">
        <f aca="false">IF(L49&lt;&gt;"",L49,IF(K50&gt;0,K52*(1+cap_g_ext),""))</f>
        <v>389.885837</v>
      </c>
      <c r="M52" s="32" t="n">
        <f aca="false">IF(M49&lt;&gt;"",M49,IF(L50&gt;0,L52*(1+cap_g_ext),""))</f>
        <v>428.8744207</v>
      </c>
    </row>
    <row r="53" customFormat="false" ht="15" hidden="false" customHeight="false" outlineLevel="0" collapsed="false">
      <c r="A53" s="5" t="s">
        <v>1403</v>
      </c>
      <c r="B53" s="0" t="s">
        <v>1448</v>
      </c>
      <c r="C53" s="0" t="s">
        <v>390</v>
      </c>
      <c r="D53" s="32" t="str">
        <f aca="false">IF(OR(D52="",AND(fye_amzn&lt;12,E52="")),"",D52*fye_amzn/12+IF(fye_amzn&lt;12,E52,0)*(12-fye_amzn)/12)</f>
        <v/>
      </c>
      <c r="E53" s="32" t="str">
        <f aca="false">IF(OR(E52="",AND(fye_amzn&lt;12,F52="")),"",E52*fye_amzn/12+IF(fye_amzn&lt;12,F52,0)*(12-fye_amzn)/12)</f>
        <v/>
      </c>
      <c r="F53" s="32" t="n">
        <f aca="false">IF(OR(F52="",AND(fye_amzn&lt;12,G52="")),"",F52*fye_amzn/12+IF(fye_amzn&lt;12,G52,0)*(12-fye_amzn)/12)</f>
        <v>128.32</v>
      </c>
      <c r="G53" s="32" t="n">
        <f aca="false">IF(OR(G52="",AND(fye_amzn&lt;12,H52="")),"",G52*fye_amzn/12+IF(fye_amzn&lt;12,H52,0)*(12-fye_amzn)/12)</f>
        <v>220</v>
      </c>
      <c r="H53" s="32" t="n">
        <f aca="false">IF(OR(H52="",AND(fye_amzn&lt;12,I52="")),"",H52*fye_amzn/12+IF(fye_amzn&lt;12,I52,0)*(12-fye_amzn)/12)</f>
        <v>275.063</v>
      </c>
      <c r="I53" s="32" t="n">
        <f aca="false">IF(OR(I52="",AND(fye_amzn&lt;12,J52="")),"",I52*fye_amzn/12+IF(fye_amzn&lt;12,J52,0)*(12-fye_amzn)/12)</f>
        <v>292.927</v>
      </c>
      <c r="J53" s="32" t="n">
        <f aca="false">IF(OR(J52="",AND(fye_amzn&lt;12,K52="")),"",J52*fye_amzn/12+IF(fye_amzn&lt;12,K52,0)*(12-fye_amzn)/12)</f>
        <v>322.2197</v>
      </c>
      <c r="K53" s="32" t="n">
        <f aca="false">IF(OR(K52="",AND(fye_amzn&lt;12,L52="")),"",K52*fye_amzn/12+IF(fye_amzn&lt;12,L52,0)*(12-fye_amzn)/12)</f>
        <v>354.44167</v>
      </c>
      <c r="L53" s="32" t="n">
        <f aca="false">IF(OR(L52="",AND(fye_amzn&lt;12,M52="")),"",L52*fye_amzn/12+IF(fye_amzn&lt;12,M52,0)*(12-fye_amzn)/12)</f>
        <v>389.885837</v>
      </c>
      <c r="M53" s="32" t="n">
        <f aca="false">IF(OR(M52="",AND(fye_amzn&lt;12,IF(M52="","",M52*(1+cap_g_ext))="")),"",M52*fye_amzn/12+IF(fye_amzn&lt;12,IF(M52="","",M52*(1+cap_g_ext)),0)*(12-fye_amzn)/12)</f>
        <v>428.8744207</v>
      </c>
    </row>
    <row r="54" customFormat="false" ht="17.15" hidden="false" customHeight="false" outlineLevel="0" collapsed="false">
      <c r="A54" s="5" t="s">
        <v>1405</v>
      </c>
      <c r="B54" s="0" t="s">
        <v>1449</v>
      </c>
      <c r="C54" s="0" t="s">
        <v>390</v>
      </c>
      <c r="D54" s="32" t="str">
        <f aca="false">IF(D53="","",D53*ai_amzn)</f>
        <v/>
      </c>
      <c r="E54" s="32" t="str">
        <f aca="false">IF(E53="","",E53*ai_amzn)</f>
        <v/>
      </c>
      <c r="F54" s="32" t="n">
        <f aca="false">IF(F53="","",F53*ai_amzn)</f>
        <v>87.2576</v>
      </c>
      <c r="G54" s="32" t="n">
        <f aca="false">IF(G53="","",G53*ai_amzn)</f>
        <v>149.6</v>
      </c>
      <c r="H54" s="32" t="n">
        <f aca="false">IF(H53="","",H53*ai_amzn)</f>
        <v>187.04284</v>
      </c>
      <c r="I54" s="32" t="n">
        <f aca="false">IF(I53="","",I53*ai_amzn)</f>
        <v>199.19036</v>
      </c>
      <c r="J54" s="32" t="n">
        <f aca="false">IF(J53="","",J53*ai_amzn)</f>
        <v>219.109396</v>
      </c>
      <c r="K54" s="32" t="n">
        <f aca="false">IF(K53="","",K53*ai_amzn)</f>
        <v>241.0203356</v>
      </c>
      <c r="L54" s="32" t="n">
        <f aca="false">IF(L53="","",L53*ai_amzn)</f>
        <v>265.12236916</v>
      </c>
      <c r="M54" s="32" t="n">
        <f aca="false">IF(M53="","",M53*ai_amzn)</f>
        <v>291.634606076</v>
      </c>
    </row>
    <row r="55" customFormat="false" ht="17.15" hidden="false" customHeight="false" outlineLevel="0" collapsed="false">
      <c r="A55" s="5" t="s">
        <v>1407</v>
      </c>
      <c r="B55" s="0" t="s">
        <v>1450</v>
      </c>
      <c r="C55" s="0" t="s">
        <v>390</v>
      </c>
      <c r="D55" s="29" t="n">
        <f aca="false">(1-Players!D76)*D$7+Players!D76*TK_NonNV_Hold_Trn*TK_CapexIT_VR200</f>
        <v>24.4399126824</v>
      </c>
      <c r="E55" s="29" t="n">
        <f aca="false">(1-Players!E76)*E$7+Players!E76*TK_NonNV_Hold_Trn*TK_CapexIT_VR200</f>
        <v>24.4399126824</v>
      </c>
      <c r="F55" s="29" t="n">
        <f aca="false">(1-Players!F76)*F$7+Players!F76*TK_NonNV_Hold_Trn*TK_CapexIT_VR200</f>
        <v>23.9445411024</v>
      </c>
      <c r="G55" s="29" t="n">
        <f aca="false">(1-Players!G76)*G$7+Players!G76*TK_NonNV_Hold_Trn*TK_CapexIT_VR200</f>
        <v>26.3881726752</v>
      </c>
      <c r="H55" s="29" t="n">
        <f aca="false">(1-Players!H76)*H$7+Players!H76*TK_NonNV_Hold_Trn*TK_CapexIT_VR200</f>
        <v>28.0138705421991</v>
      </c>
      <c r="I55" s="29" t="n">
        <f aca="false">(1-Players!I76)*I$7+Players!I76*TK_NonNV_Hold_Trn*TK_CapexIT_VR200</f>
        <v>29.0013069560425</v>
      </c>
      <c r="J55" s="29" t="n">
        <f aca="false">(1-Players!J76)*J$7+Players!J76*TK_NonNV_Hold_Trn*TK_CapexIT_VR200</f>
        <v>29.0013069560425</v>
      </c>
      <c r="K55" s="29" t="n">
        <f aca="false">(1-Players!K76)*K$7+Players!K76*TK_NonNV_Hold_Trn*TK_CapexIT_VR200</f>
        <v>29.0013069560425</v>
      </c>
      <c r="L55" s="29" t="n">
        <f aca="false">(1-Players!L76)*L$7+Players!L76*TK_NonNV_Hold_Trn*TK_CapexIT_VR200</f>
        <v>29.0013069560425</v>
      </c>
      <c r="M55" s="29" t="n">
        <f aca="false">(1-Players!M76)*M$7+Players!M76*TK_NonNV_Hold_Trn*TK_CapexIT_VR200</f>
        <v>29.0013069560425</v>
      </c>
    </row>
    <row r="56" customFormat="false" ht="17.15" hidden="false" customHeight="false" outlineLevel="0" collapsed="false">
      <c r="A56" s="5" t="s">
        <v>1409</v>
      </c>
      <c r="B56" s="0" t="s">
        <v>1451</v>
      </c>
      <c r="C56" s="0" t="s">
        <v>390</v>
      </c>
      <c r="D56" s="29" t="n">
        <f aca="false">(1-Players!D76)*D$8+Players!D76*TK_NonNV_Hold_Trn*TK_CapexFacility_VR200</f>
        <v>9.359329</v>
      </c>
      <c r="E56" s="29" t="n">
        <f aca="false">(1-Players!E76)*E$8+Players!E76*TK_NonNV_Hold_Trn*TK_CapexFacility_VR200</f>
        <v>9.359329</v>
      </c>
      <c r="F56" s="29" t="n">
        <f aca="false">(1-Players!F76)*F$8+Players!F76*TK_NonNV_Hold_Trn*TK_CapexFacility_VR200</f>
        <v>9.359329</v>
      </c>
      <c r="G56" s="29" t="n">
        <f aca="false">(1-Players!G76)*G$8+Players!G76*TK_NonNV_Hold_Trn*TK_CapexFacility_VR200</f>
        <v>9.359329</v>
      </c>
      <c r="H56" s="29" t="n">
        <f aca="false">(1-Players!H76)*H$8+Players!H76*TK_NonNV_Hold_Trn*TK_CapexFacility_VR200</f>
        <v>9.359329</v>
      </c>
      <c r="I56" s="29" t="n">
        <f aca="false">(1-Players!I76)*I$8+Players!I76*TK_NonNV_Hold_Trn*TK_CapexFacility_VR200</f>
        <v>9.359329</v>
      </c>
      <c r="J56" s="29" t="n">
        <f aca="false">(1-Players!J76)*J$8+Players!J76*TK_NonNV_Hold_Trn*TK_CapexFacility_VR200</f>
        <v>9.359329</v>
      </c>
      <c r="K56" s="29" t="n">
        <f aca="false">(1-Players!K76)*K$8+Players!K76*TK_NonNV_Hold_Trn*TK_CapexFacility_VR200</f>
        <v>9.359329</v>
      </c>
      <c r="L56" s="29" t="n">
        <f aca="false">(1-Players!L76)*L$8+Players!L76*TK_NonNV_Hold_Trn*TK_CapexFacility_VR200</f>
        <v>9.359329</v>
      </c>
      <c r="M56" s="29" t="n">
        <f aca="false">(1-Players!M76)*M$8+Players!M76*TK_NonNV_Hold_Trn*TK_CapexFacility_VR200</f>
        <v>9.359329</v>
      </c>
    </row>
    <row r="57" customFormat="false" ht="17.15" hidden="false" customHeight="false" outlineLevel="0" collapsed="false">
      <c r="A57" s="5" t="s">
        <v>1411</v>
      </c>
      <c r="B57" s="0" t="s">
        <v>1452</v>
      </c>
      <c r="C57" s="0" t="s">
        <v>390</v>
      </c>
      <c r="D57" s="32" t="str">
        <f aca="false">IF(OR(D54="",D54="",D54=""),"",D55/(D55+D56)*D54+D56/(D55+D56)*(CapexGW!$D$4*D54+CapexGW!$E$4*D54+CapexGW!$F$4*D54))</f>
        <v/>
      </c>
      <c r="E57" s="32" t="str">
        <f aca="false">IF(OR(E54="",D54="",E54=""),"",E55/(E55+E56)*E54+E56/(E55+E56)*(CapexGW!$D$4*E54+CapexGW!$E$4*D54+CapexGW!$F$4*E54))</f>
        <v/>
      </c>
      <c r="F57" s="32" t="str">
        <f aca="false">IF(OR(F54="",E54="",D54=""),"",F55/(F55+F56)*F54+F56/(F55+F56)*(CapexGW!$D$4*F54+CapexGW!$E$4*E54+CapexGW!$F$4*D54))</f>
        <v/>
      </c>
      <c r="G57" s="32" t="str">
        <f aca="false">IF(OR(G54="",F54="",E54=""),"",G55/(G55+G56)*G54+G56/(G55+G56)*(CapexGW!$D$4*G54+CapexGW!$E$4*F54+CapexGW!$F$4*E54))</f>
        <v/>
      </c>
      <c r="H57" s="32" t="n">
        <f aca="false">IF(OR(H54="",G54="",F54=""),"",H55/(H55+H56)*H54+H56/(H55+H56)*(CapexGW!$D$4*H54+CapexGW!$E$4*G54+CapexGW!$F$4*F54))</f>
        <v>169.859901898753</v>
      </c>
      <c r="I57" s="32" t="n">
        <f aca="false">IF(OR(I54="",H54="",G54=""),"",I55/(I55+I56)*I54+I56/(I55+I56)*(CapexGW!$D$4*I54+CapexGW!$E$4*H54+CapexGW!$F$4*G54))</f>
        <v>191.658874712</v>
      </c>
      <c r="J57" s="32" t="n">
        <f aca="false">IF(OR(J54="",I54="",H54=""),"",J55/(J55+J56)*J54+J56/(J55+J56)*(CapexGW!$D$4*J54+CapexGW!$E$4*I54+CapexGW!$F$4*H54))</f>
        <v>212.767605168569</v>
      </c>
      <c r="K57" s="32" t="n">
        <f aca="false">IF(OR(K54="",J54="",I54=""),"",K55/(K55+K56)*K54+K56/(K55+K56)*(CapexGW!$D$4*K54+CapexGW!$E$4*J54+CapexGW!$F$4*I54))</f>
        <v>233.244497410019</v>
      </c>
      <c r="L57" s="32" t="n">
        <f aca="false">IF(OR(L54="",K54="",J54=""),"",L55/(L55+L56)*L54+L56/(L55+L56)*(CapexGW!$D$4*L54+CapexGW!$E$4*K54+CapexGW!$F$4*J54))</f>
        <v>256.568947151021</v>
      </c>
      <c r="M57" s="32" t="n">
        <f aca="false">IF(OR(M54="",L54="",K54=""),"",M55/(M55+M56)*M54+M56/(M55+M56)*(CapexGW!$D$4*M54+CapexGW!$E$4*L54+CapexGW!$F$4*K54))</f>
        <v>282.225841866123</v>
      </c>
    </row>
    <row r="58" customFormat="false" ht="17.15" hidden="false" customHeight="false" outlineLevel="0" collapsed="false">
      <c r="A58" s="5" t="s">
        <v>1413</v>
      </c>
      <c r="B58" s="0" t="s">
        <v>1453</v>
      </c>
      <c r="C58" s="0" t="s">
        <v>77</v>
      </c>
      <c r="D58" s="25" t="str">
        <f aca="false">IF(D57="","",D57/(D55+D56))</f>
        <v/>
      </c>
      <c r="E58" s="25" t="str">
        <f aca="false">IF(E57="","",E57/(E55+E56))</f>
        <v/>
      </c>
      <c r="F58" s="25" t="str">
        <f aca="false">IF(F57="","",F57/(F55+F56))</f>
        <v/>
      </c>
      <c r="G58" s="25" t="str">
        <f aca="false">IF(G57="","",G57/(G55+G56))</f>
        <v/>
      </c>
      <c r="H58" s="25" t="n">
        <f aca="false">IF(H57="","",H57/(H55+H56))</f>
        <v>4.54496548273742</v>
      </c>
      <c r="I58" s="25" t="n">
        <f aca="false">IF(I57="","",I57/(I55+I56))</f>
        <v>4.99623819927339</v>
      </c>
      <c r="J58" s="25" t="n">
        <f aca="false">IF(J57="","",J57/(J55+J56))</f>
        <v>5.54650880690247</v>
      </c>
      <c r="K58" s="25" t="n">
        <f aca="false">IF(K57="","",K57/(K55+K56))</f>
        <v>6.08030840983174</v>
      </c>
      <c r="L58" s="25" t="n">
        <f aca="false">IF(L57="","",L57/(L55+L56))</f>
        <v>6.68833925081491</v>
      </c>
      <c r="M58" s="25" t="n">
        <f aca="false">IF(M57="","",M57/(M55+M56))</f>
        <v>7.35717317589641</v>
      </c>
    </row>
    <row r="59" customFormat="false" ht="17.15" hidden="false" customHeight="false" outlineLevel="0" collapsed="false">
      <c r="A59" s="5" t="s">
        <v>1415</v>
      </c>
      <c r="B59" s="0" t="s">
        <v>1454</v>
      </c>
      <c r="C59" s="0" t="s">
        <v>77</v>
      </c>
      <c r="D59" s="19" t="n">
        <f aca="false">Players!D74</f>
        <v>0</v>
      </c>
      <c r="E59" s="27" t="n">
        <f aca="false">Players!E74</f>
        <v>0</v>
      </c>
      <c r="F59" s="27" t="n">
        <f aca="false">Players!F74</f>
        <v>1.38971599402093</v>
      </c>
      <c r="G59" s="27" t="n">
        <f aca="false">Players!G74</f>
        <v>0.527</v>
      </c>
      <c r="H59" s="27" t="n">
        <f aca="false">Players!H74</f>
        <v>0.0409999999999999</v>
      </c>
      <c r="I59" s="27" t="n">
        <f aca="false">Players!I74</f>
        <v>1.444</v>
      </c>
      <c r="J59" s="27" t="n">
        <f aca="false">Players!J74</f>
        <v>0.0620000000000003</v>
      </c>
      <c r="K59" s="27" t="n">
        <f aca="false">Players!K74</f>
        <v>0</v>
      </c>
      <c r="L59" s="27" t="n">
        <f aca="false">Players!L74</f>
        <v>0</v>
      </c>
      <c r="M59" s="27" t="n">
        <f aca="false">Players!M74</f>
        <v>0</v>
      </c>
    </row>
    <row r="60" customFormat="false" ht="17.15" hidden="false" customHeight="false" outlineLevel="0" collapsed="false">
      <c r="A60" s="5" t="s">
        <v>1417</v>
      </c>
      <c r="B60" s="0" t="s">
        <v>1455</v>
      </c>
      <c r="C60" s="0" t="s">
        <v>77</v>
      </c>
      <c r="D60" s="24" t="n">
        <f aca="false">IF(AND(2023&gt;=2027,D58&lt;&gt;""),D58,D59)</f>
        <v>0</v>
      </c>
      <c r="E60" s="24" t="n">
        <f aca="false">IF(AND(2024&gt;=2027,E58&lt;&gt;""),E58,E59)</f>
        <v>0</v>
      </c>
      <c r="F60" s="24" t="n">
        <f aca="false">IF(AND(2025&gt;=2027,F58&lt;&gt;""),F58,F59)</f>
        <v>1.38971599402093</v>
      </c>
      <c r="G60" s="24" t="n">
        <f aca="false">IF(AND(2026&gt;=2027,G58&lt;&gt;""),G58,G59)</f>
        <v>0.527</v>
      </c>
      <c r="H60" s="24" t="n">
        <f aca="false">IF(AND(2027&gt;=2027,H58&lt;&gt;""),H58,H59)</f>
        <v>4.54496548273742</v>
      </c>
      <c r="I60" s="24" t="n">
        <f aca="false">IF(AND(2028&gt;=2027,I58&lt;&gt;""),I58,I59)</f>
        <v>4.99623819927339</v>
      </c>
      <c r="J60" s="24" t="n">
        <f aca="false">IF(AND(2029&gt;=2027,J58&lt;&gt;""),J58,J59)</f>
        <v>5.54650880690247</v>
      </c>
      <c r="K60" s="24" t="n">
        <f aca="false">IF(AND(2030&gt;=2027,K58&lt;&gt;""),K58,K59)</f>
        <v>6.08030840983174</v>
      </c>
      <c r="L60" s="24" t="n">
        <f aca="false">IF(AND(2031&gt;=2027,L58&lt;&gt;""),L58,L59)</f>
        <v>6.68833925081491</v>
      </c>
      <c r="M60" s="24" t="n">
        <f aca="false">IF(AND(2032&gt;=2027,M58&lt;&gt;""),M58,M59)</f>
        <v>7.35717317589641</v>
      </c>
    </row>
    <row r="61" customFormat="false" ht="17.15" hidden="false" customHeight="false" outlineLevel="0" collapsed="false">
      <c r="A61" s="5" t="s">
        <v>1419</v>
      </c>
      <c r="B61" s="0" t="s">
        <v>1456</v>
      </c>
      <c r="C61" s="0" t="s">
        <v>77</v>
      </c>
      <c r="D61" s="24" t="n">
        <f aca="false">N(Players!D68)</f>
        <v>0</v>
      </c>
      <c r="E61" s="24" t="n">
        <f aca="false">IF(2024&gt;=2027,D61+E60,N(Players!E68))</f>
        <v>0.810284005979073</v>
      </c>
      <c r="F61" s="24" t="n">
        <f aca="false">IF(2025&gt;=2027,E61+F60,N(Players!F68))</f>
        <v>2.2</v>
      </c>
      <c r="G61" s="24" t="n">
        <f aca="false">IF(2026&gt;=2027,F61+G60,N(Players!G68))</f>
        <v>2.727</v>
      </c>
      <c r="H61" s="24" t="n">
        <f aca="false">IF(2027&gt;=2027,G61+H60,N(Players!H68))</f>
        <v>7.27196548273742</v>
      </c>
      <c r="I61" s="24" t="n">
        <f aca="false">IF(2028&gt;=2027,H61+I60,N(Players!I68))</f>
        <v>12.2682036820108</v>
      </c>
      <c r="J61" s="24" t="n">
        <f aca="false">IF(2029&gt;=2027,I61+J60,N(Players!J68))</f>
        <v>17.8147124889133</v>
      </c>
      <c r="K61" s="24" t="n">
        <f aca="false">IF(2030&gt;=2027,J61+K60,N(Players!K68))</f>
        <v>23.895020898745</v>
      </c>
      <c r="L61" s="24" t="n">
        <f aca="false">IF(2031&gt;=2027,K61+L60,N(Players!L68))</f>
        <v>30.5833601495599</v>
      </c>
      <c r="M61" s="24" t="n">
        <f aca="false">IF(2032&gt;=2027,L61+M60,N(Players!M68))</f>
        <v>37.9405333254563</v>
      </c>
    </row>
    <row r="62" customFormat="false" ht="17.15" hidden="false" customHeight="false" outlineLevel="0" collapsed="false">
      <c r="A62" s="5" t="s">
        <v>1421</v>
      </c>
      <c r="B62" s="0" t="s">
        <v>1457</v>
      </c>
      <c r="C62" s="0" t="s">
        <v>77</v>
      </c>
      <c r="D62" s="24" t="str">
        <f aca="false">IF(D58="","",D58*ai_amzn_lo/ai_amzn)</f>
        <v/>
      </c>
      <c r="E62" s="24" t="str">
        <f aca="false">IF(E58="","",E58*ai_amzn_lo/ai_amzn)</f>
        <v/>
      </c>
      <c r="F62" s="24" t="str">
        <f aca="false">IF(F58="","",F58*ai_amzn_lo/ai_amzn)</f>
        <v/>
      </c>
      <c r="G62" s="24" t="str">
        <f aca="false">IF(G58="","",G58*ai_amzn_lo/ai_amzn)</f>
        <v/>
      </c>
      <c r="H62" s="24" t="n">
        <f aca="false">IF(H58="","",H58*ai_amzn_lo/ai_amzn)</f>
        <v>4.0102636612389</v>
      </c>
      <c r="I62" s="24" t="n">
        <f aca="false">IF(I58="","",I58*ai_amzn_lo/ai_amzn)</f>
        <v>4.40844546994711</v>
      </c>
      <c r="J62" s="24" t="n">
        <f aca="false">IF(J58="","",J58*ai_amzn_lo/ai_amzn)</f>
        <v>4.89397835903159</v>
      </c>
      <c r="K62" s="24" t="n">
        <f aca="false">IF(K58="","",K58*ai_amzn_lo/ai_amzn)</f>
        <v>5.36497800867506</v>
      </c>
      <c r="L62" s="24" t="n">
        <f aca="false">IF(L58="","",L58*ai_amzn_lo/ai_amzn)</f>
        <v>5.90147580954257</v>
      </c>
      <c r="M62" s="24" t="n">
        <f aca="false">IF(M58="","",M58*ai_amzn_lo/ai_amzn)</f>
        <v>6.49162339049683</v>
      </c>
    </row>
    <row r="63" customFormat="false" ht="17.15" hidden="false" customHeight="false" outlineLevel="0" collapsed="false">
      <c r="A63" s="5" t="s">
        <v>1423</v>
      </c>
      <c r="B63" s="0" t="s">
        <v>1458</v>
      </c>
      <c r="C63" s="0" t="s">
        <v>77</v>
      </c>
      <c r="D63" s="24" t="str">
        <f aca="false">IF(D58="","",D58*ai_amzn_hi/ai_amzn)</f>
        <v/>
      </c>
      <c r="E63" s="24" t="str">
        <f aca="false">IF(E58="","",E58*ai_amzn_hi/ai_amzn)</f>
        <v/>
      </c>
      <c r="F63" s="24" t="str">
        <f aca="false">IF(F58="","",F58*ai_amzn_hi/ai_amzn)</f>
        <v/>
      </c>
      <c r="G63" s="24" t="str">
        <f aca="false">IF(G58="","",G58*ai_amzn_hi/ai_amzn)</f>
        <v/>
      </c>
      <c r="H63" s="24" t="n">
        <f aca="false">IF(H58="","",H58*ai_amzn_hi/ai_amzn)</f>
        <v>5.01282957654863</v>
      </c>
      <c r="I63" s="24" t="n">
        <f aca="false">IF(I58="","",I58*ai_amzn_hi/ai_amzn)</f>
        <v>5.51055683743389</v>
      </c>
      <c r="J63" s="24" t="n">
        <f aca="false">IF(J58="","",J58*ai_amzn_hi/ai_amzn)</f>
        <v>6.11747294878949</v>
      </c>
      <c r="K63" s="24" t="n">
        <f aca="false">IF(K58="","",K58*ai_amzn_hi/ai_amzn)</f>
        <v>6.70622251084383</v>
      </c>
      <c r="L63" s="24" t="n">
        <f aca="false">IF(L58="","",L58*ai_amzn_hi/ai_amzn)</f>
        <v>7.37684476192821</v>
      </c>
      <c r="M63" s="24" t="n">
        <f aca="false">IF(M58="","",M58*ai_amzn_hi/ai_amzn)</f>
        <v>8.11452923812104</v>
      </c>
    </row>
    <row r="64" customFormat="false" ht="17.15" hidden="false" customHeight="false" outlineLevel="0" collapsed="false">
      <c r="A64" s="5" t="s">
        <v>1425</v>
      </c>
      <c r="B64" s="0" t="s">
        <v>1459</v>
      </c>
      <c r="C64" s="0" t="s">
        <v>77</v>
      </c>
      <c r="D64" s="24" t="str">
        <f aca="false">IF(OR(D54="",D54="",D54=""),"",(D55/(D55+D56)*D54+D56/(D55+D56)*(CapexGW!$D$5*D54+CapexGW!$E$5*D54+CapexGW!$F$5*D54))/(D55+D56))</f>
        <v/>
      </c>
      <c r="E64" s="24" t="str">
        <f aca="false">IF(OR(E54="",D54="",E54=""),"",(E55/(E55+E56)*E54+E56/(E55+E56)*(CapexGW!$D$5*E54+CapexGW!$E$5*D54+CapexGW!$F$5*E54))/(E55+E56))</f>
        <v/>
      </c>
      <c r="F64" s="24" t="str">
        <f aca="false">IF(OR(F54="",E54="",D54=""),"",(F55/(F55+F56)*F54+F56/(F55+F56)*(CapexGW!$D$5*F54+CapexGW!$E$5*E54+CapexGW!$F$5*D54))/(F55+F56))</f>
        <v/>
      </c>
      <c r="G64" s="24" t="str">
        <f aca="false">IF(OR(G54="",F54="",E54=""),"",(G55/(G55+G56)*G54+G56/(G55+G56)*(CapexGW!$D$5*G54+CapexGW!$E$5*F54+CapexGW!$F$5*E54))/(G55+G56))</f>
        <v/>
      </c>
      <c r="H64" s="24" t="n">
        <f aca="false">IF(OR(H54="",G54="",F54=""),"",(H55/(H55+H56)*H54+H56/(H55+H56)*(CapexGW!$D$5*H54+CapexGW!$E$5*G54+CapexGW!$F$5*F54))/(H55+H56))</f>
        <v>4.75383625682402</v>
      </c>
      <c r="I64" s="24" t="n">
        <f aca="false">IF(OR(I54="",H54="",G54=""),"",(I55/(I55+I56)*I54+I56/(I55+I56)*(CapexGW!$D$5*I54+CapexGW!$E$5*H54+CapexGW!$F$5*G54))/(I55+I56))</f>
        <v>5.11531081756493</v>
      </c>
      <c r="J64" s="24" t="n">
        <f aca="false">IF(OR(J54="",I54="",H54=""),"",(J55/(J55+J56)*J54+J56/(J55+J56)*(CapexGW!$D$5*J54+CapexGW!$E$5*I54+CapexGW!$F$5*H54))/(J55+J56))</f>
        <v>5.58513934379948</v>
      </c>
      <c r="K64" s="24" t="n">
        <f aca="false">IF(OR(K54="",J54="",I54=""),"",(K55/(K55+K56)*K54+K56/(K55+K56)*(CapexGW!$D$5*K54+CapexGW!$E$5*J54+CapexGW!$F$5*I54))/(K55+K56))</f>
        <v>6.14365327817943</v>
      </c>
      <c r="L64" s="24" t="n">
        <f aca="false">IF(OR(L54="",K54="",J54=""),"",(L55/(L55+L56)*L54+L56/(L55+L56)*(CapexGW!$D$5*L54+CapexGW!$E$5*K54+CapexGW!$F$5*J54))/(L55+L56))</f>
        <v>6.75801860599737</v>
      </c>
      <c r="M64" s="24" t="n">
        <f aca="false">IF(OR(M54="",L54="",K54=""),"",(M55/(M55+M56)*M54+M56/(M55+M56)*(CapexGW!$D$5*M54+CapexGW!$E$5*L54+CapexGW!$F$5*K54))/(M55+M56))</f>
        <v>7.43382046659711</v>
      </c>
    </row>
    <row r="65" customFormat="false" ht="17.15" hidden="false" customHeight="false" outlineLevel="0" collapsed="false">
      <c r="A65" s="5" t="s">
        <v>1427</v>
      </c>
      <c r="B65" s="0" t="s">
        <v>1460</v>
      </c>
      <c r="C65" s="0" t="s">
        <v>77</v>
      </c>
      <c r="D65" s="24" t="str">
        <f aca="false">IF(OR(D54="",D54="",D54=""),"",(D55/(D55+D56)*D54+D56/(D55+D56)*(CapexGW!$D$6*D54+CapexGW!$E$6*D54+CapexGW!$F$6*D54))/(D55+D56))</f>
        <v/>
      </c>
      <c r="E65" s="24" t="str">
        <f aca="false">IF(OR(E54="",D54="",E54=""),"",(E55/(E55+E56)*E54+E56/(E55+E56)*(CapexGW!$D$6*E54+CapexGW!$E$6*D54+CapexGW!$F$6*E54))/(E55+E56))</f>
        <v/>
      </c>
      <c r="F65" s="24" t="str">
        <f aca="false">IF(OR(F54="",E54="",D54=""),"",(F55/(F55+F56)*F54+F56/(F55+F56)*(CapexGW!$D$6*F54+CapexGW!$E$6*E54+CapexGW!$F$6*D54))/(F55+F56))</f>
        <v/>
      </c>
      <c r="G65" s="24" t="str">
        <f aca="false">IF(OR(G54="",F54="",E54=""),"",(G55/(G55+G56)*G54+G56/(G55+G56)*(CapexGW!$D$6*G54+CapexGW!$E$6*F54+CapexGW!$F$6*E54))/(G55+G56))</f>
        <v/>
      </c>
      <c r="H65" s="24" t="n">
        <f aca="false">IF(OR(H54="",G54="",F54=""),"",(H55/(H55+H56)*H54+H56/(H55+H56)*(CapexGW!$D$6*H54+CapexGW!$E$6*G54+CapexGW!$F$6*F54))/(H55+H56))</f>
        <v>4.33609470865083</v>
      </c>
      <c r="I65" s="24" t="n">
        <f aca="false">IF(OR(I54="",H54="",G54=""),"",(I55/(I55+I56)*I54+I56/(I55+I56)*(CapexGW!$D$6*I54+CapexGW!$E$6*H54+CapexGW!$F$6*G54))/(I55+I56))</f>
        <v>4.87716558098185</v>
      </c>
      <c r="J65" s="24" t="n">
        <f aca="false">IF(OR(J54="",I54="",H54=""),"",(J55/(J55+J56)*J54+J56/(J55+J56)*(CapexGW!$D$6*J54+CapexGW!$E$6*I54+CapexGW!$F$6*H54))/(J55+J56))</f>
        <v>5.50787827000546</v>
      </c>
      <c r="K65" s="24" t="n">
        <f aca="false">IF(OR(K54="",J54="",I54=""),"",(K55/(K55+K56)*K54+K56/(K55+K56)*(CapexGW!$D$6*K54+CapexGW!$E$6*J54+CapexGW!$F$6*I54))/(K55+K56))</f>
        <v>6.01696354148405</v>
      </c>
      <c r="L65" s="24" t="n">
        <f aca="false">IF(OR(L54="",K54="",J54=""),"",(L55/(L55+L56)*L54+L56/(L55+L56)*(CapexGW!$D$6*L54+CapexGW!$E$6*K54+CapexGW!$F$6*J54))/(L55+L56))</f>
        <v>6.61865989563246</v>
      </c>
      <c r="M65" s="24" t="n">
        <f aca="false">IF(OR(M54="",L54="",K54=""),"",(M55/(M55+M56)*M54+M56/(M55+M56)*(CapexGW!$D$6*M54+CapexGW!$E$6*L54+CapexGW!$F$6*K54))/(M55+M56))</f>
        <v>7.28052588519571</v>
      </c>
    </row>
    <row r="67" customFormat="false" ht="17.15" hidden="false" customHeight="false" outlineLevel="0" collapsed="false">
      <c r="A67" s="8" t="s">
        <v>1038</v>
      </c>
      <c r="B67" s="20" t="s">
        <v>526</v>
      </c>
      <c r="N67" s="20" t="s">
        <v>1461</v>
      </c>
    </row>
    <row r="68" customFormat="false" ht="17.15" hidden="false" customHeight="false" outlineLevel="0" collapsed="false">
      <c r="A68" s="5" t="s">
        <v>1397</v>
      </c>
      <c r="B68" s="0" t="s">
        <v>1040</v>
      </c>
      <c r="C68" s="0" t="s">
        <v>390</v>
      </c>
      <c r="D68" s="19" t="str">
        <f aca="false">IF(In!H127="","",In!H127)</f>
        <v/>
      </c>
      <c r="E68" s="19" t="str">
        <f aca="false">IF(In!I127="","",In!I127)</f>
        <v/>
      </c>
      <c r="F68" s="19" t="str">
        <f aca="false">IF(In!J127="","",In!J127)</f>
        <v/>
      </c>
      <c r="G68" s="30" t="n">
        <f aca="false">IF(In!K127="","",In!K127)</f>
        <v>140</v>
      </c>
      <c r="H68" s="19" t="str">
        <f aca="false">IF(In!L127="","",In!L127)</f>
        <v/>
      </c>
      <c r="I68" s="19" t="str">
        <f aca="false">IF(In!M127="","",In!M127)</f>
        <v/>
      </c>
      <c r="J68" s="19" t="str">
        <f aca="false">IF(In!N127="","",In!N127)</f>
        <v/>
      </c>
      <c r="K68" s="19" t="str">
        <f aca="false">IF(In!O127="","",In!O127)</f>
        <v/>
      </c>
      <c r="L68" s="19" t="str">
        <f aca="false">IF(In!P127="","",In!P127)</f>
        <v/>
      </c>
      <c r="M68" s="19" t="str">
        <f aca="false">IF(In!Q127="","",In!Q127)</f>
        <v/>
      </c>
    </row>
    <row r="69" customFormat="false" ht="15" hidden="false" customHeight="false" outlineLevel="0" collapsed="false">
      <c r="A69" s="5" t="s">
        <v>1398</v>
      </c>
      <c r="B69" s="0" t="s">
        <v>1462</v>
      </c>
      <c r="C69" s="0" t="s">
        <v>35</v>
      </c>
      <c r="D69" s="26" t="n">
        <f aca="false">(D68&lt;&gt;"")</f>
        <v>0</v>
      </c>
      <c r="E69" s="26" t="n">
        <f aca="false">(E68&lt;&gt;"")+D69</f>
        <v>0</v>
      </c>
      <c r="F69" s="26" t="n">
        <f aca="false">(F68&lt;&gt;"")+E69</f>
        <v>0</v>
      </c>
      <c r="G69" s="26" t="n">
        <f aca="false">(G68&lt;&gt;"")+F69</f>
        <v>1</v>
      </c>
      <c r="H69" s="26" t="n">
        <f aca="false">(H68&lt;&gt;"")+G69</f>
        <v>1</v>
      </c>
      <c r="I69" s="26" t="n">
        <f aca="false">(I68&lt;&gt;"")+H69</f>
        <v>1</v>
      </c>
      <c r="J69" s="26" t="n">
        <f aca="false">(J68&lt;&gt;"")+I69</f>
        <v>1</v>
      </c>
      <c r="K69" s="26" t="n">
        <f aca="false">(K68&lt;&gt;"")+J69</f>
        <v>1</v>
      </c>
      <c r="L69" s="26" t="n">
        <f aca="false">(L68&lt;&gt;"")+K69</f>
        <v>1</v>
      </c>
      <c r="M69" s="26" t="n">
        <f aca="false">(M68&lt;&gt;"")+L69</f>
        <v>1</v>
      </c>
    </row>
    <row r="70" customFormat="false" ht="15" hidden="false" customHeight="false" outlineLevel="0" collapsed="false">
      <c r="A70" s="5" t="s">
        <v>1400</v>
      </c>
      <c r="B70" s="0" t="s">
        <v>1045</v>
      </c>
      <c r="C70" s="0" t="s">
        <v>390</v>
      </c>
      <c r="D70" s="31" t="n">
        <f aca="false">IF(D68&lt;&gt;"",D68,E70)</f>
        <v>140</v>
      </c>
      <c r="E70" s="31" t="n">
        <f aca="false">IF(E68&lt;&gt;"",E68,F70)</f>
        <v>140</v>
      </c>
      <c r="F70" s="31" t="n">
        <f aca="false">IF(F68&lt;&gt;"",F68,G70)</f>
        <v>140</v>
      </c>
      <c r="G70" s="31" t="n">
        <f aca="false">IF(G68&lt;&gt;"",G68,H70)</f>
        <v>140</v>
      </c>
      <c r="H70" s="0" t="str">
        <f aca="false">IF(H68&lt;&gt;"",H68,I70)</f>
        <v/>
      </c>
      <c r="I70" s="0" t="str">
        <f aca="false">IF(I68&lt;&gt;"",I68,J70)</f>
        <v/>
      </c>
      <c r="J70" s="0" t="str">
        <f aca="false">IF(J68&lt;&gt;"",J68,K70)</f>
        <v/>
      </c>
      <c r="K70" s="0" t="str">
        <f aca="false">IF(K68&lt;&gt;"",K68,L70)</f>
        <v/>
      </c>
      <c r="L70" s="0" t="str">
        <f aca="false">IF(L68&lt;&gt;"",L68,M70)</f>
        <v/>
      </c>
      <c r="M70" s="0" t="str">
        <f aca="false">IF(M68&lt;&gt;"",M68,"")</f>
        <v/>
      </c>
    </row>
    <row r="71" customFormat="false" ht="15" hidden="false" customHeight="false" outlineLevel="0" collapsed="false">
      <c r="A71" s="5" t="s">
        <v>1401</v>
      </c>
      <c r="B71" s="0" t="s">
        <v>1463</v>
      </c>
      <c r="C71" s="0" t="s">
        <v>390</v>
      </c>
      <c r="D71" s="32" t="str">
        <f aca="false">IF(D68&lt;&gt;"",D68,IF(0&gt;0,""*(1+cap_g_ext),""))</f>
        <v/>
      </c>
      <c r="E71" s="32" t="str">
        <f aca="false">IF(E68&lt;&gt;"",E68,IF(D69&gt;0,D71*(1+cap_g_ext),""))</f>
        <v/>
      </c>
      <c r="F71" s="32" t="str">
        <f aca="false">IF(F68&lt;&gt;"",F68,IF(E69&gt;0,E71*(1+cap_g_ext),""))</f>
        <v/>
      </c>
      <c r="G71" s="32" t="n">
        <f aca="false">IF(G68&lt;&gt;"",G68,IF(F69&gt;0,F71*(1+cap_g_ext),""))</f>
        <v>140</v>
      </c>
      <c r="H71" s="32" t="n">
        <f aca="false">IF(H68&lt;&gt;"",H68,IF(G69&gt;0,G71*(1+cap_g_ext),""))</f>
        <v>154</v>
      </c>
      <c r="I71" s="32" t="n">
        <f aca="false">IF(I68&lt;&gt;"",I68,IF(H69&gt;0,H71*(1+cap_g_ext),""))</f>
        <v>169.4</v>
      </c>
      <c r="J71" s="32" t="n">
        <f aca="false">IF(J68&lt;&gt;"",J68,IF(I69&gt;0,I71*(1+cap_g_ext),""))</f>
        <v>186.34</v>
      </c>
      <c r="K71" s="32" t="n">
        <f aca="false">IF(K68&lt;&gt;"",K68,IF(J69&gt;0,J71*(1+cap_g_ext),""))</f>
        <v>204.974</v>
      </c>
      <c r="L71" s="32" t="n">
        <f aca="false">IF(L68&lt;&gt;"",L68,IF(K69&gt;0,K71*(1+cap_g_ext),""))</f>
        <v>225.4714</v>
      </c>
      <c r="M71" s="32" t="n">
        <f aca="false">IF(M68&lt;&gt;"",M68,IF(L69&gt;0,L71*(1+cap_g_ext),""))</f>
        <v>248.01854</v>
      </c>
    </row>
    <row r="72" customFormat="false" ht="15" hidden="false" customHeight="false" outlineLevel="0" collapsed="false">
      <c r="A72" s="5" t="s">
        <v>1403</v>
      </c>
      <c r="B72" s="0" t="s">
        <v>1464</v>
      </c>
      <c r="C72" s="0" t="s">
        <v>390</v>
      </c>
      <c r="D72" s="32" t="str">
        <f aca="false">IF(OR(D71="",AND(fye_meta&lt;12,E71="")),"",D71*fye_meta/12+IF(fye_meta&lt;12,E71,0)*(12-fye_meta)/12)</f>
        <v/>
      </c>
      <c r="E72" s="32" t="str">
        <f aca="false">IF(OR(E71="",AND(fye_meta&lt;12,F71="")),"",E71*fye_meta/12+IF(fye_meta&lt;12,F71,0)*(12-fye_meta)/12)</f>
        <v/>
      </c>
      <c r="F72" s="32" t="str">
        <f aca="false">IF(OR(F71="",AND(fye_meta&lt;12,G71="")),"",F71*fye_meta/12+IF(fye_meta&lt;12,G71,0)*(12-fye_meta)/12)</f>
        <v/>
      </c>
      <c r="G72" s="32" t="n">
        <f aca="false">IF(OR(G71="",AND(fye_meta&lt;12,H71="")),"",G71*fye_meta/12+IF(fye_meta&lt;12,H71,0)*(12-fye_meta)/12)</f>
        <v>140</v>
      </c>
      <c r="H72" s="32" t="n">
        <f aca="false">IF(OR(H71="",AND(fye_meta&lt;12,I71="")),"",H71*fye_meta/12+IF(fye_meta&lt;12,I71,0)*(12-fye_meta)/12)</f>
        <v>154</v>
      </c>
      <c r="I72" s="32" t="n">
        <f aca="false">IF(OR(I71="",AND(fye_meta&lt;12,J71="")),"",I71*fye_meta/12+IF(fye_meta&lt;12,J71,0)*(12-fye_meta)/12)</f>
        <v>169.4</v>
      </c>
      <c r="J72" s="32" t="n">
        <f aca="false">IF(OR(J71="",AND(fye_meta&lt;12,K71="")),"",J71*fye_meta/12+IF(fye_meta&lt;12,K71,0)*(12-fye_meta)/12)</f>
        <v>186.34</v>
      </c>
      <c r="K72" s="32" t="n">
        <f aca="false">IF(OR(K71="",AND(fye_meta&lt;12,L71="")),"",K71*fye_meta/12+IF(fye_meta&lt;12,L71,0)*(12-fye_meta)/12)</f>
        <v>204.974</v>
      </c>
      <c r="L72" s="32" t="n">
        <f aca="false">IF(OR(L71="",AND(fye_meta&lt;12,M71="")),"",L71*fye_meta/12+IF(fye_meta&lt;12,M71,0)*(12-fye_meta)/12)</f>
        <v>225.4714</v>
      </c>
      <c r="M72" s="32" t="n">
        <f aca="false">IF(OR(M71="",AND(fye_meta&lt;12,IF(M71="","",M71*(1+cap_g_ext))="")),"",M71*fye_meta/12+IF(fye_meta&lt;12,IF(M71="","",M71*(1+cap_g_ext)),0)*(12-fye_meta)/12)</f>
        <v>248.01854</v>
      </c>
    </row>
    <row r="73" customFormat="false" ht="17.15" hidden="false" customHeight="false" outlineLevel="0" collapsed="false">
      <c r="A73" s="5" t="s">
        <v>1405</v>
      </c>
      <c r="B73" s="0" t="s">
        <v>1465</v>
      </c>
      <c r="C73" s="0" t="s">
        <v>390</v>
      </c>
      <c r="D73" s="32" t="str">
        <f aca="false">IF(D72="","",D72*ai_sh)</f>
        <v/>
      </c>
      <c r="E73" s="32" t="str">
        <f aca="false">IF(E72="","",E72*ai_sh)</f>
        <v/>
      </c>
      <c r="F73" s="32" t="str">
        <f aca="false">IF(F72="","",F72*ai_sh)</f>
        <v/>
      </c>
      <c r="G73" s="32" t="n">
        <f aca="false">IF(G72="","",G72*ai_sh)</f>
        <v>119</v>
      </c>
      <c r="H73" s="32" t="n">
        <f aca="false">IF(H72="","",H72*ai_sh)</f>
        <v>130.9</v>
      </c>
      <c r="I73" s="32" t="n">
        <f aca="false">IF(I72="","",I72*ai_sh)</f>
        <v>143.99</v>
      </c>
      <c r="J73" s="32" t="n">
        <f aca="false">IF(J72="","",J72*ai_sh)</f>
        <v>158.389</v>
      </c>
      <c r="K73" s="32" t="n">
        <f aca="false">IF(K72="","",K72*ai_sh)</f>
        <v>174.2279</v>
      </c>
      <c r="L73" s="32" t="n">
        <f aca="false">IF(L72="","",L72*ai_sh)</f>
        <v>191.65069</v>
      </c>
      <c r="M73" s="32" t="n">
        <f aca="false">IF(M72="","",M72*ai_sh)</f>
        <v>210.815759</v>
      </c>
    </row>
    <row r="74" customFormat="false" ht="17.15" hidden="false" customHeight="false" outlineLevel="0" collapsed="false">
      <c r="A74" s="5" t="s">
        <v>1407</v>
      </c>
      <c r="B74" s="0" t="s">
        <v>1466</v>
      </c>
      <c r="C74" s="0" t="s">
        <v>390</v>
      </c>
      <c r="D74" s="29" t="n">
        <f aca="false">(1-Players!D95)*D$7+Players!D95*TK_NonNV_Hold_AMD*TK_CapexIT_VR200</f>
        <v>28.5674343946187</v>
      </c>
      <c r="E74" s="29" t="n">
        <f aca="false">(1-Players!E95)*E$7+Players!E95*TK_NonNV_Hold_AMD*TK_CapexIT_VR200</f>
        <v>28.5674343946187</v>
      </c>
      <c r="F74" s="29" t="n">
        <f aca="false">(1-Players!F95)*F$7+Players!F95*TK_NonNV_Hold_AMD*TK_CapexIT_VR200</f>
        <v>27.423891719914</v>
      </c>
      <c r="G74" s="29" t="n">
        <f aca="false">(1-Players!G95)*G$7+Players!G95*TK_NonNV_Hold_AMD*TK_CapexIT_VR200</f>
        <v>33.0649036341473</v>
      </c>
      <c r="H74" s="29" t="n">
        <f aca="false">(1-Players!H95)*H$7+Players!H95*TK_NonNV_Hold_AMD*TK_CapexIT_VR200</f>
        <v>36.5947249242921</v>
      </c>
      <c r="I74" s="29" t="n">
        <f aca="false">(1-Players!I95)*I$7+Players!I95*TK_NonNV_Hold_AMD*TK_CapexIT_VR200</f>
        <v>38.802433936281</v>
      </c>
      <c r="J74" s="29" t="n">
        <f aca="false">(1-Players!J95)*J$7+Players!J95*TK_NonNV_Hold_AMD*TK_CapexIT_VR200</f>
        <v>38.7783529603329</v>
      </c>
      <c r="K74" s="29" t="n">
        <f aca="false">(1-Players!K95)*K$7+Players!K95*TK_NonNV_Hold_AMD*TK_CapexIT_VR200</f>
        <v>38.7783529603329</v>
      </c>
      <c r="L74" s="29" t="n">
        <f aca="false">(1-Players!L95)*L$7+Players!L95*TK_NonNV_Hold_AMD*TK_CapexIT_VR200</f>
        <v>38.7783529603329</v>
      </c>
      <c r="M74" s="29" t="n">
        <f aca="false">(1-Players!M95)*M$7+Players!M95*TK_NonNV_Hold_AMD*TK_CapexIT_VR200</f>
        <v>38.7783529603329</v>
      </c>
    </row>
    <row r="75" customFormat="false" ht="17.15" hidden="false" customHeight="false" outlineLevel="0" collapsed="false">
      <c r="A75" s="5" t="s">
        <v>1409</v>
      </c>
      <c r="B75" s="0" t="s">
        <v>1467</v>
      </c>
      <c r="C75" s="0" t="s">
        <v>390</v>
      </c>
      <c r="D75" s="29" t="n">
        <f aca="false">(1-Players!D95)*D$8+Players!D95*TK_NonNV_Hold_AMD*TK_CapexFacility_VR200</f>
        <v>12.2172817673375</v>
      </c>
      <c r="E75" s="29" t="n">
        <f aca="false">(1-Players!E95)*E$8+Players!E95*TK_NonNV_Hold_AMD*TK_CapexFacility_VR200</f>
        <v>12.2172817673375</v>
      </c>
      <c r="F75" s="29" t="n">
        <f aca="false">(1-Players!F95)*F$8+Players!F95*TK_NonNV_Hold_AMD*TK_CapexFacility_VR200</f>
        <v>12.2172817673375</v>
      </c>
      <c r="G75" s="29" t="n">
        <f aca="false">(1-Players!G95)*G$8+Players!G95*TK_NonNV_Hold_AMD*TK_CapexFacility_VR200</f>
        <v>12.2172817673375</v>
      </c>
      <c r="H75" s="29" t="n">
        <f aca="false">(1-Players!H95)*H$8+Players!H95*TK_NonNV_Hold_AMD*TK_CapexFacility_VR200</f>
        <v>12.1509699108826</v>
      </c>
      <c r="I75" s="29" t="n">
        <f aca="false">(1-Players!I95)*I$8+Players!I95*TK_NonNV_Hold_AMD*TK_CapexFacility_VR200</f>
        <v>12.157584536667</v>
      </c>
      <c r="J75" s="29" t="n">
        <f aca="false">(1-Players!J95)*J$8+Players!J95*TK_NonNV_Hold_AMD*TK_CapexFacility_VR200</f>
        <v>12.1527076383687</v>
      </c>
      <c r="K75" s="29" t="n">
        <f aca="false">(1-Players!K95)*K$8+Players!K95*TK_NonNV_Hold_AMD*TK_CapexFacility_VR200</f>
        <v>12.1527076383687</v>
      </c>
      <c r="L75" s="29" t="n">
        <f aca="false">(1-Players!L95)*L$8+Players!L95*TK_NonNV_Hold_AMD*TK_CapexFacility_VR200</f>
        <v>12.1527076383687</v>
      </c>
      <c r="M75" s="29" t="n">
        <f aca="false">(1-Players!M95)*M$8+Players!M95*TK_NonNV_Hold_AMD*TK_CapexFacility_VR200</f>
        <v>12.1527076383687</v>
      </c>
    </row>
    <row r="76" customFormat="false" ht="17.15" hidden="false" customHeight="false" outlineLevel="0" collapsed="false">
      <c r="A76" s="5" t="s">
        <v>1411</v>
      </c>
      <c r="B76" s="0" t="s">
        <v>1468</v>
      </c>
      <c r="C76" s="0" t="s">
        <v>390</v>
      </c>
      <c r="D76" s="32" t="str">
        <f aca="false">IF(OR(D73="",D73="",D73=""),"",D74/(D74+D75)*D73+D75/(D74+D75)*(CapexGW!$D$4*D73+CapexGW!$E$4*D73+CapexGW!$F$4*D73))</f>
        <v/>
      </c>
      <c r="E76" s="32" t="str">
        <f aca="false">IF(OR(E73="",D73="",E73=""),"",E74/(E74+E75)*E73+E75/(E74+E75)*(CapexGW!$D$4*E73+CapexGW!$E$4*D73+CapexGW!$F$4*E73))</f>
        <v/>
      </c>
      <c r="F76" s="32" t="str">
        <f aca="false">IF(OR(F73="",E73="",D73=""),"",F74/(F74+F75)*F73+F75/(F74+F75)*(CapexGW!$D$4*F73+CapexGW!$E$4*E73+CapexGW!$F$4*D73))</f>
        <v/>
      </c>
      <c r="G76" s="32" t="str">
        <f aca="false">IF(OR(G73="",F73="",E73=""),"",G74/(G74+G75)*G73+G75/(G74+G75)*(CapexGW!$D$4*G73+CapexGW!$E$4*F73+CapexGW!$F$4*E73))</f>
        <v/>
      </c>
      <c r="H76" s="32" t="str">
        <f aca="false">IF(OR(H73="",G73="",F73=""),"",H74/(H74+H75)*H73+H75/(H74+H75)*(CapexGW!$D$4*H73+CapexGW!$E$4*G73+CapexGW!$F$4*F73))</f>
        <v/>
      </c>
      <c r="I76" s="32" t="n">
        <f aca="false">IF(OR(I73="",H73="",G73=""),"",I74/(I74+I75)*I73+I75/(I74+I75)*(CapexGW!$D$4*I73+CapexGW!$E$4*H73+CapexGW!$F$4*G73))</f>
        <v>139.447607424122</v>
      </c>
      <c r="J76" s="32" t="n">
        <f aca="false">IF(OR(J73="",I73="",H73=""),"",J74/(J74+J75)*J73+J75/(J74+J75)*(CapexGW!$D$4*J73+CapexGW!$E$4*I73+CapexGW!$F$4*H73))</f>
        <v>153.391532721958</v>
      </c>
      <c r="K76" s="32" t="n">
        <f aca="false">IF(OR(K73="",J73="",I73=""),"",K74/(K74+K75)*K73+K75/(K74+K75)*(CapexGW!$D$4*K73+CapexGW!$E$4*J73+CapexGW!$F$4*I73))</f>
        <v>168.730685994154</v>
      </c>
      <c r="L76" s="32" t="n">
        <f aca="false">IF(OR(L73="",K73="",J73=""),"",L74/(L74+L75)*L73+L75/(L74+L75)*(CapexGW!$D$4*L73+CapexGW!$E$4*K73+CapexGW!$F$4*J73))</f>
        <v>185.603754593569</v>
      </c>
      <c r="M76" s="32" t="n">
        <f aca="false">IF(OR(M73="",L73="",K73=""),"",M74/(M74+M75)*M73+M75/(M74+M75)*(CapexGW!$D$4*M73+CapexGW!$E$4*L73+CapexGW!$F$4*K73))</f>
        <v>204.164130052926</v>
      </c>
    </row>
    <row r="77" customFormat="false" ht="17.15" hidden="false" customHeight="false" outlineLevel="0" collapsed="false">
      <c r="A77" s="5" t="s">
        <v>1413</v>
      </c>
      <c r="B77" s="0" t="s">
        <v>1469</v>
      </c>
      <c r="C77" s="0" t="s">
        <v>77</v>
      </c>
      <c r="D77" s="25" t="str">
        <f aca="false">IF(D76="","",D76/(D74+D75))</f>
        <v/>
      </c>
      <c r="E77" s="25" t="str">
        <f aca="false">IF(E76="","",E76/(E74+E75))</f>
        <v/>
      </c>
      <c r="F77" s="25" t="str">
        <f aca="false">IF(F76="","",F76/(F74+F75))</f>
        <v/>
      </c>
      <c r="G77" s="25" t="str">
        <f aca="false">IF(G76="","",G76/(G74+G75))</f>
        <v/>
      </c>
      <c r="H77" s="25" t="str">
        <f aca="false">IF(H76="","",H76/(H74+H75))</f>
        <v/>
      </c>
      <c r="I77" s="25" t="n">
        <f aca="false">IF(I76="","",I76/(I74+I75))</f>
        <v>2.73641202658016</v>
      </c>
      <c r="J77" s="25" t="n">
        <f aca="false">IF(J76="","",J76/(J74+J75))</f>
        <v>3.01174825182942</v>
      </c>
      <c r="K77" s="25" t="n">
        <f aca="false">IF(K76="","",K76/(K74+K75))</f>
        <v>3.31292307701236</v>
      </c>
      <c r="L77" s="25" t="n">
        <f aca="false">IF(L76="","",L76/(L74+L75))</f>
        <v>3.6442153847136</v>
      </c>
      <c r="M77" s="25" t="n">
        <f aca="false">IF(M76="","",M76/(M74+M75))</f>
        <v>4.00863692318496</v>
      </c>
    </row>
    <row r="78" customFormat="false" ht="17.15" hidden="false" customHeight="false" outlineLevel="0" collapsed="false">
      <c r="A78" s="5" t="s">
        <v>1415</v>
      </c>
      <c r="B78" s="0" t="s">
        <v>1470</v>
      </c>
      <c r="C78" s="0" t="s">
        <v>77</v>
      </c>
      <c r="D78" s="19" t="n">
        <f aca="false">Players!D93</f>
        <v>0</v>
      </c>
      <c r="E78" s="27" t="n">
        <f aca="false">Players!E93</f>
        <v>0</v>
      </c>
      <c r="F78" s="27" t="n">
        <f aca="false">Players!F93</f>
        <v>1.50812</v>
      </c>
      <c r="G78" s="27" t="n">
        <f aca="false">Players!G93</f>
        <v>0.676</v>
      </c>
      <c r="H78" s="27" t="n">
        <f aca="false">Players!H93</f>
        <v>0.192</v>
      </c>
      <c r="I78" s="27" t="n">
        <f aca="false">Players!I93</f>
        <v>2.786</v>
      </c>
      <c r="J78" s="27" t="n">
        <f aca="false">Players!J93</f>
        <v>0.368</v>
      </c>
      <c r="K78" s="27" t="n">
        <f aca="false">Players!K93</f>
        <v>0</v>
      </c>
      <c r="L78" s="27" t="n">
        <f aca="false">Players!L93</f>
        <v>0</v>
      </c>
      <c r="M78" s="27" t="n">
        <f aca="false">Players!M93</f>
        <v>0</v>
      </c>
    </row>
    <row r="79" customFormat="false" ht="17.15" hidden="false" customHeight="false" outlineLevel="0" collapsed="false">
      <c r="A79" s="5" t="s">
        <v>1417</v>
      </c>
      <c r="B79" s="0" t="s">
        <v>1471</v>
      </c>
      <c r="C79" s="0" t="s">
        <v>77</v>
      </c>
      <c r="D79" s="24" t="n">
        <f aca="false">IF(AND(2023&gt;=2027,D77&lt;&gt;""),D77,D78)</f>
        <v>0</v>
      </c>
      <c r="E79" s="24" t="n">
        <f aca="false">IF(AND(2024&gt;=2027,E77&lt;&gt;""),E77,E78)</f>
        <v>0</v>
      </c>
      <c r="F79" s="24" t="n">
        <f aca="false">IF(AND(2025&gt;=2027,F77&lt;&gt;""),F77,F78)</f>
        <v>1.50812</v>
      </c>
      <c r="G79" s="24" t="n">
        <f aca="false">IF(AND(2026&gt;=2027,G77&lt;&gt;""),G77,G78)</f>
        <v>0.676</v>
      </c>
      <c r="H79" s="24" t="n">
        <f aca="false">IF(AND(2027&gt;=2027,H77&lt;&gt;""),H77,H78)</f>
        <v>0.192</v>
      </c>
      <c r="I79" s="24" t="n">
        <f aca="false">IF(AND(2028&gt;=2027,I77&lt;&gt;""),I77,I78)</f>
        <v>2.73641202658016</v>
      </c>
      <c r="J79" s="24" t="n">
        <f aca="false">IF(AND(2029&gt;=2027,J77&lt;&gt;""),J77,J78)</f>
        <v>3.01174825182942</v>
      </c>
      <c r="K79" s="24" t="n">
        <f aca="false">IF(AND(2030&gt;=2027,K77&lt;&gt;""),K77,K78)</f>
        <v>3.31292307701236</v>
      </c>
      <c r="L79" s="24" t="n">
        <f aca="false">IF(AND(2031&gt;=2027,L77&lt;&gt;""),L77,L78)</f>
        <v>3.6442153847136</v>
      </c>
      <c r="M79" s="24" t="n">
        <f aca="false">IF(AND(2032&gt;=2027,M77&lt;&gt;""),M77,M78)</f>
        <v>4.00863692318496</v>
      </c>
    </row>
    <row r="80" customFormat="false" ht="17.15" hidden="false" customHeight="false" outlineLevel="0" collapsed="false">
      <c r="A80" s="5" t="s">
        <v>1419</v>
      </c>
      <c r="B80" s="0" t="s">
        <v>1472</v>
      </c>
      <c r="C80" s="0" t="s">
        <v>77</v>
      </c>
      <c r="D80" s="24" t="n">
        <f aca="false">N(Players!D87)</f>
        <v>0</v>
      </c>
      <c r="E80" s="24" t="n">
        <f aca="false">IF(2024&gt;=2027,D80+E79,N(Players!E87))</f>
        <v>0.968475</v>
      </c>
      <c r="F80" s="24" t="n">
        <f aca="false">IF(2025&gt;=2027,E80+F79,N(Players!F87))</f>
        <v>2.476595</v>
      </c>
      <c r="G80" s="24" t="n">
        <f aca="false">IF(2026&gt;=2027,F80+G79,N(Players!G87))</f>
        <v>3.152595</v>
      </c>
      <c r="H80" s="24" t="n">
        <f aca="false">IF(2027&gt;=2027,G80+H79,N(Players!H87))</f>
        <v>3.344595</v>
      </c>
      <c r="I80" s="24" t="n">
        <f aca="false">IF(2028&gt;=2027,H80+I79,N(Players!I87))</f>
        <v>6.08100702658016</v>
      </c>
      <c r="J80" s="24" t="n">
        <f aca="false">IF(2029&gt;=2027,I80+J79,N(Players!J87))</f>
        <v>9.09275527840958</v>
      </c>
      <c r="K80" s="24" t="n">
        <f aca="false">IF(2030&gt;=2027,J80+K79,N(Players!K87))</f>
        <v>12.4056783554219</v>
      </c>
      <c r="L80" s="24" t="n">
        <f aca="false">IF(2031&gt;=2027,K80+L79,N(Players!L87))</f>
        <v>16.0498937401355</v>
      </c>
      <c r="M80" s="24" t="n">
        <f aca="false">IF(2032&gt;=2027,L80+M79,N(Players!M87))</f>
        <v>20.0585306633205</v>
      </c>
    </row>
    <row r="81" customFormat="false" ht="17.15" hidden="false" customHeight="false" outlineLevel="0" collapsed="false">
      <c r="A81" s="5" t="s">
        <v>1421</v>
      </c>
      <c r="B81" s="0" t="s">
        <v>1473</v>
      </c>
      <c r="C81" s="0" t="s">
        <v>77</v>
      </c>
      <c r="D81" s="24" t="str">
        <f aca="false">IF(D77="","",D77*ai_sh_lo/ai_sh)</f>
        <v/>
      </c>
      <c r="E81" s="24" t="str">
        <f aca="false">IF(E77="","",E77*ai_sh_lo/ai_sh)</f>
        <v/>
      </c>
      <c r="F81" s="24" t="str">
        <f aca="false">IF(F77="","",F77*ai_sh_lo/ai_sh)</f>
        <v/>
      </c>
      <c r="G81" s="24" t="str">
        <f aca="false">IF(G77="","",G77*ai_sh_lo/ai_sh)</f>
        <v/>
      </c>
      <c r="H81" s="24" t="str">
        <f aca="false">IF(H77="","",H77*ai_sh_lo/ai_sh)</f>
        <v/>
      </c>
      <c r="I81" s="24" t="n">
        <f aca="false">IF(I77="","",I77*ai_sh_lo/ai_sh)</f>
        <v>2.41448119992367</v>
      </c>
      <c r="J81" s="24" t="n">
        <f aca="false">IF(J77="","",J77*ai_sh_lo/ai_sh)</f>
        <v>2.65742492808478</v>
      </c>
      <c r="K81" s="24" t="n">
        <f aca="false">IF(K77="","",K77*ai_sh_lo/ai_sh)</f>
        <v>2.92316742089326</v>
      </c>
      <c r="L81" s="24" t="n">
        <f aca="false">IF(L77="","",L77*ai_sh_lo/ai_sh)</f>
        <v>3.21548416298259</v>
      </c>
      <c r="M81" s="24" t="n">
        <f aca="false">IF(M77="","",M77*ai_sh_lo/ai_sh)</f>
        <v>3.53703257928085</v>
      </c>
    </row>
    <row r="82" customFormat="false" ht="17.15" hidden="false" customHeight="false" outlineLevel="0" collapsed="false">
      <c r="A82" s="5" t="s">
        <v>1423</v>
      </c>
      <c r="B82" s="0" t="s">
        <v>1474</v>
      </c>
      <c r="C82" s="0" t="s">
        <v>77</v>
      </c>
      <c r="D82" s="24" t="str">
        <f aca="false">IF(D77="","",D77*ai_sh_hi/ai_sh)</f>
        <v/>
      </c>
      <c r="E82" s="24" t="str">
        <f aca="false">IF(E77="","",E77*ai_sh_hi/ai_sh)</f>
        <v/>
      </c>
      <c r="F82" s="24" t="str">
        <f aca="false">IF(F77="","",F77*ai_sh_hi/ai_sh)</f>
        <v/>
      </c>
      <c r="G82" s="24" t="str">
        <f aca="false">IF(G77="","",G77*ai_sh_hi/ai_sh)</f>
        <v/>
      </c>
      <c r="H82" s="24" t="str">
        <f aca="false">IF(H77="","",H77*ai_sh_hi/ai_sh)</f>
        <v/>
      </c>
      <c r="I82" s="24" t="n">
        <f aca="false">IF(I77="","",I77*ai_sh_hi/ai_sh)</f>
        <v>3.05834285323665</v>
      </c>
      <c r="J82" s="24" t="n">
        <f aca="false">IF(J77="","",J77*ai_sh_hi/ai_sh)</f>
        <v>3.36607157557406</v>
      </c>
      <c r="K82" s="24" t="n">
        <f aca="false">IF(K77="","",K77*ai_sh_hi/ai_sh)</f>
        <v>3.70267873313146</v>
      </c>
      <c r="L82" s="24" t="n">
        <f aca="false">IF(L77="","",L77*ai_sh_hi/ai_sh)</f>
        <v>4.07294660644461</v>
      </c>
      <c r="M82" s="24" t="n">
        <f aca="false">IF(M77="","",M77*ai_sh_hi/ai_sh)</f>
        <v>4.48024126708907</v>
      </c>
    </row>
    <row r="83" customFormat="false" ht="17.15" hidden="false" customHeight="false" outlineLevel="0" collapsed="false">
      <c r="A83" s="5" t="s">
        <v>1425</v>
      </c>
      <c r="B83" s="0" t="s">
        <v>1475</v>
      </c>
      <c r="C83" s="0" t="s">
        <v>77</v>
      </c>
      <c r="D83" s="24" t="str">
        <f aca="false">IF(OR(D73="",D73="",D73=""),"",(D74/(D74+D75)*D73+D75/(D74+D75)*(CapexGW!$D$5*D73+CapexGW!$E$5*D73+CapexGW!$F$5*D73))/(D74+D75))</f>
        <v/>
      </c>
      <c r="E83" s="24" t="str">
        <f aca="false">IF(OR(E73="",D73="",E73=""),"",(E74/(E74+E75)*E73+E75/(E74+E75)*(CapexGW!$D$5*E73+CapexGW!$E$5*D73+CapexGW!$F$5*E73))/(E74+E75))</f>
        <v/>
      </c>
      <c r="F83" s="24" t="str">
        <f aca="false">IF(OR(F73="",E73="",D73=""),"",(F74/(F74+F75)*F73+F75/(F74+F75)*(CapexGW!$D$5*F73+CapexGW!$E$5*E73+CapexGW!$F$5*D73))/(F74+F75))</f>
        <v/>
      </c>
      <c r="G83" s="24" t="str">
        <f aca="false">IF(OR(G73="",F73="",E73=""),"",(G74/(G74+G75)*G73+G75/(G74+G75)*(CapexGW!$D$5*G73+CapexGW!$E$5*F73+CapexGW!$F$5*E73))/(G74+G75))</f>
        <v/>
      </c>
      <c r="H83" s="24" t="str">
        <f aca="false">IF(OR(H73="",G73="",F73=""),"",(H74/(H74+H75)*H73+H75/(H74+H75)*(CapexGW!$D$5*H73+CapexGW!$E$5*G73+CapexGW!$F$5*F73))/(H74+H75))</f>
        <v/>
      </c>
      <c r="I83" s="24" t="n">
        <f aca="false">IF(OR(I73="",H73="",G73=""),"",(I74/(I74+I75)*I73+I75/(I74+I75)*(CapexGW!$D$5*I73+CapexGW!$E$5*H73+CapexGW!$F$5*G73))/(I74+I75))</f>
        <v>2.76426715148981</v>
      </c>
      <c r="J83" s="24" t="n">
        <f aca="false">IF(OR(J73="",I73="",H73=""),"",(J74/(J74+J75)*J73+J75/(J74+J75)*(CapexGW!$D$5*J73+CapexGW!$E$5*I73+CapexGW!$F$5*H73))/(J74+J75))</f>
        <v>3.04241143665279</v>
      </c>
      <c r="K83" s="24" t="n">
        <f aca="false">IF(OR(K73="",J73="",I73=""),"",(K74/(K74+K75)*K73+K75/(K74+K75)*(CapexGW!$D$5*K73+CapexGW!$E$5*J73+CapexGW!$F$5*I73))/(K74+K75))</f>
        <v>3.34665258031807</v>
      </c>
      <c r="L83" s="24" t="n">
        <f aca="false">IF(OR(L73="",K73="",J73=""),"",(L74/(L74+L75)*L73+L75/(L74+L75)*(CapexGW!$D$5*L73+CapexGW!$E$5*K73+CapexGW!$F$5*J73))/(L74+L75))</f>
        <v>3.68131783834987</v>
      </c>
      <c r="M83" s="24" t="n">
        <f aca="false">IF(OR(M73="",L73="",K73=""),"",(M74/(M74+M75)*M73+M75/(M74+M75)*(CapexGW!$D$5*M73+CapexGW!$E$5*L73+CapexGW!$F$5*K73))/(M74+M75))</f>
        <v>4.04944962218486</v>
      </c>
    </row>
    <row r="84" customFormat="false" ht="17.15" hidden="false" customHeight="false" outlineLevel="0" collapsed="false">
      <c r="A84" s="5" t="s">
        <v>1427</v>
      </c>
      <c r="B84" s="0" t="s">
        <v>1476</v>
      </c>
      <c r="C84" s="0" t="s">
        <v>77</v>
      </c>
      <c r="D84" s="24" t="str">
        <f aca="false">IF(OR(D73="",D73="",D73=""),"",(D74/(D74+D75)*D73+D75/(D74+D75)*(CapexGW!$D$6*D73+CapexGW!$E$6*D73+CapexGW!$F$6*D73))/(D74+D75))</f>
        <v/>
      </c>
      <c r="E84" s="24" t="str">
        <f aca="false">IF(OR(E73="",D73="",E73=""),"",(E74/(E74+E75)*E73+E75/(E74+E75)*(CapexGW!$D$6*E73+CapexGW!$E$6*D73+CapexGW!$F$6*E73))/(E74+E75))</f>
        <v/>
      </c>
      <c r="F84" s="24" t="str">
        <f aca="false">IF(OR(F73="",E73="",D73=""),"",(F74/(F74+F75)*F73+F75/(F74+F75)*(CapexGW!$D$6*F73+CapexGW!$E$6*E73+CapexGW!$F$6*D73))/(F74+F75))</f>
        <v/>
      </c>
      <c r="G84" s="24" t="str">
        <f aca="false">IF(OR(G73="",F73="",E73=""),"",(G74/(G74+G75)*G73+G75/(G74+G75)*(CapexGW!$D$6*G73+CapexGW!$E$6*F73+CapexGW!$F$6*E73))/(G74+G75))</f>
        <v/>
      </c>
      <c r="H84" s="24" t="str">
        <f aca="false">IF(OR(H73="",G73="",F73=""),"",(H74/(H74+H75)*H73+H75/(H74+H75)*(CapexGW!$D$6*H73+CapexGW!$E$6*G73+CapexGW!$F$6*F73))/(H74+H75))</f>
        <v/>
      </c>
      <c r="I84" s="24" t="n">
        <f aca="false">IF(OR(I73="",H73="",G73=""),"",(I74/(I74+I75)*I73+I75/(I74+I75)*(CapexGW!$D$6*I73+CapexGW!$E$6*H73+CapexGW!$F$6*G73))/(I74+I75))</f>
        <v>2.70855690167051</v>
      </c>
      <c r="J84" s="24" t="n">
        <f aca="false">IF(OR(J73="",I73="",H73=""),"",(J74/(J74+J75)*J73+J75/(J74+J75)*(CapexGW!$D$6*J73+CapexGW!$E$6*I73+CapexGW!$F$6*H73))/(J74+J75))</f>
        <v>2.98108506700605</v>
      </c>
      <c r="K84" s="24" t="n">
        <f aca="false">IF(OR(K73="",J73="",I73=""),"",(K74/(K74+K75)*K73+K75/(K74+K75)*(CapexGW!$D$6*K73+CapexGW!$E$6*J73+CapexGW!$F$6*I73))/(K74+K75))</f>
        <v>3.27919357370666</v>
      </c>
      <c r="L84" s="24" t="n">
        <f aca="false">IF(OR(L73="",K73="",J73=""),"",(L74/(L74+L75)*L73+L75/(L74+L75)*(CapexGW!$D$6*L73+CapexGW!$E$6*K73+CapexGW!$F$6*J73))/(L74+L75))</f>
        <v>3.60711293107732</v>
      </c>
      <c r="M84" s="24" t="n">
        <f aca="false">IF(OR(M73="",L73="",K73=""),"",(M74/(M74+M75)*M73+M75/(M74+M75)*(CapexGW!$D$6*M73+CapexGW!$E$6*L73+CapexGW!$F$6*K73))/(M74+M75))</f>
        <v>3.96782422418505</v>
      </c>
    </row>
    <row r="86" customFormat="false" ht="17.15" hidden="false" customHeight="false" outlineLevel="0" collapsed="false">
      <c r="A86" s="8" t="s">
        <v>1057</v>
      </c>
      <c r="B86" s="20" t="s">
        <v>530</v>
      </c>
      <c r="N86" s="20" t="s">
        <v>1477</v>
      </c>
    </row>
    <row r="87" customFormat="false" ht="17.15" hidden="false" customHeight="false" outlineLevel="0" collapsed="false">
      <c r="A87" s="5" t="s">
        <v>1397</v>
      </c>
      <c r="B87" s="0" t="s">
        <v>1059</v>
      </c>
      <c r="C87" s="0" t="s">
        <v>390</v>
      </c>
      <c r="D87" s="19" t="str">
        <f aca="false">IF(In!H128="","",In!H128)</f>
        <v/>
      </c>
      <c r="E87" s="19" t="str">
        <f aca="false">IF(In!I128="","",In!I128)</f>
        <v/>
      </c>
      <c r="F87" s="30" t="n">
        <f aca="false">IF(In!J128="","",In!J128)</f>
        <v>21.215</v>
      </c>
      <c r="G87" s="30" t="n">
        <f aca="false">IF(In!K128="","",In!K128)</f>
        <v>55.663</v>
      </c>
      <c r="H87" s="30" t="n">
        <f aca="false">IF(In!L128="","",In!L128)</f>
        <v>92.5</v>
      </c>
      <c r="I87" s="30" t="n">
        <f aca="false">IF(In!M128="","",In!M128)</f>
        <v>100.962</v>
      </c>
      <c r="J87" s="30" t="n">
        <f aca="false">IF(In!N128="","",In!N128)</f>
        <v>84.848</v>
      </c>
      <c r="K87" s="19" t="str">
        <f aca="false">IF(In!O128="","",In!O128)</f>
        <v/>
      </c>
      <c r="L87" s="19" t="str">
        <f aca="false">IF(In!P128="","",In!P128)</f>
        <v/>
      </c>
      <c r="M87" s="19" t="str">
        <f aca="false">IF(In!Q128="","",In!Q128)</f>
        <v/>
      </c>
    </row>
    <row r="88" customFormat="false" ht="15" hidden="false" customHeight="false" outlineLevel="0" collapsed="false">
      <c r="A88" s="5" t="s">
        <v>1398</v>
      </c>
      <c r="B88" s="0" t="s">
        <v>1478</v>
      </c>
      <c r="C88" s="0" t="s">
        <v>35</v>
      </c>
      <c r="D88" s="26" t="n">
        <f aca="false">(D87&lt;&gt;"")</f>
        <v>0</v>
      </c>
      <c r="E88" s="26" t="n">
        <f aca="false">(E87&lt;&gt;"")+D88</f>
        <v>0</v>
      </c>
      <c r="F88" s="26" t="n">
        <f aca="false">(F87&lt;&gt;"")+E88</f>
        <v>1</v>
      </c>
      <c r="G88" s="26" t="n">
        <f aca="false">(G87&lt;&gt;"")+F88</f>
        <v>2</v>
      </c>
      <c r="H88" s="26" t="n">
        <f aca="false">(H87&lt;&gt;"")+G88</f>
        <v>3</v>
      </c>
      <c r="I88" s="26" t="n">
        <f aca="false">(I87&lt;&gt;"")+H88</f>
        <v>4</v>
      </c>
      <c r="J88" s="26" t="n">
        <f aca="false">(J87&lt;&gt;"")+I88</f>
        <v>5</v>
      </c>
      <c r="K88" s="26" t="n">
        <f aca="false">(K87&lt;&gt;"")+J88</f>
        <v>5</v>
      </c>
      <c r="L88" s="26" t="n">
        <f aca="false">(L87&lt;&gt;"")+K88</f>
        <v>5</v>
      </c>
      <c r="M88" s="26" t="n">
        <f aca="false">(M87&lt;&gt;"")+L88</f>
        <v>5</v>
      </c>
    </row>
    <row r="89" customFormat="false" ht="15" hidden="false" customHeight="false" outlineLevel="0" collapsed="false">
      <c r="A89" s="5" t="s">
        <v>1400</v>
      </c>
      <c r="B89" s="0" t="s">
        <v>1064</v>
      </c>
      <c r="C89" s="0" t="s">
        <v>390</v>
      </c>
      <c r="D89" s="31" t="n">
        <f aca="false">IF(D87&lt;&gt;"",D87,E89)</f>
        <v>21.215</v>
      </c>
      <c r="E89" s="31" t="n">
        <f aca="false">IF(E87&lt;&gt;"",E87,F89)</f>
        <v>21.215</v>
      </c>
      <c r="F89" s="31" t="n">
        <f aca="false">IF(F87&lt;&gt;"",F87,G89)</f>
        <v>21.215</v>
      </c>
      <c r="G89" s="31" t="n">
        <f aca="false">IF(G87&lt;&gt;"",G87,H89)</f>
        <v>55.663</v>
      </c>
      <c r="H89" s="31" t="n">
        <f aca="false">IF(H87&lt;&gt;"",H87,I89)</f>
        <v>92.5</v>
      </c>
      <c r="I89" s="31" t="n">
        <f aca="false">IF(I87&lt;&gt;"",I87,J89)</f>
        <v>100.962</v>
      </c>
      <c r="J89" s="31" t="n">
        <f aca="false">IF(J87&lt;&gt;"",J87,K89)</f>
        <v>84.848</v>
      </c>
      <c r="K89" s="0" t="str">
        <f aca="false">IF(K87&lt;&gt;"",K87,L89)</f>
        <v/>
      </c>
      <c r="L89" s="0" t="str">
        <f aca="false">IF(L87&lt;&gt;"",L87,M89)</f>
        <v/>
      </c>
      <c r="M89" s="0" t="str">
        <f aca="false">IF(M87&lt;&gt;"",M87,"")</f>
        <v/>
      </c>
    </row>
    <row r="90" customFormat="false" ht="15" hidden="false" customHeight="false" outlineLevel="0" collapsed="false">
      <c r="A90" s="5" t="s">
        <v>1401</v>
      </c>
      <c r="B90" s="0" t="s">
        <v>1479</v>
      </c>
      <c r="C90" s="0" t="s">
        <v>390</v>
      </c>
      <c r="D90" s="32" t="str">
        <f aca="false">IF(D87&lt;&gt;"",D87,IF(0&gt;0,""*(1+cap_g_ext),""))</f>
        <v/>
      </c>
      <c r="E90" s="32" t="str">
        <f aca="false">IF(E87&lt;&gt;"",E87,IF(D88&gt;0,D90*(1+cap_g_ext),""))</f>
        <v/>
      </c>
      <c r="F90" s="32" t="n">
        <f aca="false">IF(F87&lt;&gt;"",F87,IF(E88&gt;0,E90*(1+cap_g_ext),""))</f>
        <v>21.215</v>
      </c>
      <c r="G90" s="32" t="n">
        <f aca="false">IF(G87&lt;&gt;"",G87,IF(F88&gt;0,F90*(1+cap_g_ext),""))</f>
        <v>55.663</v>
      </c>
      <c r="H90" s="32" t="n">
        <f aca="false">IF(H87&lt;&gt;"",H87,IF(G88&gt;0,G90*(1+cap_g_ext),""))</f>
        <v>92.5</v>
      </c>
      <c r="I90" s="32" t="n">
        <f aca="false">IF(I87&lt;&gt;"",I87,IF(H88&gt;0,H90*(1+cap_g_ext),""))</f>
        <v>100.962</v>
      </c>
      <c r="J90" s="32" t="n">
        <f aca="false">IF(J87&lt;&gt;"",J87,IF(I88&gt;0,I90*(1+cap_g_ext),""))</f>
        <v>84.848</v>
      </c>
      <c r="K90" s="32" t="n">
        <f aca="false">IF(K87&lt;&gt;"",K87,IF(J88&gt;0,J90*(1+cap_g_ext),""))</f>
        <v>93.3328</v>
      </c>
      <c r="L90" s="32" t="n">
        <f aca="false">IF(L87&lt;&gt;"",L87,IF(K88&gt;0,K90*(1+cap_g_ext),""))</f>
        <v>102.66608</v>
      </c>
      <c r="M90" s="32" t="n">
        <f aca="false">IF(M87&lt;&gt;"",M87,IF(L88&gt;0,L90*(1+cap_g_ext),""))</f>
        <v>112.932688</v>
      </c>
    </row>
    <row r="91" customFormat="false" ht="15" hidden="false" customHeight="false" outlineLevel="0" collapsed="false">
      <c r="A91" s="5" t="s">
        <v>1403</v>
      </c>
      <c r="B91" s="0" t="s">
        <v>1480</v>
      </c>
      <c r="C91" s="0" t="s">
        <v>390</v>
      </c>
      <c r="D91" s="32" t="str">
        <f aca="false">IF(OR(D90="",AND(fye_orcl&lt;12,E90="")),"",D90*fye_orcl/12+IF(fye_orcl&lt;12,E90,0)*(12-fye_orcl)/12)</f>
        <v/>
      </c>
      <c r="E91" s="32" t="str">
        <f aca="false">IF(OR(E90="",AND(fye_orcl&lt;12,F90="")),"",E90*fye_orcl/12+IF(fye_orcl&lt;12,F90,0)*(12-fye_orcl)/12)</f>
        <v/>
      </c>
      <c r="F91" s="32" t="n">
        <f aca="false">IF(OR(F90="",AND(fye_orcl&lt;12,G90="")),"",F90*fye_orcl/12+IF(fye_orcl&lt;12,G90,0)*(12-fye_orcl)/12)</f>
        <v>41.3096666666667</v>
      </c>
      <c r="G91" s="32" t="n">
        <f aca="false">IF(OR(G90="",AND(fye_orcl&lt;12,H90="")),"",G90*fye_orcl/12+IF(fye_orcl&lt;12,H90,0)*(12-fye_orcl)/12)</f>
        <v>77.15125</v>
      </c>
      <c r="H91" s="32" t="n">
        <f aca="false">IF(OR(H90="",AND(fye_orcl&lt;12,I90="")),"",H90*fye_orcl/12+IF(fye_orcl&lt;12,I90,0)*(12-fye_orcl)/12)</f>
        <v>97.4361666666667</v>
      </c>
      <c r="I91" s="32" t="n">
        <f aca="false">IF(OR(I90="",AND(fye_orcl&lt;12,J90="")),"",I90*fye_orcl/12+IF(fye_orcl&lt;12,J90,0)*(12-fye_orcl)/12)</f>
        <v>91.5621666666667</v>
      </c>
      <c r="J91" s="32" t="n">
        <f aca="false">IF(OR(J90="",AND(fye_orcl&lt;12,K90="")),"",J90*fye_orcl/12+IF(fye_orcl&lt;12,K90,0)*(12-fye_orcl)/12)</f>
        <v>89.7974666666667</v>
      </c>
      <c r="K91" s="32" t="n">
        <f aca="false">IF(OR(K90="",AND(fye_orcl&lt;12,L90="")),"",K90*fye_orcl/12+IF(fye_orcl&lt;12,L90,0)*(12-fye_orcl)/12)</f>
        <v>98.7772133333334</v>
      </c>
      <c r="L91" s="32" t="n">
        <f aca="false">IF(OR(L90="",AND(fye_orcl&lt;12,M90="")),"",L90*fye_orcl/12+IF(fye_orcl&lt;12,M90,0)*(12-fye_orcl)/12)</f>
        <v>108.654934666667</v>
      </c>
      <c r="M91" s="32" t="n">
        <f aca="false">IF(OR(M90="",AND(fye_orcl&lt;12,IF(M90="","",M90*(1+cap_g_ext))="")),"",M90*fye_orcl/12+IF(fye_orcl&lt;12,IF(M90="","",M90*(1+cap_g_ext)),0)*(12-fye_orcl)/12)</f>
        <v>119.520428133333</v>
      </c>
    </row>
    <row r="92" customFormat="false" ht="17.15" hidden="false" customHeight="false" outlineLevel="0" collapsed="false">
      <c r="A92" s="5" t="s">
        <v>1405</v>
      </c>
      <c r="B92" s="0" t="s">
        <v>1481</v>
      </c>
      <c r="C92" s="0" t="s">
        <v>390</v>
      </c>
      <c r="D92" s="32" t="str">
        <f aca="false">IF(D91="","",D91*ai_sh)</f>
        <v/>
      </c>
      <c r="E92" s="32" t="str">
        <f aca="false">IF(E91="","",E91*ai_sh)</f>
        <v/>
      </c>
      <c r="F92" s="32" t="n">
        <f aca="false">IF(F91="","",F91*ai_sh)</f>
        <v>35.1132166666667</v>
      </c>
      <c r="G92" s="32" t="n">
        <f aca="false">IF(G91="","",G91*ai_sh)</f>
        <v>65.5785625</v>
      </c>
      <c r="H92" s="32" t="n">
        <f aca="false">IF(H91="","",H91*ai_sh)</f>
        <v>82.8207416666667</v>
      </c>
      <c r="I92" s="32" t="n">
        <f aca="false">IF(I91="","",I91*ai_sh)</f>
        <v>77.8278416666667</v>
      </c>
      <c r="J92" s="32" t="n">
        <f aca="false">IF(J91="","",J91*ai_sh)</f>
        <v>76.3278466666667</v>
      </c>
      <c r="K92" s="32" t="n">
        <f aca="false">IF(K91="","",K91*ai_sh)</f>
        <v>83.9606313333333</v>
      </c>
      <c r="L92" s="32" t="n">
        <f aca="false">IF(L91="","",L91*ai_sh)</f>
        <v>92.3566944666667</v>
      </c>
      <c r="M92" s="32" t="n">
        <f aca="false">IF(M91="","",M91*ai_sh)</f>
        <v>101.592363913333</v>
      </c>
    </row>
    <row r="93" customFormat="false" ht="17.15" hidden="false" customHeight="false" outlineLevel="0" collapsed="false">
      <c r="A93" s="5" t="s">
        <v>1407</v>
      </c>
      <c r="B93" s="0" t="s">
        <v>1482</v>
      </c>
      <c r="C93" s="0" t="s">
        <v>390</v>
      </c>
      <c r="D93" s="29" t="n">
        <f aca="false">(1-Players!D114)*D$7+Players!D114*TK_NonNV_Hold_AMD*TK_CapexIT_VR200</f>
        <v>28.5674343946187</v>
      </c>
      <c r="E93" s="29" t="n">
        <f aca="false">(1-Players!E114)*E$7+Players!E114*TK_NonNV_Hold_AMD*TK_CapexIT_VR200</f>
        <v>28.5674343946187</v>
      </c>
      <c r="F93" s="29" t="n">
        <f aca="false">(1-Players!F114)*F$7+Players!F114*TK_NonNV_Hold_AMD*TK_CapexIT_VR200</f>
        <v>27.423891719914</v>
      </c>
      <c r="G93" s="29" t="n">
        <f aca="false">(1-Players!G114)*G$7+Players!G114*TK_NonNV_Hold_AMD*TK_CapexIT_VR200</f>
        <v>33.0649036341473</v>
      </c>
      <c r="H93" s="29" t="n">
        <f aca="false">(1-Players!H114)*H$7+Players!H114*TK_NonNV_Hold_AMD*TK_CapexIT_VR200</f>
        <v>36.5947249242921</v>
      </c>
      <c r="I93" s="29" t="n">
        <f aca="false">(1-Players!I114)*I$7+Players!I114*TK_NonNV_Hold_AMD*TK_CapexIT_VR200</f>
        <v>38.802433936281</v>
      </c>
      <c r="J93" s="29" t="n">
        <f aca="false">(1-Players!J114)*J$7+Players!J114*TK_NonNV_Hold_AMD*TK_CapexIT_VR200</f>
        <v>38.7783529603329</v>
      </c>
      <c r="K93" s="29" t="n">
        <f aca="false">(1-Players!K114)*K$7+Players!K114*TK_NonNV_Hold_AMD*TK_CapexIT_VR200</f>
        <v>38.7783529603329</v>
      </c>
      <c r="L93" s="29" t="n">
        <f aca="false">(1-Players!L114)*L$7+Players!L114*TK_NonNV_Hold_AMD*TK_CapexIT_VR200</f>
        <v>38.7783529603329</v>
      </c>
      <c r="M93" s="29" t="n">
        <f aca="false">(1-Players!M114)*M$7+Players!M114*TK_NonNV_Hold_AMD*TK_CapexIT_VR200</f>
        <v>38.7783529603329</v>
      </c>
    </row>
    <row r="94" customFormat="false" ht="17.15" hidden="false" customHeight="false" outlineLevel="0" collapsed="false">
      <c r="A94" s="5" t="s">
        <v>1409</v>
      </c>
      <c r="B94" s="0" t="s">
        <v>1483</v>
      </c>
      <c r="C94" s="0" t="s">
        <v>390</v>
      </c>
      <c r="D94" s="29" t="n">
        <f aca="false">(1-Players!D114)*D$8+Players!D114*TK_NonNV_Hold_AMD*TK_CapexFacility_VR200</f>
        <v>12.2172817673375</v>
      </c>
      <c r="E94" s="29" t="n">
        <f aca="false">(1-Players!E114)*E$8+Players!E114*TK_NonNV_Hold_AMD*TK_CapexFacility_VR200</f>
        <v>12.2172817673375</v>
      </c>
      <c r="F94" s="29" t="n">
        <f aca="false">(1-Players!F114)*F$8+Players!F114*TK_NonNV_Hold_AMD*TK_CapexFacility_VR200</f>
        <v>12.2172817673375</v>
      </c>
      <c r="G94" s="29" t="n">
        <f aca="false">(1-Players!G114)*G$8+Players!G114*TK_NonNV_Hold_AMD*TK_CapexFacility_VR200</f>
        <v>12.2172817673375</v>
      </c>
      <c r="H94" s="29" t="n">
        <f aca="false">(1-Players!H114)*H$8+Players!H114*TK_NonNV_Hold_AMD*TK_CapexFacility_VR200</f>
        <v>12.1509699108826</v>
      </c>
      <c r="I94" s="29" t="n">
        <f aca="false">(1-Players!I114)*I$8+Players!I114*TK_NonNV_Hold_AMD*TK_CapexFacility_VR200</f>
        <v>12.157584536667</v>
      </c>
      <c r="J94" s="29" t="n">
        <f aca="false">(1-Players!J114)*J$8+Players!J114*TK_NonNV_Hold_AMD*TK_CapexFacility_VR200</f>
        <v>12.1527076383687</v>
      </c>
      <c r="K94" s="29" t="n">
        <f aca="false">(1-Players!K114)*K$8+Players!K114*TK_NonNV_Hold_AMD*TK_CapexFacility_VR200</f>
        <v>12.1527076383687</v>
      </c>
      <c r="L94" s="29" t="n">
        <f aca="false">(1-Players!L114)*L$8+Players!L114*TK_NonNV_Hold_AMD*TK_CapexFacility_VR200</f>
        <v>12.1527076383687</v>
      </c>
      <c r="M94" s="29" t="n">
        <f aca="false">(1-Players!M114)*M$8+Players!M114*TK_NonNV_Hold_AMD*TK_CapexFacility_VR200</f>
        <v>12.1527076383687</v>
      </c>
    </row>
    <row r="95" customFormat="false" ht="17.15" hidden="false" customHeight="false" outlineLevel="0" collapsed="false">
      <c r="A95" s="5" t="s">
        <v>1411</v>
      </c>
      <c r="B95" s="0" t="s">
        <v>1484</v>
      </c>
      <c r="C95" s="0" t="s">
        <v>390</v>
      </c>
      <c r="D95" s="32" t="str">
        <f aca="false">IF(OR(D92="",D92="",D92=""),"",D93/(D93+D94)*D92+D94/(D93+D94)*(CapexGW!$D$4*D92+CapexGW!$E$4*D92+CapexGW!$F$4*D92))</f>
        <v/>
      </c>
      <c r="E95" s="32" t="str">
        <f aca="false">IF(OR(E92="",D92="",E92=""),"",E93/(E93+E94)*E92+E94/(E93+E94)*(CapexGW!$D$4*E92+CapexGW!$E$4*D92+CapexGW!$F$4*E92))</f>
        <v/>
      </c>
      <c r="F95" s="32" t="str">
        <f aca="false">IF(OR(F92="",E92="",D92=""),"",F93/(F93+F94)*F92+F94/(F93+F94)*(CapexGW!$D$4*F92+CapexGW!$E$4*E92+CapexGW!$F$4*D92))</f>
        <v/>
      </c>
      <c r="G95" s="32" t="str">
        <f aca="false">IF(OR(G92="",F92="",E92=""),"",G93/(G93+G94)*G92+G94/(G93+G94)*(CapexGW!$D$4*G92+CapexGW!$E$4*F92+CapexGW!$F$4*E92))</f>
        <v/>
      </c>
      <c r="H95" s="32" t="n">
        <f aca="false">IF(OR(H92="",G92="",F92=""),"",H93/(H93+H94)*H92+H94/(H93+H94)*(CapexGW!$D$4*H92+CapexGW!$E$4*G92+CapexGW!$F$4*F92))</f>
        <v>74.7256483079768</v>
      </c>
      <c r="I95" s="32" t="n">
        <f aca="false">IF(OR(I92="",H92="",G92=""),"",I93/(I93+I94)*I92+I94/(I93+I94)*(CapexGW!$D$4*I92+CapexGW!$E$4*H92+CapexGW!$F$4*G92))</f>
        <v>76.9622607093551</v>
      </c>
      <c r="J95" s="32" t="n">
        <f aca="false">IF(OR(J92="",I92="",H92=""),"",J93/(J93+J94)*J92+J94/(J93+J94)*(CapexGW!$D$4*J92+CapexGW!$E$4*I92+CapexGW!$F$4*H92))</f>
        <v>77.2814421172012</v>
      </c>
      <c r="K95" s="32" t="n">
        <f aca="false">IF(OR(K92="",J92="",I92=""),"",K93/(K93+K94)*K92+K94/(K93+K94)*(CapexGW!$D$4*K92+CapexGW!$E$4*J92+CapexGW!$F$4*I92))</f>
        <v>82.3183230996079</v>
      </c>
      <c r="L95" s="32" t="n">
        <f aca="false">IF(OR(L92="",K92="",J92=""),"",L93/(L93+L94)*L92+L94/(L93+L94)*(CapexGW!$D$4*L92+CapexGW!$E$4*K92+CapexGW!$F$4*J92))</f>
        <v>89.4426691334345</v>
      </c>
      <c r="M95" s="32" t="n">
        <f aca="false">IF(OR(M92="",L92="",K92=""),"",M93/(M93+M94)*M92+M94/(M93+M94)*(CapexGW!$D$4*M92+CapexGW!$E$4*L92+CapexGW!$F$4*K92))</f>
        <v>98.386936046778</v>
      </c>
    </row>
    <row r="96" customFormat="false" ht="17.15" hidden="false" customHeight="false" outlineLevel="0" collapsed="false">
      <c r="A96" s="5" t="s">
        <v>1413</v>
      </c>
      <c r="B96" s="0" t="s">
        <v>1485</v>
      </c>
      <c r="C96" s="0" t="s">
        <v>77</v>
      </c>
      <c r="D96" s="25" t="str">
        <f aca="false">IF(D95="","",D95/(D93+D94))</f>
        <v/>
      </c>
      <c r="E96" s="25" t="str">
        <f aca="false">IF(E95="","",E95/(E93+E94))</f>
        <v/>
      </c>
      <c r="F96" s="25" t="str">
        <f aca="false">IF(F95="","",F95/(F93+F94))</f>
        <v/>
      </c>
      <c r="G96" s="25" t="str">
        <f aca="false">IF(G95="","",G95/(G93+G94))</f>
        <v/>
      </c>
      <c r="H96" s="25" t="n">
        <f aca="false">IF(H95="","",H95/(H93+H94))</f>
        <v>1.53296918960021</v>
      </c>
      <c r="I96" s="25" t="n">
        <f aca="false">IF(I95="","",I95/(I93+I94))</f>
        <v>1.51024789659781</v>
      </c>
      <c r="J96" s="25" t="n">
        <f aca="false">IF(J95="","",J95/(J93+J94))</f>
        <v>1.51737350859666</v>
      </c>
      <c r="K96" s="25" t="n">
        <f aca="false">IF(K95="","",K95/(K93+K94))</f>
        <v>1.61626956383678</v>
      </c>
      <c r="L96" s="25" t="n">
        <f aca="false">IF(L95="","",L95/(L93+L94))</f>
        <v>1.75615170942886</v>
      </c>
      <c r="M96" s="25" t="n">
        <f aca="false">IF(M95="","",M95/(M93+M94))</f>
        <v>1.93176688037174</v>
      </c>
    </row>
    <row r="97" customFormat="false" ht="17.15" hidden="false" customHeight="false" outlineLevel="0" collapsed="false">
      <c r="A97" s="5" t="s">
        <v>1415</v>
      </c>
      <c r="B97" s="0" t="s">
        <v>1486</v>
      </c>
      <c r="C97" s="0" t="s">
        <v>77</v>
      </c>
      <c r="D97" s="19" t="n">
        <f aca="false">Players!D112</f>
        <v>0</v>
      </c>
      <c r="E97" s="27" t="n">
        <f aca="false">Players!E112</f>
        <v>0</v>
      </c>
      <c r="F97" s="27" t="n">
        <f aca="false">Players!F112</f>
        <v>0.816405</v>
      </c>
      <c r="G97" s="27" t="n">
        <f aca="false">Players!G112</f>
        <v>1.54613</v>
      </c>
      <c r="H97" s="27" t="n">
        <f aca="false">Players!H112</f>
        <v>0.166666666666667</v>
      </c>
      <c r="I97" s="27" t="n">
        <f aca="false">Players!I112</f>
        <v>5.56916666666667</v>
      </c>
      <c r="J97" s="27" t="n">
        <f aca="false">Players!J112</f>
        <v>0</v>
      </c>
      <c r="K97" s="27" t="n">
        <f aca="false">Players!K112</f>
        <v>0</v>
      </c>
      <c r="L97" s="27" t="n">
        <f aca="false">Players!L112</f>
        <v>0</v>
      </c>
      <c r="M97" s="27" t="n">
        <f aca="false">Players!M112</f>
        <v>0</v>
      </c>
    </row>
    <row r="98" customFormat="false" ht="17.15" hidden="false" customHeight="false" outlineLevel="0" collapsed="false">
      <c r="A98" s="5" t="s">
        <v>1417</v>
      </c>
      <c r="B98" s="0" t="s">
        <v>1487</v>
      </c>
      <c r="C98" s="0" t="s">
        <v>77</v>
      </c>
      <c r="D98" s="24" t="n">
        <f aca="false">IF(AND(2023&gt;=2027,D96&lt;&gt;""),D96,D97)</f>
        <v>0</v>
      </c>
      <c r="E98" s="24" t="n">
        <f aca="false">IF(AND(2024&gt;=2027,E96&lt;&gt;""),E96,E97)</f>
        <v>0</v>
      </c>
      <c r="F98" s="24" t="n">
        <f aca="false">IF(AND(2025&gt;=2027,F96&lt;&gt;""),F96,F97)</f>
        <v>0.816405</v>
      </c>
      <c r="G98" s="24" t="n">
        <f aca="false">IF(AND(2026&gt;=2027,G96&lt;&gt;""),G96,G97)</f>
        <v>1.54613</v>
      </c>
      <c r="H98" s="24" t="n">
        <f aca="false">IF(AND(2027&gt;=2027,H96&lt;&gt;""),H96,H97)</f>
        <v>1.53296918960021</v>
      </c>
      <c r="I98" s="24" t="n">
        <f aca="false">IF(AND(2028&gt;=2027,I96&lt;&gt;""),I96,I97)</f>
        <v>1.51024789659781</v>
      </c>
      <c r="J98" s="24" t="n">
        <f aca="false">IF(AND(2029&gt;=2027,J96&lt;&gt;""),J96,J97)</f>
        <v>1.51737350859666</v>
      </c>
      <c r="K98" s="24" t="n">
        <f aca="false">IF(AND(2030&gt;=2027,K96&lt;&gt;""),K96,K97)</f>
        <v>1.61626956383678</v>
      </c>
      <c r="L98" s="24" t="n">
        <f aca="false">IF(AND(2031&gt;=2027,L96&lt;&gt;""),L96,L97)</f>
        <v>1.75615170942886</v>
      </c>
      <c r="M98" s="24" t="n">
        <f aca="false">IF(AND(2032&gt;=2027,M96&lt;&gt;""),M96,M97)</f>
        <v>1.93176688037174</v>
      </c>
    </row>
    <row r="99" customFormat="false" ht="17.15" hidden="false" customHeight="false" outlineLevel="0" collapsed="false">
      <c r="A99" s="5" t="s">
        <v>1419</v>
      </c>
      <c r="B99" s="0" t="s">
        <v>1488</v>
      </c>
      <c r="C99" s="0" t="s">
        <v>77</v>
      </c>
      <c r="D99" s="24" t="n">
        <f aca="false">N(Players!D106)</f>
        <v>0</v>
      </c>
      <c r="E99" s="24" t="n">
        <f aca="false">IF(2024&gt;=2027,D99+E98,N(Players!E106))</f>
        <v>0.386465</v>
      </c>
      <c r="F99" s="24" t="n">
        <f aca="false">IF(2025&gt;=2027,E99+F98,N(Players!F106))</f>
        <v>1.20287</v>
      </c>
      <c r="G99" s="24" t="n">
        <f aca="false">IF(2026&gt;=2027,F99+G98,N(Players!G106))</f>
        <v>2.749</v>
      </c>
      <c r="H99" s="24" t="n">
        <f aca="false">IF(2027&gt;=2027,G99+H98,N(Players!H106))</f>
        <v>4.28196918960021</v>
      </c>
      <c r="I99" s="24" t="n">
        <f aca="false">IF(2028&gt;=2027,H99+I98,N(Players!I106))</f>
        <v>5.79221708619802</v>
      </c>
      <c r="J99" s="24" t="n">
        <f aca="false">IF(2029&gt;=2027,I99+J98,N(Players!J106))</f>
        <v>7.30959059479468</v>
      </c>
      <c r="K99" s="24" t="n">
        <f aca="false">IF(2030&gt;=2027,J99+K98,N(Players!K106))</f>
        <v>8.92586015863146</v>
      </c>
      <c r="L99" s="24" t="n">
        <f aca="false">IF(2031&gt;=2027,K99+L98,N(Players!L106))</f>
        <v>10.6820118680603</v>
      </c>
      <c r="M99" s="24" t="n">
        <f aca="false">IF(2032&gt;=2027,L99+M98,N(Players!M106))</f>
        <v>12.6137787484321</v>
      </c>
    </row>
    <row r="100" customFormat="false" ht="17.15" hidden="false" customHeight="false" outlineLevel="0" collapsed="false">
      <c r="A100" s="5" t="s">
        <v>1421</v>
      </c>
      <c r="B100" s="0" t="s">
        <v>1489</v>
      </c>
      <c r="C100" s="0" t="s">
        <v>77</v>
      </c>
      <c r="D100" s="24" t="str">
        <f aca="false">IF(D96="","",D96*ai_sh_lo/ai_sh)</f>
        <v/>
      </c>
      <c r="E100" s="24" t="str">
        <f aca="false">IF(E96="","",E96*ai_sh_lo/ai_sh)</f>
        <v/>
      </c>
      <c r="F100" s="24" t="str">
        <f aca="false">IF(F96="","",F96*ai_sh_lo/ai_sh)</f>
        <v/>
      </c>
      <c r="G100" s="24" t="str">
        <f aca="false">IF(G96="","",G96*ai_sh_lo/ai_sh)</f>
        <v/>
      </c>
      <c r="H100" s="24" t="n">
        <f aca="false">IF(H96="","",H96*ai_sh_lo/ai_sh)</f>
        <v>1.35261987317666</v>
      </c>
      <c r="I100" s="24" t="n">
        <f aca="false">IF(I96="","",I96*ai_sh_lo/ai_sh)</f>
        <v>1.33257167346866</v>
      </c>
      <c r="J100" s="24" t="n">
        <f aca="false">IF(J96="","",J96*ai_sh_lo/ai_sh)</f>
        <v>1.33885897817353</v>
      </c>
      <c r="K100" s="24" t="n">
        <f aca="false">IF(K96="","",K96*ai_sh_lo/ai_sh)</f>
        <v>1.42612020338539</v>
      </c>
      <c r="L100" s="24" t="n">
        <f aca="false">IF(L96="","",L96*ai_sh_lo/ai_sh)</f>
        <v>1.54954562596664</v>
      </c>
      <c r="M100" s="24" t="n">
        <f aca="false">IF(M96="","",M96*ai_sh_lo/ai_sh)</f>
        <v>1.7045001885633</v>
      </c>
    </row>
    <row r="101" customFormat="false" ht="17.15" hidden="false" customHeight="false" outlineLevel="0" collapsed="false">
      <c r="A101" s="5" t="s">
        <v>1423</v>
      </c>
      <c r="B101" s="0" t="s">
        <v>1490</v>
      </c>
      <c r="C101" s="0" t="s">
        <v>77</v>
      </c>
      <c r="D101" s="24" t="str">
        <f aca="false">IF(D96="","",D96*ai_sh_hi/ai_sh)</f>
        <v/>
      </c>
      <c r="E101" s="24" t="str">
        <f aca="false">IF(E96="","",E96*ai_sh_hi/ai_sh)</f>
        <v/>
      </c>
      <c r="F101" s="24" t="str">
        <f aca="false">IF(F96="","",F96*ai_sh_hi/ai_sh)</f>
        <v/>
      </c>
      <c r="G101" s="24" t="str">
        <f aca="false">IF(G96="","",G96*ai_sh_hi/ai_sh)</f>
        <v/>
      </c>
      <c r="H101" s="24" t="n">
        <f aca="false">IF(H96="","",H96*ai_sh_hi/ai_sh)</f>
        <v>1.71331850602376</v>
      </c>
      <c r="I101" s="24" t="n">
        <f aca="false">IF(I96="","",I96*ai_sh_hi/ai_sh)</f>
        <v>1.68792411972696</v>
      </c>
      <c r="J101" s="24" t="n">
        <f aca="false">IF(J96="","",J96*ai_sh_hi/ai_sh)</f>
        <v>1.6958880390198</v>
      </c>
      <c r="K101" s="24" t="n">
        <f aca="false">IF(K96="","",K96*ai_sh_hi/ai_sh)</f>
        <v>1.80641892428816</v>
      </c>
      <c r="L101" s="24" t="n">
        <f aca="false">IF(L96="","",L96*ai_sh_hi/ai_sh)</f>
        <v>1.96275779289107</v>
      </c>
      <c r="M101" s="24" t="n">
        <f aca="false">IF(M96="","",M96*ai_sh_hi/ai_sh)</f>
        <v>2.15903357218018</v>
      </c>
    </row>
    <row r="102" customFormat="false" ht="17.15" hidden="false" customHeight="false" outlineLevel="0" collapsed="false">
      <c r="A102" s="5" t="s">
        <v>1425</v>
      </c>
      <c r="B102" s="0" t="s">
        <v>1491</v>
      </c>
      <c r="C102" s="0" t="s">
        <v>77</v>
      </c>
      <c r="D102" s="24" t="str">
        <f aca="false">IF(OR(D92="",D92="",D92=""),"",(D93/(D93+D94)*D92+D94/(D93+D94)*(CapexGW!$D$5*D92+CapexGW!$E$5*D92+CapexGW!$F$5*D92))/(D93+D94))</f>
        <v/>
      </c>
      <c r="E102" s="24" t="str">
        <f aca="false">IF(OR(E92="",D92="",E92=""),"",(E93/(E93+E94)*E92+E94/(E93+E94)*(CapexGW!$D$5*E92+CapexGW!$E$5*D92+CapexGW!$F$5*E92))/(E93+E94))</f>
        <v/>
      </c>
      <c r="F102" s="24" t="str">
        <f aca="false">IF(OR(F92="",E92="",D92=""),"",(F93/(F93+F94)*F92+F94/(F93+F94)*(CapexGW!$D$5*F92+CapexGW!$E$5*E92+CapexGW!$F$5*D92))/(F93+F94))</f>
        <v/>
      </c>
      <c r="G102" s="24" t="str">
        <f aca="false">IF(OR(G92="",F92="",E92=""),"",(G93/(G93+G94)*G92+G94/(G93+G94)*(CapexGW!$D$5*G92+CapexGW!$E$5*F92+CapexGW!$F$5*E92))/(G93+G94))</f>
        <v/>
      </c>
      <c r="H102" s="24" t="n">
        <f aca="false">IF(OR(H92="",G92="",F92=""),"",(H93/(H93+H94)*H92+H94/(H93+H94)*(CapexGW!$D$5*H92+CapexGW!$E$5*G92+CapexGW!$F$5*F92))/(H93+H94))</f>
        <v>1.61086507742391</v>
      </c>
      <c r="I102" s="24" t="n">
        <f aca="false">IF(OR(I92="",H92="",G92=""),"",(I93/(I93+I94)*I92+I94/(I93+I94)*(CapexGW!$D$5*I92+CapexGW!$E$5*H92+CapexGW!$F$5*G92))/(I93+I94))</f>
        <v>1.5506078171358</v>
      </c>
      <c r="J102" s="24" t="n">
        <f aca="false">IF(OR(J92="",I92="",H92=""),"",(J93/(J93+J94)*J92+J94/(J93+J94)*(CapexGW!$D$5*J92+CapexGW!$E$5*I92+CapexGW!$F$5*H92))/(J93+J94))</f>
        <v>1.50567769381404</v>
      </c>
      <c r="K102" s="24" t="n">
        <f aca="false">IF(OR(K92="",J92="",I92=""),"",(K93/(K93+K94)*K92+K94/(K93+K94)*(CapexGW!$D$5*K92+CapexGW!$E$5*J92+CapexGW!$F$5*I92))/(K93+K94))</f>
        <v>1.61275584161224</v>
      </c>
      <c r="L102" s="24" t="n">
        <f aca="false">IF(OR(L92="",K92="",J92=""),"",(L93/(L93+L94)*L92+L94/(L93+L94)*(CapexGW!$D$5*L92+CapexGW!$E$5*K92+CapexGW!$F$5*J92))/(L93+L94))</f>
        <v>1.77403142577347</v>
      </c>
      <c r="M102" s="24" t="n">
        <f aca="false">IF(OR(M92="",L92="",K92=""),"",(M93/(M93+M94)*M92+M94/(M93+M94)*(CapexGW!$D$5*M92+CapexGW!$E$5*L92+CapexGW!$F$5*K92))/(M93+M94))</f>
        <v>1.95143456835082</v>
      </c>
    </row>
    <row r="103" customFormat="false" ht="17.15" hidden="false" customHeight="false" outlineLevel="0" collapsed="false">
      <c r="A103" s="5" t="s">
        <v>1427</v>
      </c>
      <c r="B103" s="0" t="s">
        <v>1492</v>
      </c>
      <c r="C103" s="0" t="s">
        <v>77</v>
      </c>
      <c r="D103" s="24" t="str">
        <f aca="false">IF(OR(D92="",D92="",D92=""),"",(D93/(D93+D94)*D92+D94/(D93+D94)*(CapexGW!$D$6*D92+CapexGW!$E$6*D92+CapexGW!$F$6*D92))/(D93+D94))</f>
        <v/>
      </c>
      <c r="E103" s="24" t="str">
        <f aca="false">IF(OR(E92="",D92="",E92=""),"",(E93/(E93+E94)*E92+E94/(E93+E94)*(CapexGW!$D$6*E92+CapexGW!$E$6*D92+CapexGW!$F$6*E92))/(E93+E94))</f>
        <v/>
      </c>
      <c r="F103" s="24" t="str">
        <f aca="false">IF(OR(F92="",E92="",D92=""),"",(F93/(F93+F94)*F92+F94/(F93+F94)*(CapexGW!$D$6*F92+CapexGW!$E$6*E92+CapexGW!$F$6*D92))/(F93+F94))</f>
        <v/>
      </c>
      <c r="G103" s="24" t="str">
        <f aca="false">IF(OR(G92="",F92="",E92=""),"",(G93/(G93+G94)*G92+G94/(G93+G94)*(CapexGW!$D$6*G92+CapexGW!$E$6*F92+CapexGW!$F$6*E92))/(G93+G94))</f>
        <v/>
      </c>
      <c r="H103" s="24" t="n">
        <f aca="false">IF(OR(H92="",G92="",F92=""),"",(H93/(H93+H94)*H92+H94/(H93+H94)*(CapexGW!$D$6*H92+CapexGW!$E$6*G92+CapexGW!$F$6*F92))/(H93+H94))</f>
        <v>1.45507330177651</v>
      </c>
      <c r="I103" s="24" t="n">
        <f aca="false">IF(OR(I92="",H92="",G92=""),"",(I93/(I93+I94)*I92+I94/(I93+I94)*(CapexGW!$D$6*I92+CapexGW!$E$6*H92+CapexGW!$F$6*G92))/(I93+I94))</f>
        <v>1.46988797605982</v>
      </c>
      <c r="J103" s="24" t="n">
        <f aca="false">IF(OR(J92="",I92="",H92=""),"",(J93/(J93+J94)*J92+J94/(J93+J94)*(CapexGW!$D$6*J92+CapexGW!$E$6*I92+CapexGW!$F$6*H92))/(J93+J94))</f>
        <v>1.52906932337929</v>
      </c>
      <c r="K103" s="24" t="n">
        <f aca="false">IF(OR(K92="",J92="",I92=""),"",(K93/(K93+K94)*K92+K94/(K93+K94)*(CapexGW!$D$6*K92+CapexGW!$E$6*J92+CapexGW!$F$6*I92))/(K93+K94))</f>
        <v>1.61978328606131</v>
      </c>
      <c r="L103" s="24" t="n">
        <f aca="false">IF(OR(L92="",K92="",J92=""),"",(L93/(L93+L94)*L92+L94/(L93+L94)*(CapexGW!$D$6*L92+CapexGW!$E$6*K92+CapexGW!$F$6*J92))/(L93+L94))</f>
        <v>1.73827199308424</v>
      </c>
      <c r="M103" s="24" t="n">
        <f aca="false">IF(OR(M92="",L92="",K92=""),"",(M93/(M93+M94)*M92+M94/(M93+M94)*(CapexGW!$D$6*M92+CapexGW!$E$6*L92+CapexGW!$F$6*K92))/(M93+M94))</f>
        <v>1.91209919239267</v>
      </c>
    </row>
    <row r="105" customFormat="false" ht="17.15" hidden="false" customHeight="false" outlineLevel="0" collapsed="false">
      <c r="A105" s="8" t="s">
        <v>1076</v>
      </c>
      <c r="B105" s="20" t="s">
        <v>620</v>
      </c>
      <c r="N105" s="20" t="s">
        <v>1493</v>
      </c>
    </row>
    <row r="106" customFormat="false" ht="17.15" hidden="false" customHeight="false" outlineLevel="0" collapsed="false">
      <c r="A106" s="5" t="s">
        <v>1397</v>
      </c>
      <c r="B106" s="0" t="s">
        <v>1078</v>
      </c>
      <c r="C106" s="0" t="s">
        <v>390</v>
      </c>
      <c r="D106" s="19" t="str">
        <f aca="false">IF(In!H129="","",In!H129)</f>
        <v/>
      </c>
      <c r="E106" s="19" t="str">
        <f aca="false">IF(In!I129="","",In!I129)</f>
        <v/>
      </c>
      <c r="F106" s="19" t="str">
        <f aca="false">IF(In!J129="","",In!J129)</f>
        <v/>
      </c>
      <c r="G106" s="30" t="n">
        <f aca="false">IF(In!K129="","",In!K129)</f>
        <v>37</v>
      </c>
      <c r="H106" s="30" t="n">
        <f aca="false">IF(In!L129="","",In!L129)</f>
        <v>46.476</v>
      </c>
      <c r="I106" s="30" t="n">
        <f aca="false">IF(In!M129="","",In!M129)</f>
        <v>50.129</v>
      </c>
      <c r="J106" s="19" t="str">
        <f aca="false">IF(In!N129="","",In!N129)</f>
        <v/>
      </c>
      <c r="K106" s="19" t="str">
        <f aca="false">IF(In!O129="","",In!O129)</f>
        <v/>
      </c>
      <c r="L106" s="19" t="str">
        <f aca="false">IF(In!P129="","",In!P129)</f>
        <v/>
      </c>
      <c r="M106" s="19" t="str">
        <f aca="false">IF(In!Q129="","",In!Q129)</f>
        <v/>
      </c>
    </row>
    <row r="107" customFormat="false" ht="15" hidden="false" customHeight="false" outlineLevel="0" collapsed="false">
      <c r="A107" s="5" t="s">
        <v>1398</v>
      </c>
      <c r="B107" s="0" t="s">
        <v>1494</v>
      </c>
      <c r="C107" s="0" t="s">
        <v>35</v>
      </c>
      <c r="D107" s="26" t="n">
        <f aca="false">(D106&lt;&gt;"")</f>
        <v>0</v>
      </c>
      <c r="E107" s="26" t="n">
        <f aca="false">(E106&lt;&gt;"")+D107</f>
        <v>0</v>
      </c>
      <c r="F107" s="26" t="n">
        <f aca="false">(F106&lt;&gt;"")+E107</f>
        <v>0</v>
      </c>
      <c r="G107" s="26" t="n">
        <f aca="false">(G106&lt;&gt;"")+F107</f>
        <v>1</v>
      </c>
      <c r="H107" s="26" t="n">
        <f aca="false">(H106&lt;&gt;"")+G107</f>
        <v>2</v>
      </c>
      <c r="I107" s="26" t="n">
        <f aca="false">(I106&lt;&gt;"")+H107</f>
        <v>3</v>
      </c>
      <c r="J107" s="26" t="n">
        <f aca="false">(J106&lt;&gt;"")+I107</f>
        <v>3</v>
      </c>
      <c r="K107" s="26" t="n">
        <f aca="false">(K106&lt;&gt;"")+J107</f>
        <v>3</v>
      </c>
      <c r="L107" s="26" t="n">
        <f aca="false">(L106&lt;&gt;"")+K107</f>
        <v>3</v>
      </c>
      <c r="M107" s="26" t="n">
        <f aca="false">(M106&lt;&gt;"")+L107</f>
        <v>3</v>
      </c>
    </row>
    <row r="108" customFormat="false" ht="15" hidden="false" customHeight="false" outlineLevel="0" collapsed="false">
      <c r="A108" s="5" t="s">
        <v>1400</v>
      </c>
      <c r="B108" s="0" t="s">
        <v>1083</v>
      </c>
      <c r="C108" s="0" t="s">
        <v>390</v>
      </c>
      <c r="D108" s="31" t="n">
        <f aca="false">IF(D106&lt;&gt;"",D106,E108)</f>
        <v>37</v>
      </c>
      <c r="E108" s="31" t="n">
        <f aca="false">IF(E106&lt;&gt;"",E106,F108)</f>
        <v>37</v>
      </c>
      <c r="F108" s="31" t="n">
        <f aca="false">IF(F106&lt;&gt;"",F106,G108)</f>
        <v>37</v>
      </c>
      <c r="G108" s="31" t="n">
        <f aca="false">IF(G106&lt;&gt;"",G106,H108)</f>
        <v>37</v>
      </c>
      <c r="H108" s="31" t="n">
        <f aca="false">IF(H106&lt;&gt;"",H106,I108)</f>
        <v>46.476</v>
      </c>
      <c r="I108" s="31" t="n">
        <f aca="false">IF(I106&lt;&gt;"",I106,J108)</f>
        <v>50.129</v>
      </c>
      <c r="J108" s="0" t="str">
        <f aca="false">IF(J106&lt;&gt;"",J106,K108)</f>
        <v/>
      </c>
      <c r="K108" s="0" t="str">
        <f aca="false">IF(K106&lt;&gt;"",K106,L108)</f>
        <v/>
      </c>
      <c r="L108" s="0" t="str">
        <f aca="false">IF(L106&lt;&gt;"",L106,M108)</f>
        <v/>
      </c>
      <c r="M108" s="0" t="str">
        <f aca="false">IF(M106&lt;&gt;"",M106,"")</f>
        <v/>
      </c>
    </row>
    <row r="109" customFormat="false" ht="15" hidden="false" customHeight="false" outlineLevel="0" collapsed="false">
      <c r="A109" s="5" t="s">
        <v>1401</v>
      </c>
      <c r="B109" s="0" t="s">
        <v>1495</v>
      </c>
      <c r="C109" s="0" t="s">
        <v>390</v>
      </c>
      <c r="D109" s="32" t="str">
        <f aca="false">IF(D106&lt;&gt;"",D106,IF(0&gt;0,""*(1+cap_g_ext),""))</f>
        <v/>
      </c>
      <c r="E109" s="32" t="str">
        <f aca="false">IF(E106&lt;&gt;"",E106,IF(D107&gt;0,D109*(1+cap_g_ext),""))</f>
        <v/>
      </c>
      <c r="F109" s="32" t="str">
        <f aca="false">IF(F106&lt;&gt;"",F106,IF(E107&gt;0,E109*(1+cap_g_ext),""))</f>
        <v/>
      </c>
      <c r="G109" s="32" t="n">
        <f aca="false">IF(G106&lt;&gt;"",G106,IF(F107&gt;0,F109*(1+cap_g_ext),""))</f>
        <v>37</v>
      </c>
      <c r="H109" s="32" t="n">
        <f aca="false">IF(H106&lt;&gt;"",H106,IF(G107&gt;0,G109*(1+cap_g_ext),""))</f>
        <v>46.476</v>
      </c>
      <c r="I109" s="32" t="n">
        <f aca="false">IF(I106&lt;&gt;"",I106,IF(H107&gt;0,H109*(1+cap_g_ext),""))</f>
        <v>50.129</v>
      </c>
      <c r="J109" s="32" t="n">
        <f aca="false">IF(J106&lt;&gt;"",J106,IF(I107&gt;0,I109*(1+cap_g_ext),""))</f>
        <v>55.1419</v>
      </c>
      <c r="K109" s="32" t="n">
        <f aca="false">IF(K106&lt;&gt;"",K106,IF(J107&gt;0,J109*(1+cap_g_ext),""))</f>
        <v>60.65609</v>
      </c>
      <c r="L109" s="32" t="n">
        <f aca="false">IF(L106&lt;&gt;"",L106,IF(K107&gt;0,K109*(1+cap_g_ext),""))</f>
        <v>66.721699</v>
      </c>
      <c r="M109" s="32" t="n">
        <f aca="false">IF(M106&lt;&gt;"",M106,IF(L107&gt;0,L109*(1+cap_g_ext),""))</f>
        <v>73.3938689</v>
      </c>
    </row>
    <row r="110" customFormat="false" ht="15" hidden="false" customHeight="false" outlineLevel="0" collapsed="false">
      <c r="A110" s="5" t="s">
        <v>1403</v>
      </c>
      <c r="B110" s="0" t="s">
        <v>1496</v>
      </c>
      <c r="C110" s="0" t="s">
        <v>390</v>
      </c>
      <c r="D110" s="32" t="str">
        <f aca="false">IF(OR(D109="",AND(fye_crwv&lt;12,E109="")),"",D109*fye_crwv/12+IF(fye_crwv&lt;12,E109,0)*(12-fye_crwv)/12)</f>
        <v/>
      </c>
      <c r="E110" s="32" t="str">
        <f aca="false">IF(OR(E109="",AND(fye_crwv&lt;12,F109="")),"",E109*fye_crwv/12+IF(fye_crwv&lt;12,F109,0)*(12-fye_crwv)/12)</f>
        <v/>
      </c>
      <c r="F110" s="32" t="str">
        <f aca="false">IF(OR(F109="",AND(fye_crwv&lt;12,G109="")),"",F109*fye_crwv/12+IF(fye_crwv&lt;12,G109,0)*(12-fye_crwv)/12)</f>
        <v/>
      </c>
      <c r="G110" s="32" t="n">
        <f aca="false">IF(OR(G109="",AND(fye_crwv&lt;12,H109="")),"",G109*fye_crwv/12+IF(fye_crwv&lt;12,H109,0)*(12-fye_crwv)/12)</f>
        <v>37</v>
      </c>
      <c r="H110" s="32" t="n">
        <f aca="false">IF(OR(H109="",AND(fye_crwv&lt;12,I109="")),"",H109*fye_crwv/12+IF(fye_crwv&lt;12,I109,0)*(12-fye_crwv)/12)</f>
        <v>46.476</v>
      </c>
      <c r="I110" s="32" t="n">
        <f aca="false">IF(OR(I109="",AND(fye_crwv&lt;12,J109="")),"",I109*fye_crwv/12+IF(fye_crwv&lt;12,J109,0)*(12-fye_crwv)/12)</f>
        <v>50.129</v>
      </c>
      <c r="J110" s="32" t="n">
        <f aca="false">IF(OR(J109="",AND(fye_crwv&lt;12,K109="")),"",J109*fye_crwv/12+IF(fye_crwv&lt;12,K109,0)*(12-fye_crwv)/12)</f>
        <v>55.1419</v>
      </c>
      <c r="K110" s="32" t="n">
        <f aca="false">IF(OR(K109="",AND(fye_crwv&lt;12,L109="")),"",K109*fye_crwv/12+IF(fye_crwv&lt;12,L109,0)*(12-fye_crwv)/12)</f>
        <v>60.65609</v>
      </c>
      <c r="L110" s="32" t="n">
        <f aca="false">IF(OR(L109="",AND(fye_crwv&lt;12,M109="")),"",L109*fye_crwv/12+IF(fye_crwv&lt;12,M109,0)*(12-fye_crwv)/12)</f>
        <v>66.721699</v>
      </c>
      <c r="M110" s="32" t="n">
        <f aca="false">IF(OR(M109="",AND(fye_crwv&lt;12,IF(M109="","",M109*(1+cap_g_ext))="")),"",M109*fye_crwv/12+IF(fye_crwv&lt;12,IF(M109="","",M109*(1+cap_g_ext)),0)*(12-fye_crwv)/12)</f>
        <v>73.3938689</v>
      </c>
    </row>
    <row r="111" customFormat="false" ht="17.15" hidden="false" customHeight="false" outlineLevel="0" collapsed="false">
      <c r="A111" s="5" t="s">
        <v>1405</v>
      </c>
      <c r="B111" s="0" t="s">
        <v>1497</v>
      </c>
      <c r="C111" s="0" t="s">
        <v>390</v>
      </c>
      <c r="D111" s="32" t="str">
        <f aca="false">IF(D110="","",D110*ai_sh)</f>
        <v/>
      </c>
      <c r="E111" s="32" t="str">
        <f aca="false">IF(E110="","",E110*ai_sh)</f>
        <v/>
      </c>
      <c r="F111" s="32" t="str">
        <f aca="false">IF(F110="","",F110*ai_sh)</f>
        <v/>
      </c>
      <c r="G111" s="32" t="n">
        <f aca="false">IF(G110="","",G110*ai_sh)</f>
        <v>31.45</v>
      </c>
      <c r="H111" s="32" t="n">
        <f aca="false">IF(H110="","",H110*ai_sh)</f>
        <v>39.5046</v>
      </c>
      <c r="I111" s="32" t="n">
        <f aca="false">IF(I110="","",I110*ai_sh)</f>
        <v>42.60965</v>
      </c>
      <c r="J111" s="32" t="n">
        <f aca="false">IF(J110="","",J110*ai_sh)</f>
        <v>46.870615</v>
      </c>
      <c r="K111" s="32" t="n">
        <f aca="false">IF(K110="","",K110*ai_sh)</f>
        <v>51.5576765</v>
      </c>
      <c r="L111" s="32" t="n">
        <f aca="false">IF(L110="","",L110*ai_sh)</f>
        <v>56.71344415</v>
      </c>
      <c r="M111" s="32" t="n">
        <f aca="false">IF(M110="","",M110*ai_sh)</f>
        <v>62.384788565</v>
      </c>
    </row>
    <row r="112" customFormat="false" ht="17.15" hidden="false" customHeight="false" outlineLevel="0" collapsed="false">
      <c r="A112" s="5" t="s">
        <v>1407</v>
      </c>
      <c r="B112" s="0" t="s">
        <v>1498</v>
      </c>
      <c r="C112" s="0" t="s">
        <v>390</v>
      </c>
      <c r="D112" s="29" t="n">
        <f aca="false">(1-Players!D133)*D$7+Players!D133*TK_NonNV_Hold_AMD*TK_CapexIT_VR200</f>
        <v>27.510214</v>
      </c>
      <c r="E112" s="29" t="n">
        <f aca="false">(1-Players!E133)*E$7+Players!E133*TK_NonNV_Hold_AMD*TK_CapexIT_VR200</f>
        <v>27.510214</v>
      </c>
      <c r="F112" s="29" t="n">
        <f aca="false">(1-Players!F133)*F$7+Players!F133*TK_NonNV_Hold_AMD*TK_CapexIT_VR200</f>
        <v>26.009088</v>
      </c>
      <c r="G112" s="29" t="n">
        <f aca="false">(1-Players!G133)*G$7+Players!G133*TK_NonNV_Hold_AMD*TK_CapexIT_VR200</f>
        <v>33.41403216</v>
      </c>
      <c r="H112" s="29" t="n">
        <f aca="false">(1-Players!H133)*H$7+Players!H133*TK_NonNV_Hold_AMD*TK_CapexIT_VR200</f>
        <v>38.3403893327246</v>
      </c>
      <c r="I112" s="29" t="n">
        <f aca="false">(1-Players!I133)*I$7+Players!I133*TK_NonNV_Hold_AMD*TK_CapexIT_VR200</f>
        <v>41.3326208898258</v>
      </c>
      <c r="J112" s="29" t="n">
        <f aca="false">(1-Players!J133)*J$7+Players!J133*TK_NonNV_Hold_AMD*TK_CapexIT_VR200</f>
        <v>41.3326208898258</v>
      </c>
      <c r="K112" s="29" t="n">
        <f aca="false">(1-Players!K133)*K$7+Players!K133*TK_NonNV_Hold_AMD*TK_CapexIT_VR200</f>
        <v>41.3326208898258</v>
      </c>
      <c r="L112" s="29" t="n">
        <f aca="false">(1-Players!L133)*L$7+Players!L133*TK_NonNV_Hold_AMD*TK_CapexIT_VR200</f>
        <v>41.3326208898258</v>
      </c>
      <c r="M112" s="29" t="n">
        <f aca="false">(1-Players!M133)*M$7+Players!M133*TK_NonNV_Hold_AMD*TK_CapexIT_VR200</f>
        <v>41.3326208898258</v>
      </c>
    </row>
    <row r="113" customFormat="false" ht="17.15" hidden="false" customHeight="false" outlineLevel="0" collapsed="false">
      <c r="A113" s="5" t="s">
        <v>1409</v>
      </c>
      <c r="B113" s="0" t="s">
        <v>1499</v>
      </c>
      <c r="C113" s="0" t="s">
        <v>390</v>
      </c>
      <c r="D113" s="29" t="n">
        <f aca="false">(1-Players!D133)*D$8+Players!D133*TK_NonNV_Hold_AMD*TK_CapexFacility_VR200</f>
        <v>12.67</v>
      </c>
      <c r="E113" s="29" t="n">
        <f aca="false">(1-Players!E133)*E$8+Players!E133*TK_NonNV_Hold_AMD*TK_CapexFacility_VR200</f>
        <v>12.67</v>
      </c>
      <c r="F113" s="29" t="n">
        <f aca="false">(1-Players!F133)*F$8+Players!F133*TK_NonNV_Hold_AMD*TK_CapexFacility_VR200</f>
        <v>12.67</v>
      </c>
      <c r="G113" s="29" t="n">
        <f aca="false">(1-Players!G133)*G$8+Players!G133*TK_NonNV_Hold_AMD*TK_CapexFacility_VR200</f>
        <v>12.67</v>
      </c>
      <c r="H113" s="29" t="n">
        <f aca="false">(1-Players!H133)*H$8+Players!H133*TK_NonNV_Hold_AMD*TK_CapexFacility_VR200</f>
        <v>12.67</v>
      </c>
      <c r="I113" s="29" t="n">
        <f aca="false">(1-Players!I133)*I$8+Players!I133*TK_NonNV_Hold_AMD*TK_CapexFacility_VR200</f>
        <v>12.67</v>
      </c>
      <c r="J113" s="29" t="n">
        <f aca="false">(1-Players!J133)*J$8+Players!J133*TK_NonNV_Hold_AMD*TK_CapexFacility_VR200</f>
        <v>12.67</v>
      </c>
      <c r="K113" s="29" t="n">
        <f aca="false">(1-Players!K133)*K$8+Players!K133*TK_NonNV_Hold_AMD*TK_CapexFacility_VR200</f>
        <v>12.67</v>
      </c>
      <c r="L113" s="29" t="n">
        <f aca="false">(1-Players!L133)*L$8+Players!L133*TK_NonNV_Hold_AMD*TK_CapexFacility_VR200</f>
        <v>12.67</v>
      </c>
      <c r="M113" s="29" t="n">
        <f aca="false">(1-Players!M133)*M$8+Players!M133*TK_NonNV_Hold_AMD*TK_CapexFacility_VR200</f>
        <v>12.67</v>
      </c>
    </row>
    <row r="114" customFormat="false" ht="17.15" hidden="false" customHeight="false" outlineLevel="0" collapsed="false">
      <c r="A114" s="5" t="s">
        <v>1411</v>
      </c>
      <c r="B114" s="0" t="s">
        <v>1500</v>
      </c>
      <c r="C114" s="0" t="s">
        <v>390</v>
      </c>
      <c r="D114" s="32" t="str">
        <f aca="false">IF(OR(D111="",D111="",D111=""),"",D112/(D112+D113)*D111+D113/(D112+D113)*(CapexGW!$D$4*D111+CapexGW!$E$4*D111+CapexGW!$F$4*D111))</f>
        <v/>
      </c>
      <c r="E114" s="32" t="str">
        <f aca="false">IF(OR(E111="",D111="",E111=""),"",E112/(E112+E113)*E111+E113/(E112+E113)*(CapexGW!$D$4*E111+CapexGW!$E$4*D111+CapexGW!$F$4*E111))</f>
        <v/>
      </c>
      <c r="F114" s="32" t="str">
        <f aca="false">IF(OR(F111="",E111="",D111=""),"",F112/(F112+F113)*F111+F113/(F112+F113)*(CapexGW!$D$4*F111+CapexGW!$E$4*E111+CapexGW!$F$4*D111))</f>
        <v/>
      </c>
      <c r="G114" s="32" t="str">
        <f aca="false">IF(OR(G111="",F111="",E111=""),"",G112/(G112+G113)*G111+G113/(G112+G113)*(CapexGW!$D$4*G111+CapexGW!$E$4*F111+CapexGW!$F$4*E111))</f>
        <v/>
      </c>
      <c r="H114" s="32" t="str">
        <f aca="false">IF(OR(H111="",G111="",F111=""),"",H112/(H112+H113)*H111+H113/(H112+H113)*(CapexGW!$D$4*H111+CapexGW!$E$4*G111+CapexGW!$F$4*F111))</f>
        <v/>
      </c>
      <c r="I114" s="32" t="n">
        <f aca="false">IF(OR(I111="",H111="",G111=""),"",I112/(I112+I113)*I111+I113/(I112+I113)*(CapexGW!$D$4*I111+CapexGW!$E$4*H111+CapexGW!$F$4*G111))</f>
        <v>40.9362705785759</v>
      </c>
      <c r="J114" s="32" t="n">
        <f aca="false">IF(OR(J111="",I111="",H111=""),"",J112/(J112+J113)*J111+J113/(J112+J113)*(CapexGW!$D$4*J111+CapexGW!$E$4*I111+CapexGW!$F$4*H111))</f>
        <v>45.5066641937924</v>
      </c>
      <c r="K114" s="32" t="n">
        <f aca="false">IF(OR(K111="",J111="",I111=""),"",K112/(K112+K113)*K111+K113/(K112+K113)*(CapexGW!$D$4*K111+CapexGW!$E$4*J111+CapexGW!$F$4*I111))</f>
        <v>49.9581563090036</v>
      </c>
      <c r="L114" s="32" t="n">
        <f aca="false">IF(OR(L111="",K111="",J111=""),"",L112/(L112+L113)*L111+L113/(L112+L113)*(CapexGW!$D$4*L111+CapexGW!$E$4*K111+CapexGW!$F$4*J111))</f>
        <v>54.953971939904</v>
      </c>
      <c r="M114" s="32" t="n">
        <f aca="false">IF(OR(M111="",L111="",K111=""),"",M112/(M112+M113)*M111+M113/(M112+M113)*(CapexGW!$D$4*M111+CapexGW!$E$4*L111+CapexGW!$F$4*K111))</f>
        <v>60.4493691338944</v>
      </c>
    </row>
    <row r="115" customFormat="false" ht="17.15" hidden="false" customHeight="false" outlineLevel="0" collapsed="false">
      <c r="A115" s="5" t="s">
        <v>1413</v>
      </c>
      <c r="B115" s="0" t="s">
        <v>1501</v>
      </c>
      <c r="C115" s="0" t="s">
        <v>77</v>
      </c>
      <c r="D115" s="25" t="str">
        <f aca="false">IF(D114="","",D114/(D112+D113))</f>
        <v/>
      </c>
      <c r="E115" s="25" t="str">
        <f aca="false">IF(E114="","",E114/(E112+E113))</f>
        <v/>
      </c>
      <c r="F115" s="25" t="str">
        <f aca="false">IF(F114="","",F114/(F112+F113))</f>
        <v/>
      </c>
      <c r="G115" s="25" t="str">
        <f aca="false">IF(G114="","",G114/(G112+G113))</f>
        <v/>
      </c>
      <c r="H115" s="25" t="str">
        <f aca="false">IF(H114="","",H114/(H112+H113))</f>
        <v/>
      </c>
      <c r="I115" s="25" t="n">
        <f aca="false">IF(I114="","",I114/(I112+I113))</f>
        <v>0.758042293208187</v>
      </c>
      <c r="J115" s="25" t="n">
        <f aca="false">IF(J114="","",J114/(J112+J113))</f>
        <v>0.842675104355277</v>
      </c>
      <c r="K115" s="25" t="n">
        <f aca="false">IF(K114="","",K114/(K112+K113))</f>
        <v>0.925106142735673</v>
      </c>
      <c r="L115" s="25" t="n">
        <f aca="false">IF(L114="","",L114/(L112+L113))</f>
        <v>1.01761675700924</v>
      </c>
      <c r="M115" s="25" t="n">
        <f aca="false">IF(M114="","",M114/(M112+M113))</f>
        <v>1.11937843271016</v>
      </c>
    </row>
    <row r="116" customFormat="false" ht="17.15" hidden="false" customHeight="false" outlineLevel="0" collapsed="false">
      <c r="A116" s="5" t="s">
        <v>1415</v>
      </c>
      <c r="B116" s="0" t="s">
        <v>1502</v>
      </c>
      <c r="C116" s="0" t="s">
        <v>77</v>
      </c>
      <c r="D116" s="19" t="n">
        <f aca="false">Players!D131</f>
        <v>0</v>
      </c>
      <c r="E116" s="27" t="n">
        <f aca="false">Players!E131</f>
        <v>0.29</v>
      </c>
      <c r="F116" s="27" t="n">
        <f aca="false">Players!F131</f>
        <v>0.49</v>
      </c>
      <c r="G116" s="27" t="n">
        <f aca="false">Players!G131</f>
        <v>1</v>
      </c>
      <c r="H116" s="27" t="n">
        <f aca="false">Players!H131</f>
        <v>1.5375</v>
      </c>
      <c r="I116" s="27" t="n">
        <f aca="false">Players!I131</f>
        <v>1.5375</v>
      </c>
      <c r="J116" s="27" t="n">
        <f aca="false">Players!J131</f>
        <v>1.5375</v>
      </c>
      <c r="K116" s="27" t="n">
        <f aca="false">Players!K131</f>
        <v>1.5375</v>
      </c>
      <c r="L116" s="27" t="n">
        <f aca="false">Players!L131</f>
        <v>0</v>
      </c>
      <c r="M116" s="27" t="n">
        <f aca="false">Players!M131</f>
        <v>0</v>
      </c>
    </row>
    <row r="117" customFormat="false" ht="17.15" hidden="false" customHeight="false" outlineLevel="0" collapsed="false">
      <c r="A117" s="5" t="s">
        <v>1417</v>
      </c>
      <c r="B117" s="0" t="s">
        <v>1503</v>
      </c>
      <c r="C117" s="0" t="s">
        <v>77</v>
      </c>
      <c r="D117" s="24" t="n">
        <f aca="false">IF(AND(2023&gt;=2027,D115&lt;&gt;""),D115,D116)</f>
        <v>0</v>
      </c>
      <c r="E117" s="24" t="n">
        <f aca="false">IF(AND(2024&gt;=2027,E115&lt;&gt;""),E115,E116)</f>
        <v>0.29</v>
      </c>
      <c r="F117" s="24" t="n">
        <f aca="false">IF(AND(2025&gt;=2027,F115&lt;&gt;""),F115,F116)</f>
        <v>0.49</v>
      </c>
      <c r="G117" s="24" t="n">
        <f aca="false">IF(AND(2026&gt;=2027,G115&lt;&gt;""),G115,G116)</f>
        <v>1</v>
      </c>
      <c r="H117" s="24" t="n">
        <f aca="false">IF(AND(2027&gt;=2027,H115&lt;&gt;""),H115,H116)</f>
        <v>1.5375</v>
      </c>
      <c r="I117" s="24" t="n">
        <f aca="false">IF(AND(2028&gt;=2027,I115&lt;&gt;""),I115,I116)</f>
        <v>0.758042293208187</v>
      </c>
      <c r="J117" s="24" t="n">
        <f aca="false">IF(AND(2029&gt;=2027,J115&lt;&gt;""),J115,J116)</f>
        <v>0.842675104355277</v>
      </c>
      <c r="K117" s="24" t="n">
        <f aca="false">IF(AND(2030&gt;=2027,K115&lt;&gt;""),K115,K116)</f>
        <v>0.925106142735673</v>
      </c>
      <c r="L117" s="24" t="n">
        <f aca="false">IF(AND(2031&gt;=2027,L115&lt;&gt;""),L115,L116)</f>
        <v>1.01761675700924</v>
      </c>
      <c r="M117" s="24" t="n">
        <f aca="false">IF(AND(2032&gt;=2027,M115&lt;&gt;""),M115,M116)</f>
        <v>1.11937843271016</v>
      </c>
    </row>
    <row r="118" customFormat="false" ht="17.15" hidden="false" customHeight="false" outlineLevel="0" collapsed="false">
      <c r="A118" s="5" t="s">
        <v>1419</v>
      </c>
      <c r="B118" s="0" t="s">
        <v>1504</v>
      </c>
      <c r="C118" s="0" t="s">
        <v>77</v>
      </c>
      <c r="D118" s="24" t="n">
        <f aca="false">N(Players!D125)</f>
        <v>0.07</v>
      </c>
      <c r="E118" s="24" t="n">
        <f aca="false">IF(2024&gt;=2027,D118+E117,N(Players!E125))</f>
        <v>0.36</v>
      </c>
      <c r="F118" s="24" t="n">
        <f aca="false">IF(2025&gt;=2027,E118+F117,N(Players!F125))</f>
        <v>0.85</v>
      </c>
      <c r="G118" s="24" t="n">
        <f aca="false">IF(2026&gt;=2027,F118+G117,N(Players!G125))</f>
        <v>1.85</v>
      </c>
      <c r="H118" s="24" t="n">
        <f aca="false">IF(2027&gt;=2027,G118+H117,N(Players!H125))</f>
        <v>3.3875</v>
      </c>
      <c r="I118" s="24" t="n">
        <f aca="false">IF(2028&gt;=2027,H118+I117,N(Players!I125))</f>
        <v>4.14554229320819</v>
      </c>
      <c r="J118" s="24" t="n">
        <f aca="false">IF(2029&gt;=2027,I118+J117,N(Players!J125))</f>
        <v>4.98821739756346</v>
      </c>
      <c r="K118" s="24" t="n">
        <f aca="false">IF(2030&gt;=2027,J118+K117,N(Players!K125))</f>
        <v>5.91332354029914</v>
      </c>
      <c r="L118" s="24" t="n">
        <f aca="false">IF(2031&gt;=2027,K118+L117,N(Players!L125))</f>
        <v>6.93094029730838</v>
      </c>
      <c r="M118" s="24" t="n">
        <f aca="false">IF(2032&gt;=2027,L118+M117,N(Players!M125))</f>
        <v>8.05031873001854</v>
      </c>
    </row>
    <row r="119" customFormat="false" ht="17.15" hidden="false" customHeight="false" outlineLevel="0" collapsed="false">
      <c r="A119" s="5" t="s">
        <v>1421</v>
      </c>
      <c r="B119" s="0" t="s">
        <v>1505</v>
      </c>
      <c r="C119" s="0" t="s">
        <v>77</v>
      </c>
      <c r="D119" s="24" t="str">
        <f aca="false">IF(D115="","",D115*ai_sh_lo/ai_sh)</f>
        <v/>
      </c>
      <c r="E119" s="24" t="str">
        <f aca="false">IF(E115="","",E115*ai_sh_lo/ai_sh)</f>
        <v/>
      </c>
      <c r="F119" s="24" t="str">
        <f aca="false">IF(F115="","",F115*ai_sh_lo/ai_sh)</f>
        <v/>
      </c>
      <c r="G119" s="24" t="str">
        <f aca="false">IF(G115="","",G115*ai_sh_lo/ai_sh)</f>
        <v/>
      </c>
      <c r="H119" s="24" t="str">
        <f aca="false">IF(H115="","",H115*ai_sh_lo/ai_sh)</f>
        <v/>
      </c>
      <c r="I119" s="24" t="n">
        <f aca="false">IF(I115="","",I115*ai_sh_lo/ai_sh)</f>
        <v>0.668860846948401</v>
      </c>
      <c r="J119" s="24" t="n">
        <f aca="false">IF(J115="","",J115*ai_sh_lo/ai_sh)</f>
        <v>0.743536856784068</v>
      </c>
      <c r="K119" s="24" t="n">
        <f aca="false">IF(K115="","",K115*ai_sh_lo/ai_sh)</f>
        <v>0.816270125943241</v>
      </c>
      <c r="L119" s="24" t="n">
        <f aca="false">IF(L115="","",L115*ai_sh_lo/ai_sh)</f>
        <v>0.897897138537565</v>
      </c>
      <c r="M119" s="24" t="n">
        <f aca="false">IF(M115="","",M115*ai_sh_lo/ai_sh)</f>
        <v>0.987686852391321</v>
      </c>
    </row>
    <row r="120" customFormat="false" ht="17.15" hidden="false" customHeight="false" outlineLevel="0" collapsed="false">
      <c r="A120" s="5" t="s">
        <v>1423</v>
      </c>
      <c r="B120" s="0" t="s">
        <v>1506</v>
      </c>
      <c r="C120" s="0" t="s">
        <v>77</v>
      </c>
      <c r="D120" s="24" t="str">
        <f aca="false">IF(D115="","",D115*ai_sh_hi/ai_sh)</f>
        <v/>
      </c>
      <c r="E120" s="24" t="str">
        <f aca="false">IF(E115="","",E115*ai_sh_hi/ai_sh)</f>
        <v/>
      </c>
      <c r="F120" s="24" t="str">
        <f aca="false">IF(F115="","",F115*ai_sh_hi/ai_sh)</f>
        <v/>
      </c>
      <c r="G120" s="24" t="str">
        <f aca="false">IF(G115="","",G115*ai_sh_hi/ai_sh)</f>
        <v/>
      </c>
      <c r="H120" s="24" t="str">
        <f aca="false">IF(H115="","",H115*ai_sh_hi/ai_sh)</f>
        <v/>
      </c>
      <c r="I120" s="24" t="n">
        <f aca="false">IF(I115="","",I115*ai_sh_hi/ai_sh)</f>
        <v>0.847223739467974</v>
      </c>
      <c r="J120" s="24" t="n">
        <f aca="false">IF(J115="","",J115*ai_sh_hi/ai_sh)</f>
        <v>0.941813351926486</v>
      </c>
      <c r="K120" s="24" t="n">
        <f aca="false">IF(K115="","",K115*ai_sh_hi/ai_sh)</f>
        <v>1.0339421595281</v>
      </c>
      <c r="L120" s="24" t="n">
        <f aca="false">IF(L115="","",L115*ai_sh_hi/ai_sh)</f>
        <v>1.13733637548092</v>
      </c>
      <c r="M120" s="24" t="n">
        <f aca="false">IF(M115="","",M115*ai_sh_hi/ai_sh)</f>
        <v>1.25107001302901</v>
      </c>
    </row>
    <row r="121" customFormat="false" ht="17.15" hidden="false" customHeight="false" outlineLevel="0" collapsed="false">
      <c r="A121" s="5" t="s">
        <v>1425</v>
      </c>
      <c r="B121" s="0" t="s">
        <v>1507</v>
      </c>
      <c r="C121" s="0" t="s">
        <v>77</v>
      </c>
      <c r="D121" s="24" t="str">
        <f aca="false">IF(OR(D111="",D111="",D111=""),"",(D112/(D112+D113)*D111+D113/(D112+D113)*(CapexGW!$D$5*D111+CapexGW!$E$5*D111+CapexGW!$F$5*D111))/(D112+D113))</f>
        <v/>
      </c>
      <c r="E121" s="24" t="str">
        <f aca="false">IF(OR(E111="",D111="",E111=""),"",(E112/(E112+E113)*E111+E113/(E112+E113)*(CapexGW!$D$5*E111+CapexGW!$E$5*D111+CapexGW!$F$5*E111))/(E112+E113))</f>
        <v/>
      </c>
      <c r="F121" s="24" t="str">
        <f aca="false">IF(OR(F111="",E111="",D111=""),"",(F112/(F112+F113)*F111+F113/(F112+F113)*(CapexGW!$D$5*F111+CapexGW!$E$5*E111+CapexGW!$F$5*D111))/(F112+F113))</f>
        <v/>
      </c>
      <c r="G121" s="24" t="str">
        <f aca="false">IF(OR(G111="",F111="",E111=""),"",(G112/(G112+G113)*G111+G113/(G112+G113)*(CapexGW!$D$5*G111+CapexGW!$E$5*F111+CapexGW!$F$5*E111))/(G112+G113))</f>
        <v/>
      </c>
      <c r="H121" s="24" t="str">
        <f aca="false">IF(OR(H111="",G111="",F111=""),"",(H112/(H112+H113)*H111+H113/(H112+H113)*(CapexGW!$D$5*H111+CapexGW!$E$5*G111+CapexGW!$F$5*F111))/(H112+H113))</f>
        <v/>
      </c>
      <c r="I121" s="24" t="n">
        <f aca="false">IF(OR(I111="",H111="",G111=""),"",(I112/(I112+I113)*I111+I113/(I112+I113)*(CapexGW!$D$5*I111+CapexGW!$E$5*H111+CapexGW!$F$5*G111))/(I112+I113))</f>
        <v>0.775539185621652</v>
      </c>
      <c r="J121" s="24" t="n">
        <f aca="false">IF(OR(J111="",I111="",H111=""),"",(J112/(J112+J113)*J111+J113/(J112+J113)*(CapexGW!$D$5*J111+CapexGW!$E$5*I111+CapexGW!$F$5*H111))/(J112+J113))</f>
        <v>0.849420160073553</v>
      </c>
      <c r="K121" s="24" t="n">
        <f aca="false">IF(OR(K111="",J111="",I111=""),"",(K112/(K112+K113)*K111+K113/(K112+K113)*(CapexGW!$D$5*K111+CapexGW!$E$5*J111+CapexGW!$F$5*I111))/(K112+K113))</f>
        <v>0.934362176080909</v>
      </c>
      <c r="L121" s="24" t="n">
        <f aca="false">IF(OR(L111="",K111="",J111=""),"",(L112/(L112+L113)*L111+L113/(L112+L113)*(CapexGW!$D$5*L111+CapexGW!$E$5*K111+CapexGW!$F$5*J111))/(L112+L113))</f>
        <v>1.027798393689</v>
      </c>
      <c r="M121" s="24" t="n">
        <f aca="false">IF(OR(M111="",L111="",K111=""),"",(M112/(M112+M113)*M111+M113/(M112+M113)*(CapexGW!$D$5*M111+CapexGW!$E$5*L111+CapexGW!$F$5*K111))/(M112+M113))</f>
        <v>1.1305782330579</v>
      </c>
    </row>
    <row r="122" customFormat="false" ht="17.15" hidden="false" customHeight="false" outlineLevel="0" collapsed="false">
      <c r="A122" s="5" t="s">
        <v>1427</v>
      </c>
      <c r="B122" s="0" t="s">
        <v>1508</v>
      </c>
      <c r="C122" s="0" t="s">
        <v>77</v>
      </c>
      <c r="D122" s="24" t="str">
        <f aca="false">IF(OR(D111="",D111="",D111=""),"",(D112/(D112+D113)*D111+D113/(D112+D113)*(CapexGW!$D$6*D111+CapexGW!$E$6*D111+CapexGW!$F$6*D111))/(D112+D113))</f>
        <v/>
      </c>
      <c r="E122" s="24" t="str">
        <f aca="false">IF(OR(E111="",D111="",E111=""),"",(E112/(E112+E113)*E111+E113/(E112+E113)*(CapexGW!$D$6*E111+CapexGW!$E$6*D111+CapexGW!$F$6*E111))/(E112+E113))</f>
        <v/>
      </c>
      <c r="F122" s="24" t="str">
        <f aca="false">IF(OR(F111="",E111="",D111=""),"",(F112/(F112+F113)*F111+F113/(F112+F113)*(CapexGW!$D$6*F111+CapexGW!$E$6*E111+CapexGW!$F$6*D111))/(F112+F113))</f>
        <v/>
      </c>
      <c r="G122" s="24" t="str">
        <f aca="false">IF(OR(G111="",F111="",E111=""),"",(G112/(G112+G113)*G111+G113/(G112+G113)*(CapexGW!$D$6*G111+CapexGW!$E$6*F111+CapexGW!$F$6*E111))/(G112+G113))</f>
        <v/>
      </c>
      <c r="H122" s="24" t="str">
        <f aca="false">IF(OR(H111="",G111="",F111=""),"",(H112/(H112+H113)*H111+H113/(H112+H113)*(CapexGW!$D$6*H111+CapexGW!$E$6*G111+CapexGW!$F$6*F111))/(H112+H113))</f>
        <v/>
      </c>
      <c r="I122" s="24" t="n">
        <f aca="false">IF(OR(I111="",H111="",G111=""),"",(I112/(I112+I113)*I111+I113/(I112+I113)*(CapexGW!$D$6*I111+CapexGW!$E$6*H111+CapexGW!$F$6*G111))/(I112+I113))</f>
        <v>0.740545400794723</v>
      </c>
      <c r="J122" s="24" t="n">
        <f aca="false">IF(OR(J111="",I111="",H111=""),"",(J112/(J112+J113)*J111+J113/(J112+J113)*(CapexGW!$D$6*J111+CapexGW!$E$6*I111+CapexGW!$F$6*H111))/(J112+J113))</f>
        <v>0.835930048637001</v>
      </c>
      <c r="K122" s="24" t="n">
        <f aca="false">IF(OR(K111="",J111="",I111=""),"",(K112/(K112+K113)*K111+K113/(K112+K113)*(CapexGW!$D$6*K111+CapexGW!$E$6*J111+CapexGW!$F$6*I111))/(K112+K113))</f>
        <v>0.915850109390436</v>
      </c>
      <c r="L122" s="24" t="n">
        <f aca="false">IF(OR(L111="",K111="",J111=""),"",(L112/(L112+L113)*L111+L113/(L112+L113)*(CapexGW!$D$6*L111+CapexGW!$E$6*K111+CapexGW!$F$6*J111))/(L112+L113))</f>
        <v>1.00743512032948</v>
      </c>
      <c r="M122" s="24" t="n">
        <f aca="false">IF(OR(M111="",L111="",K111=""),"",(M112/(M112+M113)*M111+M113/(M112+M113)*(CapexGW!$D$6*M111+CapexGW!$E$6*L111+CapexGW!$F$6*K111))/(M112+M113))</f>
        <v>1.10817863236243</v>
      </c>
    </row>
    <row r="124" customFormat="false" ht="17.15" hidden="false" customHeight="false" outlineLevel="0" collapsed="false">
      <c r="A124" s="8" t="s">
        <v>1095</v>
      </c>
      <c r="B124" s="20" t="s">
        <v>651</v>
      </c>
      <c r="N124" s="20" t="s">
        <v>1509</v>
      </c>
    </row>
    <row r="125" customFormat="false" ht="17.15" hidden="false" customHeight="false" outlineLevel="0" collapsed="false">
      <c r="A125" s="5" t="s">
        <v>1397</v>
      </c>
      <c r="B125" s="0" t="s">
        <v>1097</v>
      </c>
      <c r="C125" s="0" t="s">
        <v>390</v>
      </c>
      <c r="D125" s="19" t="str">
        <f aca="false">IF(In!H130="","",In!H130)</f>
        <v/>
      </c>
      <c r="E125" s="19" t="str">
        <f aca="false">IF(In!I130="","",In!I130)</f>
        <v/>
      </c>
      <c r="F125" s="30" t="n">
        <f aca="false">IF(In!J130="","",In!J130)</f>
        <v>4.066</v>
      </c>
      <c r="G125" s="30" t="n">
        <f aca="false">IF(In!K130="","",In!K130)</f>
        <v>22.5</v>
      </c>
      <c r="H125" s="30" t="n">
        <f aca="false">IF(In!L130="","",In!L130)</f>
        <v>27.243</v>
      </c>
      <c r="I125" s="30" t="n">
        <f aca="false">IF(In!M130="","",In!M130)</f>
        <v>38.39</v>
      </c>
      <c r="J125" s="19" t="str">
        <f aca="false">IF(In!N130="","",In!N130)</f>
        <v/>
      </c>
      <c r="K125" s="19" t="str">
        <f aca="false">IF(In!O130="","",In!O130)</f>
        <v/>
      </c>
      <c r="L125" s="19" t="str">
        <f aca="false">IF(In!P130="","",In!P130)</f>
        <v/>
      </c>
      <c r="M125" s="19" t="str">
        <f aca="false">IF(In!Q130="","",In!Q130)</f>
        <v/>
      </c>
    </row>
    <row r="126" customFormat="false" ht="15" hidden="false" customHeight="false" outlineLevel="0" collapsed="false">
      <c r="A126" s="5" t="s">
        <v>1398</v>
      </c>
      <c r="B126" s="0" t="s">
        <v>1510</v>
      </c>
      <c r="C126" s="0" t="s">
        <v>35</v>
      </c>
      <c r="D126" s="26" t="n">
        <f aca="false">(D125&lt;&gt;"")</f>
        <v>0</v>
      </c>
      <c r="E126" s="26" t="n">
        <f aca="false">(E125&lt;&gt;"")+D126</f>
        <v>0</v>
      </c>
      <c r="F126" s="26" t="n">
        <f aca="false">(F125&lt;&gt;"")+E126</f>
        <v>1</v>
      </c>
      <c r="G126" s="26" t="n">
        <f aca="false">(G125&lt;&gt;"")+F126</f>
        <v>2</v>
      </c>
      <c r="H126" s="26" t="n">
        <f aca="false">(H125&lt;&gt;"")+G126</f>
        <v>3</v>
      </c>
      <c r="I126" s="26" t="n">
        <f aca="false">(I125&lt;&gt;"")+H126</f>
        <v>4</v>
      </c>
      <c r="J126" s="26" t="n">
        <f aca="false">(J125&lt;&gt;"")+I126</f>
        <v>4</v>
      </c>
      <c r="K126" s="26" t="n">
        <f aca="false">(K125&lt;&gt;"")+J126</f>
        <v>4</v>
      </c>
      <c r="L126" s="26" t="n">
        <f aca="false">(L125&lt;&gt;"")+K126</f>
        <v>4</v>
      </c>
      <c r="M126" s="26" t="n">
        <f aca="false">(M125&lt;&gt;"")+L126</f>
        <v>4</v>
      </c>
    </row>
    <row r="127" customFormat="false" ht="15" hidden="false" customHeight="false" outlineLevel="0" collapsed="false">
      <c r="A127" s="5" t="s">
        <v>1400</v>
      </c>
      <c r="B127" s="0" t="s">
        <v>1102</v>
      </c>
      <c r="C127" s="0" t="s">
        <v>390</v>
      </c>
      <c r="D127" s="31" t="n">
        <f aca="false">IF(D125&lt;&gt;"",D125,E127)</f>
        <v>4.066</v>
      </c>
      <c r="E127" s="31" t="n">
        <f aca="false">IF(E125&lt;&gt;"",E125,F127)</f>
        <v>4.066</v>
      </c>
      <c r="F127" s="31" t="n">
        <f aca="false">IF(F125&lt;&gt;"",F125,G127)</f>
        <v>4.066</v>
      </c>
      <c r="G127" s="31" t="n">
        <f aca="false">IF(G125&lt;&gt;"",G125,H127)</f>
        <v>22.5</v>
      </c>
      <c r="H127" s="31" t="n">
        <f aca="false">IF(H125&lt;&gt;"",H125,I127)</f>
        <v>27.243</v>
      </c>
      <c r="I127" s="31" t="n">
        <f aca="false">IF(I125&lt;&gt;"",I125,J127)</f>
        <v>38.39</v>
      </c>
      <c r="J127" s="0" t="str">
        <f aca="false">IF(J125&lt;&gt;"",J125,K127)</f>
        <v/>
      </c>
      <c r="K127" s="0" t="str">
        <f aca="false">IF(K125&lt;&gt;"",K125,L127)</f>
        <v/>
      </c>
      <c r="L127" s="0" t="str">
        <f aca="false">IF(L125&lt;&gt;"",L125,M127)</f>
        <v/>
      </c>
      <c r="M127" s="0" t="str">
        <f aca="false">IF(M125&lt;&gt;"",M125,"")</f>
        <v/>
      </c>
    </row>
    <row r="128" customFormat="false" ht="15" hidden="false" customHeight="false" outlineLevel="0" collapsed="false">
      <c r="A128" s="5" t="s">
        <v>1401</v>
      </c>
      <c r="B128" s="0" t="s">
        <v>1511</v>
      </c>
      <c r="C128" s="0" t="s">
        <v>390</v>
      </c>
      <c r="D128" s="32" t="str">
        <f aca="false">IF(D125&lt;&gt;"",D125,IF(0&gt;0,""*(1+cap_g_ext),""))</f>
        <v/>
      </c>
      <c r="E128" s="32" t="str">
        <f aca="false">IF(E125&lt;&gt;"",E125,IF(D126&gt;0,D128*(1+cap_g_ext),""))</f>
        <v/>
      </c>
      <c r="F128" s="32" t="n">
        <f aca="false">IF(F125&lt;&gt;"",F125,IF(E126&gt;0,E128*(1+cap_g_ext),""))</f>
        <v>4.066</v>
      </c>
      <c r="G128" s="32" t="n">
        <f aca="false">IF(G125&lt;&gt;"",G125,IF(F126&gt;0,F128*(1+cap_g_ext),""))</f>
        <v>22.5</v>
      </c>
      <c r="H128" s="32" t="n">
        <f aca="false">IF(H125&lt;&gt;"",H125,IF(G126&gt;0,G128*(1+cap_g_ext),""))</f>
        <v>27.243</v>
      </c>
      <c r="I128" s="32" t="n">
        <f aca="false">IF(I125&lt;&gt;"",I125,IF(H126&gt;0,H128*(1+cap_g_ext),""))</f>
        <v>38.39</v>
      </c>
      <c r="J128" s="32" t="n">
        <f aca="false">IF(J125&lt;&gt;"",J125,IF(I126&gt;0,I128*(1+cap_g_ext),""))</f>
        <v>42.229</v>
      </c>
      <c r="K128" s="32" t="n">
        <f aca="false">IF(K125&lt;&gt;"",K125,IF(J126&gt;0,J128*(1+cap_g_ext),""))</f>
        <v>46.4519</v>
      </c>
      <c r="L128" s="32" t="n">
        <f aca="false">IF(L125&lt;&gt;"",L125,IF(K126&gt;0,K128*(1+cap_g_ext),""))</f>
        <v>51.09709</v>
      </c>
      <c r="M128" s="32" t="n">
        <f aca="false">IF(M125&lt;&gt;"",M125,IF(L126&gt;0,L128*(1+cap_g_ext),""))</f>
        <v>56.206799</v>
      </c>
    </row>
    <row r="129" customFormat="false" ht="15" hidden="false" customHeight="false" outlineLevel="0" collapsed="false">
      <c r="A129" s="5" t="s">
        <v>1403</v>
      </c>
      <c r="B129" s="0" t="s">
        <v>1512</v>
      </c>
      <c r="C129" s="0" t="s">
        <v>390</v>
      </c>
      <c r="D129" s="32" t="str">
        <f aca="false">IF(OR(D128="",AND(fye_nbis&lt;12,E128="")),"",D128*fye_nbis/12+IF(fye_nbis&lt;12,E128,0)*(12-fye_nbis)/12)</f>
        <v/>
      </c>
      <c r="E129" s="32" t="str">
        <f aca="false">IF(OR(E128="",AND(fye_nbis&lt;12,F128="")),"",E128*fye_nbis/12+IF(fye_nbis&lt;12,F128,0)*(12-fye_nbis)/12)</f>
        <v/>
      </c>
      <c r="F129" s="32" t="n">
        <f aca="false">IF(OR(F128="",AND(fye_nbis&lt;12,G128="")),"",F128*fye_nbis/12+IF(fye_nbis&lt;12,G128,0)*(12-fye_nbis)/12)</f>
        <v>4.066</v>
      </c>
      <c r="G129" s="32" t="n">
        <f aca="false">IF(OR(G128="",AND(fye_nbis&lt;12,H128="")),"",G128*fye_nbis/12+IF(fye_nbis&lt;12,H128,0)*(12-fye_nbis)/12)</f>
        <v>22.5</v>
      </c>
      <c r="H129" s="32" t="n">
        <f aca="false">IF(OR(H128="",AND(fye_nbis&lt;12,I128="")),"",H128*fye_nbis/12+IF(fye_nbis&lt;12,I128,0)*(12-fye_nbis)/12)</f>
        <v>27.243</v>
      </c>
      <c r="I129" s="32" t="n">
        <f aca="false">IF(OR(I128="",AND(fye_nbis&lt;12,J128="")),"",I128*fye_nbis/12+IF(fye_nbis&lt;12,J128,0)*(12-fye_nbis)/12)</f>
        <v>38.39</v>
      </c>
      <c r="J129" s="32" t="n">
        <f aca="false">IF(OR(J128="",AND(fye_nbis&lt;12,K128="")),"",J128*fye_nbis/12+IF(fye_nbis&lt;12,K128,0)*(12-fye_nbis)/12)</f>
        <v>42.229</v>
      </c>
      <c r="K129" s="32" t="n">
        <f aca="false">IF(OR(K128="",AND(fye_nbis&lt;12,L128="")),"",K128*fye_nbis/12+IF(fye_nbis&lt;12,L128,0)*(12-fye_nbis)/12)</f>
        <v>46.4519</v>
      </c>
      <c r="L129" s="32" t="n">
        <f aca="false">IF(OR(L128="",AND(fye_nbis&lt;12,M128="")),"",L128*fye_nbis/12+IF(fye_nbis&lt;12,M128,0)*(12-fye_nbis)/12)</f>
        <v>51.09709</v>
      </c>
      <c r="M129" s="32" t="n">
        <f aca="false">IF(OR(M128="",AND(fye_nbis&lt;12,IF(M128="","",M128*(1+cap_g_ext))="")),"",M128*fye_nbis/12+IF(fye_nbis&lt;12,IF(M128="","",M128*(1+cap_g_ext)),0)*(12-fye_nbis)/12)</f>
        <v>56.206799</v>
      </c>
    </row>
    <row r="130" customFormat="false" ht="17.15" hidden="false" customHeight="false" outlineLevel="0" collapsed="false">
      <c r="A130" s="5" t="s">
        <v>1405</v>
      </c>
      <c r="B130" s="0" t="s">
        <v>1513</v>
      </c>
      <c r="C130" s="0" t="s">
        <v>390</v>
      </c>
      <c r="D130" s="32" t="str">
        <f aca="false">IF(D129="","",D129*ai_sh)</f>
        <v/>
      </c>
      <c r="E130" s="32" t="str">
        <f aca="false">IF(E129="","",E129*ai_sh)</f>
        <v/>
      </c>
      <c r="F130" s="32" t="n">
        <f aca="false">IF(F129="","",F129*ai_sh)</f>
        <v>3.4561</v>
      </c>
      <c r="G130" s="32" t="n">
        <f aca="false">IF(G129="","",G129*ai_sh)</f>
        <v>19.125</v>
      </c>
      <c r="H130" s="32" t="n">
        <f aca="false">IF(H129="","",H129*ai_sh)</f>
        <v>23.15655</v>
      </c>
      <c r="I130" s="32" t="n">
        <f aca="false">IF(I129="","",I129*ai_sh)</f>
        <v>32.6315</v>
      </c>
      <c r="J130" s="32" t="n">
        <f aca="false">IF(J129="","",J129*ai_sh)</f>
        <v>35.89465</v>
      </c>
      <c r="K130" s="32" t="n">
        <f aca="false">IF(K129="","",K129*ai_sh)</f>
        <v>39.484115</v>
      </c>
      <c r="L130" s="32" t="n">
        <f aca="false">IF(L129="","",L129*ai_sh)</f>
        <v>43.4325265</v>
      </c>
      <c r="M130" s="32" t="n">
        <f aca="false">IF(M129="","",M129*ai_sh)</f>
        <v>47.77577915</v>
      </c>
    </row>
    <row r="131" customFormat="false" ht="17.15" hidden="false" customHeight="false" outlineLevel="0" collapsed="false">
      <c r="A131" s="5" t="s">
        <v>1407</v>
      </c>
      <c r="B131" s="0" t="s">
        <v>1514</v>
      </c>
      <c r="C131" s="0" t="s">
        <v>390</v>
      </c>
      <c r="D131" s="29" t="n">
        <f aca="false">(1-Players!D152)*D$7+Players!D152*TK_NonNV_Hold_AMD*TK_CapexIT_VR200</f>
        <v>27.510214</v>
      </c>
      <c r="E131" s="29" t="n">
        <f aca="false">(1-Players!E152)*E$7+Players!E152*TK_NonNV_Hold_AMD*TK_CapexIT_VR200</f>
        <v>27.510214</v>
      </c>
      <c r="F131" s="29" t="n">
        <f aca="false">(1-Players!F152)*F$7+Players!F152*TK_NonNV_Hold_AMD*TK_CapexIT_VR200</f>
        <v>26.009088</v>
      </c>
      <c r="G131" s="29" t="n">
        <f aca="false">(1-Players!G152)*G$7+Players!G152*TK_NonNV_Hold_AMD*TK_CapexIT_VR200</f>
        <v>33.41403216</v>
      </c>
      <c r="H131" s="29" t="n">
        <f aca="false">(1-Players!H152)*H$7+Players!H152*TK_NonNV_Hold_AMD*TK_CapexIT_VR200</f>
        <v>38.3403893327246</v>
      </c>
      <c r="I131" s="29" t="n">
        <f aca="false">(1-Players!I152)*I$7+Players!I152*TK_NonNV_Hold_AMD*TK_CapexIT_VR200</f>
        <v>41.3326208898258</v>
      </c>
      <c r="J131" s="29" t="n">
        <f aca="false">(1-Players!J152)*J$7+Players!J152*TK_NonNV_Hold_AMD*TK_CapexIT_VR200</f>
        <v>41.3326208898258</v>
      </c>
      <c r="K131" s="29" t="n">
        <f aca="false">(1-Players!K152)*K$7+Players!K152*TK_NonNV_Hold_AMD*TK_CapexIT_VR200</f>
        <v>41.3326208898258</v>
      </c>
      <c r="L131" s="29" t="n">
        <f aca="false">(1-Players!L152)*L$7+Players!L152*TK_NonNV_Hold_AMD*TK_CapexIT_VR200</f>
        <v>41.3326208898258</v>
      </c>
      <c r="M131" s="29" t="n">
        <f aca="false">(1-Players!M152)*M$7+Players!M152*TK_NonNV_Hold_AMD*TK_CapexIT_VR200</f>
        <v>41.3326208898258</v>
      </c>
    </row>
    <row r="132" customFormat="false" ht="17.15" hidden="false" customHeight="false" outlineLevel="0" collapsed="false">
      <c r="A132" s="5" t="s">
        <v>1409</v>
      </c>
      <c r="B132" s="0" t="s">
        <v>1515</v>
      </c>
      <c r="C132" s="0" t="s">
        <v>390</v>
      </c>
      <c r="D132" s="29" t="n">
        <f aca="false">(1-Players!D152)*D$8+Players!D152*TK_NonNV_Hold_AMD*TK_CapexFacility_VR200</f>
        <v>12.67</v>
      </c>
      <c r="E132" s="29" t="n">
        <f aca="false">(1-Players!E152)*E$8+Players!E152*TK_NonNV_Hold_AMD*TK_CapexFacility_VR200</f>
        <v>12.67</v>
      </c>
      <c r="F132" s="29" t="n">
        <f aca="false">(1-Players!F152)*F$8+Players!F152*TK_NonNV_Hold_AMD*TK_CapexFacility_VR200</f>
        <v>12.67</v>
      </c>
      <c r="G132" s="29" t="n">
        <f aca="false">(1-Players!G152)*G$8+Players!G152*TK_NonNV_Hold_AMD*TK_CapexFacility_VR200</f>
        <v>12.67</v>
      </c>
      <c r="H132" s="29" t="n">
        <f aca="false">(1-Players!H152)*H$8+Players!H152*TK_NonNV_Hold_AMD*TK_CapexFacility_VR200</f>
        <v>12.67</v>
      </c>
      <c r="I132" s="29" t="n">
        <f aca="false">(1-Players!I152)*I$8+Players!I152*TK_NonNV_Hold_AMD*TK_CapexFacility_VR200</f>
        <v>12.67</v>
      </c>
      <c r="J132" s="29" t="n">
        <f aca="false">(1-Players!J152)*J$8+Players!J152*TK_NonNV_Hold_AMD*TK_CapexFacility_VR200</f>
        <v>12.67</v>
      </c>
      <c r="K132" s="29" t="n">
        <f aca="false">(1-Players!K152)*K$8+Players!K152*TK_NonNV_Hold_AMD*TK_CapexFacility_VR200</f>
        <v>12.67</v>
      </c>
      <c r="L132" s="29" t="n">
        <f aca="false">(1-Players!L152)*L$8+Players!L152*TK_NonNV_Hold_AMD*TK_CapexFacility_VR200</f>
        <v>12.67</v>
      </c>
      <c r="M132" s="29" t="n">
        <f aca="false">(1-Players!M152)*M$8+Players!M152*TK_NonNV_Hold_AMD*TK_CapexFacility_VR200</f>
        <v>12.67</v>
      </c>
    </row>
    <row r="133" customFormat="false" ht="17.15" hidden="false" customHeight="false" outlineLevel="0" collapsed="false">
      <c r="A133" s="5" t="s">
        <v>1411</v>
      </c>
      <c r="B133" s="0" t="s">
        <v>1516</v>
      </c>
      <c r="C133" s="0" t="s">
        <v>390</v>
      </c>
      <c r="D133" s="32" t="str">
        <f aca="false">IF(OR(D130="",D130="",D130=""),"",D131/(D131+D132)*D130+D132/(D131+D132)*(CapexGW!$D$4*D130+CapexGW!$E$4*D130+CapexGW!$F$4*D130))</f>
        <v/>
      </c>
      <c r="E133" s="32" t="str">
        <f aca="false">IF(OR(E130="",D130="",E130=""),"",E131/(E131+E132)*E130+E132/(E131+E132)*(CapexGW!$D$4*E130+CapexGW!$E$4*D130+CapexGW!$F$4*E130))</f>
        <v/>
      </c>
      <c r="F133" s="32" t="str">
        <f aca="false">IF(OR(F130="",E130="",D130=""),"",F131/(F131+F132)*F130+F132/(F131+F132)*(CapexGW!$D$4*F130+CapexGW!$E$4*E130+CapexGW!$F$4*D130))</f>
        <v/>
      </c>
      <c r="G133" s="32" t="str">
        <f aca="false">IF(OR(G130="",F130="",E130=""),"",G131/(G131+G132)*G130+G132/(G131+G132)*(CapexGW!$D$4*G130+CapexGW!$E$4*F130+CapexGW!$F$4*E130))</f>
        <v/>
      </c>
      <c r="H133" s="32" t="n">
        <f aca="false">IF(OR(H130="",G130="",F130=""),"",H131/(H131+H132)*H130+H132/(H131+H132)*(CapexGW!$D$4*H130+CapexGW!$E$4*G130+CapexGW!$F$4*F130))</f>
        <v>20.2092637321112</v>
      </c>
      <c r="I133" s="32" t="n">
        <f aca="false">IF(OR(I130="",H130="",G130=""),"",I131/(I131+I132)*I130+I132/(I131+I132)*(CapexGW!$D$4*I130+CapexGW!$E$4*H130+CapexGW!$F$4*G130))</f>
        <v>29.9355662962077</v>
      </c>
      <c r="J133" s="32" t="n">
        <f aca="false">IF(OR(J130="",I130="",H130=""),"",J131/(J131+J132)*J130+J132/(J131+J132)*(CapexGW!$D$4*J130+CapexGW!$E$4*I130+CapexGW!$F$4*H130))</f>
        <v>34.0175574241266</v>
      </c>
      <c r="K133" s="32" t="n">
        <f aca="false">IF(OR(K130="",J130="",I130=""),"",K131/(K131+K132)*K130+K132/(K131+K132)*(CapexGW!$D$4*K130+CapexGW!$E$4*J130+CapexGW!$F$4*I130))</f>
        <v>38.2591637715224</v>
      </c>
      <c r="L133" s="32" t="n">
        <f aca="false">IF(OR(L130="",K130="",J130=""),"",L131/(L131+L132)*L130+L132/(L131+L132)*(CapexGW!$D$4*L130+CapexGW!$E$4*K130+CapexGW!$F$4*J130))</f>
        <v>42.0850801486747</v>
      </c>
      <c r="M133" s="32" t="n">
        <f aca="false">IF(OR(M130="",L130="",K130=""),"",M131/(M131+M132)*M130+M132/(M131+M132)*(CapexGW!$D$4*M130+CapexGW!$E$4*L130+CapexGW!$F$4*K130))</f>
        <v>46.2935881635422</v>
      </c>
    </row>
    <row r="134" customFormat="false" ht="17.15" hidden="false" customHeight="false" outlineLevel="0" collapsed="false">
      <c r="A134" s="5" t="s">
        <v>1413</v>
      </c>
      <c r="B134" s="0" t="s">
        <v>1517</v>
      </c>
      <c r="C134" s="0" t="s">
        <v>77</v>
      </c>
      <c r="D134" s="25" t="str">
        <f aca="false">IF(D133="","",D133/(D131+D132))</f>
        <v/>
      </c>
      <c r="E134" s="25" t="str">
        <f aca="false">IF(E133="","",E133/(E131+E132))</f>
        <v/>
      </c>
      <c r="F134" s="25" t="str">
        <f aca="false">IF(F133="","",F133/(F131+F132))</f>
        <v/>
      </c>
      <c r="G134" s="25" t="str">
        <f aca="false">IF(G133="","",G133/(G131+G132))</f>
        <v/>
      </c>
      <c r="H134" s="25" t="n">
        <f aca="false">IF(H133="","",H133/(H131+H132))</f>
        <v>0.396179366526544</v>
      </c>
      <c r="I134" s="25" t="n">
        <f aca="false">IF(I133="","",I133/(I131+I132))</f>
        <v>0.554335434150153</v>
      </c>
      <c r="J134" s="25" t="n">
        <f aca="false">IF(J133="","",J133/(J131+J132))</f>
        <v>0.629924193744744</v>
      </c>
      <c r="K134" s="25" t="n">
        <f aca="false">IF(K133="","",K133/(K131+K132))</f>
        <v>0.708468647282461</v>
      </c>
      <c r="L134" s="25" t="n">
        <f aca="false">IF(L133="","",L133/(L131+L132))</f>
        <v>0.779315512010707</v>
      </c>
      <c r="M134" s="25" t="n">
        <f aca="false">IF(M133="","",M133/(M131+M132))</f>
        <v>0.857247063211778</v>
      </c>
    </row>
    <row r="135" customFormat="false" ht="17.15" hidden="false" customHeight="false" outlineLevel="0" collapsed="false">
      <c r="A135" s="5" t="s">
        <v>1415</v>
      </c>
      <c r="B135" s="0" t="s">
        <v>1518</v>
      </c>
      <c r="C135" s="0" t="s">
        <v>77</v>
      </c>
      <c r="D135" s="19" t="n">
        <f aca="false">Players!D150</f>
        <v>0</v>
      </c>
      <c r="E135" s="27" t="n">
        <f aca="false">Players!E150</f>
        <v>0</v>
      </c>
      <c r="F135" s="27" t="n">
        <f aca="false">Players!F150</f>
        <v>0</v>
      </c>
      <c r="G135" s="27" t="n">
        <f aca="false">Players!G150</f>
        <v>0.73</v>
      </c>
      <c r="H135" s="27" t="n">
        <f aca="false">Players!H150</f>
        <v>0</v>
      </c>
      <c r="I135" s="27" t="n">
        <f aca="false">Players!I150</f>
        <v>0</v>
      </c>
      <c r="J135" s="27" t="n">
        <f aca="false">Players!J150</f>
        <v>0</v>
      </c>
      <c r="K135" s="27" t="n">
        <f aca="false">Players!K150</f>
        <v>0</v>
      </c>
      <c r="L135" s="27" t="n">
        <f aca="false">Players!L150</f>
        <v>0</v>
      </c>
      <c r="M135" s="27" t="n">
        <f aca="false">Players!M150</f>
        <v>0</v>
      </c>
    </row>
    <row r="136" customFormat="false" ht="17.15" hidden="false" customHeight="false" outlineLevel="0" collapsed="false">
      <c r="A136" s="5" t="s">
        <v>1417</v>
      </c>
      <c r="B136" s="0" t="s">
        <v>1519</v>
      </c>
      <c r="C136" s="0" t="s">
        <v>77</v>
      </c>
      <c r="D136" s="24" t="n">
        <f aca="false">IF(AND(2023&gt;=2027,D134&lt;&gt;""),D134,D135)</f>
        <v>0</v>
      </c>
      <c r="E136" s="24" t="n">
        <f aca="false">IF(AND(2024&gt;=2027,E134&lt;&gt;""),E134,E135)</f>
        <v>0</v>
      </c>
      <c r="F136" s="24" t="n">
        <f aca="false">IF(AND(2025&gt;=2027,F134&lt;&gt;""),F134,F135)</f>
        <v>0</v>
      </c>
      <c r="G136" s="24" t="n">
        <f aca="false">IF(AND(2026&gt;=2027,G134&lt;&gt;""),G134,G135)</f>
        <v>0.73</v>
      </c>
      <c r="H136" s="24" t="n">
        <f aca="false">IF(AND(2027&gt;=2027,H134&lt;&gt;""),H134,H135)</f>
        <v>0.396179366526544</v>
      </c>
      <c r="I136" s="24" t="n">
        <f aca="false">IF(AND(2028&gt;=2027,I134&lt;&gt;""),I134,I135)</f>
        <v>0.554335434150153</v>
      </c>
      <c r="J136" s="24" t="n">
        <f aca="false">IF(AND(2029&gt;=2027,J134&lt;&gt;""),J134,J135)</f>
        <v>0.629924193744744</v>
      </c>
      <c r="K136" s="24" t="n">
        <f aca="false">IF(AND(2030&gt;=2027,K134&lt;&gt;""),K134,K135)</f>
        <v>0.708468647282461</v>
      </c>
      <c r="L136" s="24" t="n">
        <f aca="false">IF(AND(2031&gt;=2027,L134&lt;&gt;""),L134,L135)</f>
        <v>0.779315512010707</v>
      </c>
      <c r="M136" s="24" t="n">
        <f aca="false">IF(AND(2032&gt;=2027,M134&lt;&gt;""),M134,M135)</f>
        <v>0.857247063211778</v>
      </c>
    </row>
    <row r="137" customFormat="false" ht="17.15" hidden="false" customHeight="false" outlineLevel="0" collapsed="false">
      <c r="A137" s="5" t="s">
        <v>1419</v>
      </c>
      <c r="B137" s="0" t="s">
        <v>1520</v>
      </c>
      <c r="C137" s="0" t="s">
        <v>77</v>
      </c>
      <c r="D137" s="24" t="n">
        <f aca="false">N(Players!D144)</f>
        <v>0</v>
      </c>
      <c r="E137" s="24" t="n">
        <f aca="false">IF(2024&gt;=2027,D137+E136,N(Players!E144))</f>
        <v>0</v>
      </c>
      <c r="F137" s="24" t="n">
        <f aca="false">IF(2025&gt;=2027,E137+F136,N(Players!F144))</f>
        <v>0.17</v>
      </c>
      <c r="G137" s="24" t="n">
        <f aca="false">IF(2026&gt;=2027,F137+G136,N(Players!G144))</f>
        <v>0.9</v>
      </c>
      <c r="H137" s="24" t="n">
        <f aca="false">IF(2027&gt;=2027,G137+H136,N(Players!H144))</f>
        <v>1.29617936652654</v>
      </c>
      <c r="I137" s="24" t="n">
        <f aca="false">IF(2028&gt;=2027,H137+I136,N(Players!I144))</f>
        <v>1.8505148006767</v>
      </c>
      <c r="J137" s="24" t="n">
        <f aca="false">IF(2029&gt;=2027,I137+J136,N(Players!J144))</f>
        <v>2.48043899442144</v>
      </c>
      <c r="K137" s="24" t="n">
        <f aca="false">IF(2030&gt;=2027,J137+K136,N(Players!K144))</f>
        <v>3.1889076417039</v>
      </c>
      <c r="L137" s="24" t="n">
        <f aca="false">IF(2031&gt;=2027,K137+L136,N(Players!L144))</f>
        <v>3.96822315371461</v>
      </c>
      <c r="M137" s="24" t="n">
        <f aca="false">IF(2032&gt;=2027,L137+M136,N(Players!M144))</f>
        <v>4.82547021692639</v>
      </c>
    </row>
    <row r="138" customFormat="false" ht="17.15" hidden="false" customHeight="false" outlineLevel="0" collapsed="false">
      <c r="A138" s="5" t="s">
        <v>1421</v>
      </c>
      <c r="B138" s="0" t="s">
        <v>1521</v>
      </c>
      <c r="C138" s="0" t="s">
        <v>77</v>
      </c>
      <c r="D138" s="24" t="str">
        <f aca="false">IF(D134="","",D134*ai_sh_lo/ai_sh)</f>
        <v/>
      </c>
      <c r="E138" s="24" t="str">
        <f aca="false">IF(E134="","",E134*ai_sh_lo/ai_sh)</f>
        <v/>
      </c>
      <c r="F138" s="24" t="str">
        <f aca="false">IF(F134="","",F134*ai_sh_lo/ai_sh)</f>
        <v/>
      </c>
      <c r="G138" s="24" t="str">
        <f aca="false">IF(G134="","",G134*ai_sh_lo/ai_sh)</f>
        <v/>
      </c>
      <c r="H138" s="24" t="n">
        <f aca="false">IF(H134="","",H134*ai_sh_lo/ai_sh)</f>
        <v>0.349570029288127</v>
      </c>
      <c r="I138" s="24" t="n">
        <f aca="false">IF(I134="","",I134*ai_sh_lo/ai_sh)</f>
        <v>0.489119500720723</v>
      </c>
      <c r="J138" s="24" t="n">
        <f aca="false">IF(J134="","",J134*ai_sh_lo/ai_sh)</f>
        <v>0.555815465068891</v>
      </c>
      <c r="K138" s="24" t="n">
        <f aca="false">IF(K134="","",K134*ai_sh_lo/ai_sh)</f>
        <v>0.625119394660995</v>
      </c>
      <c r="L138" s="24" t="n">
        <f aca="false">IF(L134="","",L134*ai_sh_lo/ai_sh)</f>
        <v>0.687631334127094</v>
      </c>
      <c r="M138" s="24" t="n">
        <f aca="false">IF(M134="","",M134*ai_sh_lo/ai_sh)</f>
        <v>0.756394467539804</v>
      </c>
    </row>
    <row r="139" customFormat="false" ht="17.15" hidden="false" customHeight="false" outlineLevel="0" collapsed="false">
      <c r="A139" s="5" t="s">
        <v>1423</v>
      </c>
      <c r="B139" s="0" t="s">
        <v>1522</v>
      </c>
      <c r="C139" s="0" t="s">
        <v>77</v>
      </c>
      <c r="D139" s="24" t="str">
        <f aca="false">IF(D134="","",D134*ai_sh_hi/ai_sh)</f>
        <v/>
      </c>
      <c r="E139" s="24" t="str">
        <f aca="false">IF(E134="","",E134*ai_sh_hi/ai_sh)</f>
        <v/>
      </c>
      <c r="F139" s="24" t="str">
        <f aca="false">IF(F134="","",F134*ai_sh_hi/ai_sh)</f>
        <v/>
      </c>
      <c r="G139" s="24" t="str">
        <f aca="false">IF(G134="","",G134*ai_sh_hi/ai_sh)</f>
        <v/>
      </c>
      <c r="H139" s="24" t="n">
        <f aca="false">IF(H134="","",H134*ai_sh_hi/ai_sh)</f>
        <v>0.442788703764961</v>
      </c>
      <c r="I139" s="24" t="n">
        <f aca="false">IF(I134="","",I134*ai_sh_hi/ai_sh)</f>
        <v>0.619551367579582</v>
      </c>
      <c r="J139" s="24" t="n">
        <f aca="false">IF(J134="","",J134*ai_sh_hi/ai_sh)</f>
        <v>0.704032922420596</v>
      </c>
      <c r="K139" s="24" t="n">
        <f aca="false">IF(K134="","",K134*ai_sh_hi/ai_sh)</f>
        <v>0.791817899903927</v>
      </c>
      <c r="L139" s="24" t="n">
        <f aca="false">IF(L134="","",L134*ai_sh_hi/ai_sh)</f>
        <v>0.870999689894319</v>
      </c>
      <c r="M139" s="24" t="n">
        <f aca="false">IF(M134="","",M134*ai_sh_hi/ai_sh)</f>
        <v>0.958099658883752</v>
      </c>
    </row>
    <row r="140" customFormat="false" ht="17.15" hidden="false" customHeight="false" outlineLevel="0" collapsed="false">
      <c r="A140" s="5" t="s">
        <v>1425</v>
      </c>
      <c r="B140" s="0" t="s">
        <v>1523</v>
      </c>
      <c r="C140" s="0" t="s">
        <v>77</v>
      </c>
      <c r="D140" s="24" t="str">
        <f aca="false">IF(OR(D130="",D130="",D130=""),"",(D131/(D131+D132)*D130+D132/(D131+D132)*(CapexGW!$D$5*D130+CapexGW!$E$5*D130+CapexGW!$F$5*D130))/(D131+D132))</f>
        <v/>
      </c>
      <c r="E140" s="24" t="str">
        <f aca="false">IF(OR(E130="",D130="",E130=""),"",(E131/(E131+E132)*E130+E132/(E131+E132)*(CapexGW!$D$5*E130+CapexGW!$E$5*D130+CapexGW!$F$5*E130))/(E131+E132))</f>
        <v/>
      </c>
      <c r="F140" s="24" t="str">
        <f aca="false">IF(OR(F130="",E130="",D130=""),"",(F131/(F131+F132)*F130+F132/(F131+F132)*(CapexGW!$D$5*F130+CapexGW!$E$5*E130+CapexGW!$F$5*D130))/(F131+F132))</f>
        <v/>
      </c>
      <c r="G140" s="24" t="str">
        <f aca="false">IF(OR(G130="",F130="",E130=""),"",(G131/(G131+G132)*G130+G132/(G131+G132)*(CapexGW!$D$5*G130+CapexGW!$E$5*F130+CapexGW!$F$5*E130))/(G131+G132))</f>
        <v/>
      </c>
      <c r="H140" s="24" t="n">
        <f aca="false">IF(OR(H130="",G130="",F130=""),"",(H131/(H131+H132)*H130+H132/(H131+H132)*(CapexGW!$D$5*H130+CapexGW!$E$5*G130+CapexGW!$F$5*F130))/(H131+H132))</f>
        <v>0.434327021988487</v>
      </c>
      <c r="I140" s="24" t="n">
        <f aca="false">IF(OR(I130="",H130="",G130=""),"",(I131/(I131+I132)*I130+I132/(I131+I132)*(CapexGW!$D$5*I130+CapexGW!$E$5*H130+CapexGW!$F$5*G130))/(I131+I132))</f>
        <v>0.563093112571118</v>
      </c>
      <c r="J140" s="24" t="n">
        <f aca="false">IF(OR(J130="",I130="",H130=""),"",(J131/(J131+J132)*J130+J132/(J131+J132)*(CapexGW!$D$5*J130+CapexGW!$E$5*I130+CapexGW!$F$5*H130))/(J131+J132))</f>
        <v>0.650506492154715</v>
      </c>
      <c r="K140" s="24" t="n">
        <f aca="false">IF(OR(K130="",J130="",I130=""),"",(K131/(K131+K132)*K130+K132/(K131+K132)*(CapexGW!$D$5*K130+CapexGW!$E$5*J130+CapexGW!$F$5*I130))/(K131+K132))</f>
        <v>0.715557141370187</v>
      </c>
      <c r="L140" s="24" t="n">
        <f aca="false">IF(OR(L130="",K130="",J130=""),"",(L131/(L131+L132)*L130+L132/(L131+L132)*(CapexGW!$D$5*L130+CapexGW!$E$5*K130+CapexGW!$F$5*J130))/(L131+L132))</f>
        <v>0.787112855507205</v>
      </c>
      <c r="M140" s="24" t="n">
        <f aca="false">IF(OR(M130="",L130="",K130=""),"",(M131/(M131+M132)*M130+M132/(M131+M132)*(CapexGW!$D$5*M130+CapexGW!$E$5*L130+CapexGW!$F$5*K130))/(M131+M132))</f>
        <v>0.865824141057926</v>
      </c>
    </row>
    <row r="141" customFormat="false" ht="17.15" hidden="false" customHeight="false" outlineLevel="0" collapsed="false">
      <c r="A141" s="5" t="s">
        <v>1427</v>
      </c>
      <c r="B141" s="0" t="s">
        <v>1524</v>
      </c>
      <c r="C141" s="0" t="s">
        <v>77</v>
      </c>
      <c r="D141" s="24" t="str">
        <f aca="false">IF(OR(D130="",D130="",D130=""),"",(D131/(D131+D132)*D130+D132/(D131+D132)*(CapexGW!$D$6*D130+CapexGW!$E$6*D130+CapexGW!$F$6*D130))/(D131+D132))</f>
        <v/>
      </c>
      <c r="E141" s="24" t="str">
        <f aca="false">IF(OR(E130="",D130="",E130=""),"",(E131/(E131+E132)*E130+E132/(E131+E132)*(CapexGW!$D$6*E130+CapexGW!$E$6*D130+CapexGW!$F$6*E130))/(E131+E132))</f>
        <v/>
      </c>
      <c r="F141" s="24" t="str">
        <f aca="false">IF(OR(F130="",E130="",D130=""),"",(F131/(F131+F132)*F130+F132/(F131+F132)*(CapexGW!$D$6*F130+CapexGW!$E$6*E130+CapexGW!$F$6*D130))/(F131+F132))</f>
        <v/>
      </c>
      <c r="G141" s="24" t="str">
        <f aca="false">IF(OR(G130="",F130="",E130=""),"",(G131/(G131+G132)*G130+G132/(G131+G132)*(CapexGW!$D$6*G130+CapexGW!$E$6*F130+CapexGW!$F$6*E130))/(G131+G132))</f>
        <v/>
      </c>
      <c r="H141" s="24" t="n">
        <f aca="false">IF(OR(H130="",G130="",F130=""),"",(H131/(H131+H132)*H130+H132/(H131+H132)*(CapexGW!$D$6*H130+CapexGW!$E$6*G130+CapexGW!$F$6*F130))/(H131+H132))</f>
        <v>0.358031711064601</v>
      </c>
      <c r="I141" s="24" t="n">
        <f aca="false">IF(OR(I130="",H130="",G130=""),"",(I131/(I131+I132)*I130+I132/(I131+I132)*(CapexGW!$D$6*I130+CapexGW!$E$6*H130+CapexGW!$F$6*G130))/(I131+I132))</f>
        <v>0.545577755729188</v>
      </c>
      <c r="J141" s="24" t="n">
        <f aca="false">IF(OR(J130="",I130="",H130=""),"",(J131/(J131+J132)*J130+J132/(J131+J132)*(CapexGW!$D$6*J130+CapexGW!$E$6*I130+CapexGW!$F$6*H130))/(J131+J132))</f>
        <v>0.609341895334772</v>
      </c>
      <c r="K141" s="24" t="n">
        <f aca="false">IF(OR(K130="",J130="",I130=""),"",(K131/(K131+K132)*K130+K132/(K131+K132)*(CapexGW!$D$6*K130+CapexGW!$E$6*J130+CapexGW!$F$6*I130))/(K131+K132))</f>
        <v>0.701380153194735</v>
      </c>
      <c r="L141" s="24" t="n">
        <f aca="false">IF(OR(L130="",K130="",J130=""),"",(L131/(L131+L132)*L130+L132/(L131+L132)*(CapexGW!$D$6*L130+CapexGW!$E$6*K130+CapexGW!$F$6*J130))/(L131+L132))</f>
        <v>0.771518168514208</v>
      </c>
      <c r="M141" s="24" t="n">
        <f aca="false">IF(OR(M130="",L130="",K130=""),"",(M131/(M131+M132)*M130+M132/(M131+M132)*(CapexGW!$D$6*M130+CapexGW!$E$6*L130+CapexGW!$F$6*K130))/(M131+M132))</f>
        <v>0.848669985365629</v>
      </c>
    </row>
    <row r="143" customFormat="false" ht="15" hidden="false" customHeight="false" outlineLevel="0" collapsed="false">
      <c r="A143" s="21" t="s">
        <v>1525</v>
      </c>
    </row>
    <row r="144" customFormat="false" ht="17.15" hidden="false" customHeight="false" outlineLevel="0" collapsed="false">
      <c r="A144" s="5" t="s">
        <v>1526</v>
      </c>
      <c r="D144" s="24" t="n">
        <f aca="false">IF(D20="",D21,D20)+IF(D39="",D40,D39)+IF(D58="",D59,D58)+IF(D77="",D78,D77)+IF(D96="",D97,D96)+IF(D115="",D116,D115)+IF(D134="",D135,D134)</f>
        <v>0</v>
      </c>
      <c r="E144" s="24" t="n">
        <f aca="false">IF(E20="",E21,E20)+IF(E39="",E40,E39)+IF(E58="",E59,E58)+IF(E77="",E78,E77)+IF(E96="",E97,E96)+IF(E115="",E116,E115)+IF(E134="",E135,E134)</f>
        <v>1.61980834349181</v>
      </c>
      <c r="F144" s="24" t="n">
        <f aca="false">IF(F20="",F21,F20)+IF(F39="",F40,F39)+IF(F58="",F59,F58)+IF(F77="",F78,F77)+IF(F96="",F97,F96)+IF(F115="",F116,F115)+IF(F134="",F135,F134)</f>
        <v>8.74912429484715</v>
      </c>
      <c r="G144" s="24" t="n">
        <f aca="false">IF(G20="",G21,G20)+IF(G39="",G40,G39)+IF(G58="",G59,G58)+IF(G77="",G78,G77)+IF(G96="",G97,G96)+IF(G115="",G116,G115)+IF(G134="",G135,G134)</f>
        <v>8.50461894048891</v>
      </c>
      <c r="H144" s="24" t="n">
        <f aca="false">IF(H20="",H21,H20)+IF(H39="",H40,H39)+IF(H58="",H59,H58)+IF(H77="",H78,H77)+IF(H96="",H97,H96)+IF(H115="",H116,H115)+IF(H134="",H135,H134)</f>
        <v>17.4657754681966</v>
      </c>
      <c r="I144" s="24" t="n">
        <f aca="false">IF(I20="",I21,I20)+IF(I39="",I40,I39)+IF(I58="",I59,I58)+IF(I77="",I78,I77)+IF(I96="",I97,I96)+IF(I115="",I116,I115)+IF(I134="",I135,I134)</f>
        <v>21.3980787384407</v>
      </c>
      <c r="J144" s="24" t="n">
        <f aca="false">IF(J20="",J21,J20)+IF(J39="",J40,J39)+IF(J58="",J59,J58)+IF(J77="",J78,J77)+IF(J96="",J97,J96)+IF(J115="",J116,J115)+IF(J134="",J135,J134)</f>
        <v>23.901946773905</v>
      </c>
      <c r="K144" s="24" t="n">
        <f aca="false">IF(K20="",K21,K20)+IF(K39="",K40,K39)+IF(K58="",K59,K58)+IF(K77="",K78,K77)+IF(K96="",K97,K96)+IF(K115="",K116,K115)+IF(K134="",K135,K134)</f>
        <v>26.2870412589026</v>
      </c>
      <c r="L144" s="24" t="n">
        <f aca="false">IF(L20="",L21,L20)+IF(L39="",L40,L39)+IF(L58="",L59,L58)+IF(L77="",L78,L77)+IF(L96="",L97,L96)+IF(L115="",L116,L115)+IF(L134="",L135,L134)</f>
        <v>28.9078820951747</v>
      </c>
      <c r="M144" s="24" t="n">
        <f aca="false">IF(M20="",M21,M20)+IF(M39="",M40,M39)+IF(M58="",M59,M58)+IF(M77="",M78,M77)+IF(M96="",M97,M96)+IF(M115="",M116,M115)+IF(M134="",M135,M134)</f>
        <v>31.7986703046922</v>
      </c>
    </row>
    <row r="145" customFormat="false" ht="17.15" hidden="false" customHeight="false" outlineLevel="0" collapsed="false">
      <c r="A145" s="5" t="s">
        <v>1527</v>
      </c>
      <c r="D145" s="24" t="n">
        <f aca="false">D21+D40+D59+D78+D97+D116+D135</f>
        <v>0</v>
      </c>
      <c r="E145" s="24" t="n">
        <f aca="false">E21+E40+E59+E78+E97+E116+E135</f>
        <v>1.61980834349181</v>
      </c>
      <c r="F145" s="24" t="n">
        <f aca="false">F21+F40+F59+F78+F97+F116+F135</f>
        <v>8.74912429484715</v>
      </c>
      <c r="G145" s="24" t="n">
        <f aca="false">G21+G40+G59+G78+G97+G116+G135</f>
        <v>6.54276412772586</v>
      </c>
      <c r="H145" s="24" t="n">
        <f aca="false">H21+H40+H59+H78+H97+H116+H135</f>
        <v>2.97716666666667</v>
      </c>
      <c r="I145" s="24" t="n">
        <f aca="false">I21+I40+I59+I78+I97+I116+I135</f>
        <v>12.8626666666667</v>
      </c>
      <c r="J145" s="24" t="n">
        <f aca="false">J21+J40+J59+J78+J97+J116+J135</f>
        <v>1.9675</v>
      </c>
      <c r="K145" s="24" t="n">
        <f aca="false">K21+K40+K59+K78+K97+K116+K135</f>
        <v>1.5375</v>
      </c>
      <c r="L145" s="24" t="n">
        <f aca="false">L21+L40+L59+L78+L97+L116+L135</f>
        <v>0</v>
      </c>
      <c r="M145" s="24" t="n">
        <f aca="false">M21+M40+M59+M78+M97+M116+M135</f>
        <v>0</v>
      </c>
    </row>
    <row r="146" customFormat="false" ht="17.15" hidden="false" customHeight="false" outlineLevel="0" collapsed="false">
      <c r="A146" s="5" t="s">
        <v>1528</v>
      </c>
      <c r="D146" s="24" t="n">
        <f aca="false">IF(AND(2023&gt;=2027,2023&lt;=2029),D144-D145,0)</f>
        <v>0</v>
      </c>
      <c r="E146" s="24" t="n">
        <f aca="false">IF(AND(2024&gt;=2027,2024&lt;=2029),E144-E145,0)</f>
        <v>0</v>
      </c>
      <c r="F146" s="24" t="n">
        <f aca="false">IF(AND(2025&gt;=2027,2025&lt;=2029),F144-F145,0)</f>
        <v>0</v>
      </c>
      <c r="G146" s="24" t="n">
        <f aca="false">IF(AND(2026&gt;=2027,2026&lt;=2029),G144-G145,0)</f>
        <v>0</v>
      </c>
      <c r="H146" s="24" t="n">
        <f aca="false">IF(AND(2027&gt;=2027,2027&lt;=2029),H144-H145,0)</f>
        <v>14.4886088015299</v>
      </c>
      <c r="I146" s="24" t="n">
        <f aca="false">IF(AND(2028&gt;=2027,2028&lt;=2029),I144-I145,0)</f>
        <v>8.53541207177406</v>
      </c>
      <c r="J146" s="24" t="n">
        <f aca="false">IF(AND(2029&gt;=2027,2029&lt;=2029),J144-J145,0)</f>
        <v>21.934446773905</v>
      </c>
      <c r="K146" s="24" t="n">
        <f aca="false">IF(AND(2030&gt;=2027,2030&lt;=2029),K144-K145,0)</f>
        <v>0</v>
      </c>
      <c r="L146" s="24" t="n">
        <f aca="false">IF(AND(2031&gt;=2027,2031&lt;=2029),L144-L145,0)</f>
        <v>0</v>
      </c>
      <c r="M146" s="24" t="n">
        <f aca="false">IF(AND(2032&gt;=2027,2032&lt;=2029),M144-M145,0)</f>
        <v>0</v>
      </c>
    </row>
    <row r="147" customFormat="false" ht="17.15" hidden="false" customHeight="false" outlineLevel="0" collapsed="false">
      <c r="A147" s="5" t="s">
        <v>1529</v>
      </c>
      <c r="D147" s="24" t="n">
        <f aca="false">IF(D24="",D21,D24)+IF(D43="",D40,D43)+IF(D62="",D59,D62)+IF(D81="",D78,D81)+IF(D100="",D97,D100)+IF(D119="",D116,D119)+IF(D138="",D135,D138)</f>
        <v>0</v>
      </c>
      <c r="E147" s="24" t="n">
        <f aca="false">IF(E24="",E21,E24)+IF(E43="",E40,E43)+IF(E62="",E59,E62)+IF(E81="",E78,E81)+IF(E100="",E97,E100)+IF(E119="",E116,E119)+IF(E138="",E135,E138)</f>
        <v>1.61980834349181</v>
      </c>
      <c r="F147" s="24" t="n">
        <f aca="false">IF(F24="",F21,F24)+IF(F43="",F40,F43)+IF(F62="",F59,F62)+IF(F81="",F78,F81)+IF(F100="",F97,F100)+IF(F119="",F116,F119)+IF(F138="",F135,F138)</f>
        <v>8.74912429484715</v>
      </c>
      <c r="G147" s="24" t="n">
        <f aca="false">IF(G24="",G21,G24)+IF(G43="",G40,G43)+IF(G62="",G59,G62)+IF(G81="",G78,G81)+IF(G100="",G97,G100)+IF(G119="",G116,G119)+IF(G138="",G135,G138)</f>
        <v>8.18311190369325</v>
      </c>
      <c r="H147" s="24" t="n">
        <f aca="false">IF(H24="",H21,H24)+IF(H43="",H40,H43)+IF(H62="",H59,H62)+IF(H81="",H78,H81)+IF(H100="",H97,H100)+IF(H119="",H116,H119)+IF(H138="",H135,H138)</f>
        <v>15.6144489425264</v>
      </c>
      <c r="I147" s="24" t="n">
        <f aca="false">IF(I24="",I21,I24)+IF(I43="",I40,I43)+IF(I62="",I59,I62)+IF(I81="",I78,I81)+IF(I100="",I97,I100)+IF(I119="",I116,I119)+IF(I138="",I135,I138)</f>
        <v>18.8806577103889</v>
      </c>
      <c r="J147" s="24" t="n">
        <f aca="false">IF(J24="",J21,J24)+IF(J43="",J40,J43)+IF(J62="",J59,J62)+IF(J81="",J78,J81)+IF(J100="",J97,J100)+IF(J119="",J116,J119)+IF(J138="",J135,J138)</f>
        <v>21.0899530357986</v>
      </c>
      <c r="K147" s="24" t="n">
        <f aca="false">IF(K24="",K21,K24)+IF(K43="",K40,K43)+IF(K62="",K59,K62)+IF(K81="",K78,K81)+IF(K100="",K97,K100)+IF(K119="",K116,K119)+IF(K138="",K135,K138)</f>
        <v>23.1944481696199</v>
      </c>
      <c r="L147" s="24" t="n">
        <f aca="false">IF(L24="",L21,L24)+IF(L43="",L40,L43)+IF(L62="",L59,L62)+IF(L81="",L78,L81)+IF(L100="",L97,L100)+IF(L119="",L116,L119)+IF(L138="",L135,L138)</f>
        <v>25.5069547898601</v>
      </c>
      <c r="M147" s="24" t="n">
        <f aca="false">IF(M24="",M21,M24)+IF(M43="",M40,M43)+IF(M62="",M59,M62)+IF(M81="",M78,M81)+IF(M100="",M97,M100)+IF(M119="",M116,M119)+IF(M138="",M135,M138)</f>
        <v>28.0576502688461</v>
      </c>
    </row>
    <row r="148" customFormat="false" ht="17.15" hidden="false" customHeight="false" outlineLevel="0" collapsed="false">
      <c r="A148" s="5" t="s">
        <v>1530</v>
      </c>
      <c r="D148" s="24" t="n">
        <f aca="false">IF(D25="",D21,D25)+IF(D44="",D40,D44)+IF(D63="",D59,D63)+IF(D82="",D78,D82)+IF(D101="",D97,D101)+IF(D120="",D116,D120)+IF(D139="",D135,D139)</f>
        <v>0</v>
      </c>
      <c r="E148" s="24" t="n">
        <f aca="false">IF(E25="",E21,E25)+IF(E44="",E40,E44)+IF(E63="",E59,E63)+IF(E82="",E78,E82)+IF(E101="",E97,E101)+IF(E120="",E116,E120)+IF(E139="",E135,E139)</f>
        <v>1.61980834349181</v>
      </c>
      <c r="F148" s="24" t="n">
        <f aca="false">IF(F25="",F21,F25)+IF(F44="",F40,F44)+IF(F63="",F59,F63)+IF(F82="",F78,F82)+IF(F101="",F97,F101)+IF(F120="",F116,F120)+IF(F139="",F135,F139)</f>
        <v>8.74912429484715</v>
      </c>
      <c r="G148" s="24" t="n">
        <f aca="false">IF(G25="",G21,G25)+IF(G44="",G40,G44)+IF(G63="",G59,G63)+IF(G82="",G78,G82)+IF(G101="",G97,G101)+IF(G120="",G116,G120)+IF(G139="",G135,G139)</f>
        <v>8.82612597728456</v>
      </c>
      <c r="H148" s="24" t="n">
        <f aca="false">IF(H25="",H21,H25)+IF(H44="",H40,H44)+IF(H63="",H59,H63)+IF(H82="",H78,H82)+IF(H101="",H97,H101)+IF(H120="",H116,H120)+IF(H139="",H135,H139)</f>
        <v>19.2502642661794</v>
      </c>
      <c r="I148" s="24" t="n">
        <f aca="false">IF(I25="",I21,I25)+IF(I44="",I40,I44)+IF(I63="",I59,I63)+IF(I82="",I78,I82)+IF(I101="",I97,I101)+IF(I120="",I116,I120)+IF(I139="",I135,I139)</f>
        <v>23.8420256753268</v>
      </c>
      <c r="J148" s="24" t="n">
        <f aca="false">IF(J25="",J21,J25)+IF(J44="",J40,J44)+IF(J63="",J59,J63)+IF(J82="",J78,J82)+IF(J101="",J97,J101)+IF(J120="",J116,J120)+IF(J139="",J135,J139)</f>
        <v>26.6323742060277</v>
      </c>
      <c r="K148" s="24" t="n">
        <f aca="false">IF(K25="",K21,K25)+IF(K44="",K40,K44)+IF(K63="",K59,K63)+IF(K82="",K78,K82)+IF(K101="",K97,K101)+IF(K120="",K116,K120)+IF(K139="",K135,K139)</f>
        <v>29.2902180480406</v>
      </c>
      <c r="L148" s="24" t="n">
        <f aca="false">IF(L25="",L21,L25)+IF(L44="",L40,L44)+IF(L63="",L59,L63)+IF(L82="",L78,L82)+IF(L101="",L97,L101)+IF(L120="",L116,L120)+IF(L139="",L135,L139)</f>
        <v>32.2104514703304</v>
      </c>
      <c r="M148" s="24" t="n">
        <f aca="false">IF(M25="",M21,M25)+IF(M44="",M40,M44)+IF(M63="",M59,M63)+IF(M82="",M78,M82)+IF(M101="",M97,M101)+IF(M120="",M116,M120)+IF(M139="",M135,M139)</f>
        <v>35.4314966173634</v>
      </c>
    </row>
    <row r="149" customFormat="false" ht="17.15" hidden="false" customHeight="false" outlineLevel="0" collapsed="false">
      <c r="A149" s="5" t="s">
        <v>1531</v>
      </c>
      <c r="D149" s="24" t="n">
        <f aca="false">IF(D26="",D21,D26)+IF(D45="",D40,D45)+IF(D64="",D59,D64)+IF(D83="",D78,D83)+IF(D102="",D97,D102)+IF(D121="",D116,D121)+IF(D140="",D135,D140)</f>
        <v>0</v>
      </c>
      <c r="E149" s="24" t="n">
        <f aca="false">IF(E26="",E21,E26)+IF(E45="",E40,E45)+IF(E64="",E59,E64)+IF(E83="",E78,E83)+IF(E102="",E97,E102)+IF(E121="",E116,E121)+IF(E140="",E135,E140)</f>
        <v>1.61980834349181</v>
      </c>
      <c r="F149" s="24" t="n">
        <f aca="false">IF(F26="",F21,F26)+IF(F45="",F40,F45)+IF(F64="",F59,F64)+IF(F83="",F78,F83)+IF(F102="",F97,F102)+IF(F121="",F116,F121)+IF(F140="",F135,F140)</f>
        <v>8.74912429484715</v>
      </c>
      <c r="G149" s="24" t="n">
        <f aca="false">IF(G26="",G21,G26)+IF(G45="",G40,G45)+IF(G64="",G59,G64)+IF(G83="",G78,G83)+IF(G102="",G97,G102)+IF(G121="",G116,G121)+IF(G140="",G135,G140)</f>
        <v>8.60500469724557</v>
      </c>
      <c r="H149" s="24" t="n">
        <f aca="false">IF(H26="",H21,H26)+IF(H45="",H40,H45)+IF(H64="",H59,H64)+IF(H83="",H78,H83)+IF(H102="",H97,H102)+IF(H121="",H116,H121)+IF(H140="",H135,H140)</f>
        <v>18.2412581684446</v>
      </c>
      <c r="I149" s="24" t="n">
        <f aca="false">IF(I26="",I21,I26)+IF(I45="",I40,I45)+IF(I64="",I59,I64)+IF(I83="",I78,I83)+IF(I102="",I97,I102)+IF(I121="",I116,I121)+IF(I140="",I135,I140)</f>
        <v>21.9869264440432</v>
      </c>
      <c r="J149" s="24" t="n">
        <f aca="false">IF(J26="",J21,J26)+IF(J45="",J40,J45)+IF(J64="",J59,J64)+IF(J83="",J78,J83)+IF(J102="",J97,J102)+IF(J121="",J116,J121)+IF(J140="",J135,J140)</f>
        <v>24.1517007636525</v>
      </c>
      <c r="K149" s="24" t="n">
        <f aca="false">IF(K26="",K21,K26)+IF(K45="",K40,K45)+IF(K64="",K59,K64)+IF(K83="",K78,K83)+IF(K102="",K97,K102)+IF(K121="",K116,K121)+IF(K140="",K135,K140)</f>
        <v>26.5511442607816</v>
      </c>
      <c r="L149" s="24" t="n">
        <f aca="false">IF(L26="",L21,L26)+IF(L45="",L40,L45)+IF(L64="",L59,L64)+IF(L83="",L78,L83)+IF(L102="",L97,L102)+IF(L121="",L116,L121)+IF(L140="",L135,L140)</f>
        <v>29.2062586868597</v>
      </c>
      <c r="M149" s="24" t="n">
        <f aca="false">IF(M26="",M21,M26)+IF(M45="",M40,M45)+IF(M64="",M59,M64)+IF(M83="",M78,M83)+IF(M102="",M97,M102)+IF(M121="",M116,M121)+IF(M140="",M135,M140)</f>
        <v>32.1268845555457</v>
      </c>
    </row>
    <row r="150" customFormat="false" ht="17.15" hidden="false" customHeight="false" outlineLevel="0" collapsed="false">
      <c r="A150" s="5" t="s">
        <v>1532</v>
      </c>
      <c r="D150" s="24" t="n">
        <f aca="false">IF(D27="",D21,D27)+IF(D46="",D40,D46)+IF(D65="",D59,D65)+IF(D84="",D78,D84)+IF(D103="",D97,D103)+IF(D122="",D116,D122)+IF(D141="",D135,D141)</f>
        <v>0</v>
      </c>
      <c r="E150" s="24" t="n">
        <f aca="false">IF(E27="",E21,E27)+IF(E46="",E40,E46)+IF(E65="",E59,E65)+IF(E84="",E78,E84)+IF(E103="",E97,E103)+IF(E122="",E116,E122)+IF(E141="",E135,E141)</f>
        <v>1.61980834349181</v>
      </c>
      <c r="F150" s="24" t="n">
        <f aca="false">IF(F27="",F21,F27)+IF(F46="",F40,F46)+IF(F65="",F59,F65)+IF(F84="",F78,F84)+IF(F103="",F97,F103)+IF(F122="",F116,F122)+IF(F141="",F135,F141)</f>
        <v>8.74912429484715</v>
      </c>
      <c r="G150" s="24" t="n">
        <f aca="false">IF(G27="",G21,G27)+IF(G46="",G40,G46)+IF(G65="",G59,G65)+IF(G84="",G78,G84)+IF(G103="",G97,G103)+IF(G122="",G116,G122)+IF(G141="",G135,G141)</f>
        <v>8.40423318373224</v>
      </c>
      <c r="H150" s="24" t="n">
        <f aca="false">IF(H27="",H21,H27)+IF(H46="",H40,H46)+IF(H65="",H59,H65)+IF(H84="",H78,H84)+IF(H103="",H97,H103)+IF(H122="",H116,H122)+IF(H141="",H135,H141)</f>
        <v>16.6902927679486</v>
      </c>
      <c r="I150" s="24" t="n">
        <f aca="false">IF(I27="",I21,I27)+IF(I46="",I40,I46)+IF(I65="",I59,I65)+IF(I84="",I78,I84)+IF(I103="",I97,I103)+IF(I122="",I116,I122)+IF(I141="",I135,I141)</f>
        <v>20.8092310328383</v>
      </c>
      <c r="J150" s="24" t="n">
        <f aca="false">IF(J27="",J21,J27)+IF(J46="",J40,J46)+IF(J65="",J59,J65)+IF(J84="",J78,J84)+IF(J103="",J97,J103)+IF(J122="",J116,J122)+IF(J141="",J135,J141)</f>
        <v>23.6521927841576</v>
      </c>
      <c r="K150" s="24" t="n">
        <f aca="false">IF(K27="",K21,K27)+IF(K46="",K40,K46)+IF(K65="",K59,K65)+IF(K84="",K78,K84)+IF(K103="",K97,K103)+IF(K122="",K116,K122)+IF(K141="",K135,K141)</f>
        <v>26.0229382570235</v>
      </c>
      <c r="L150" s="24" t="n">
        <f aca="false">IF(L27="",L21,L27)+IF(L46="",L40,L46)+IF(L65="",L59,L65)+IF(L84="",L78,L84)+IF(L103="",L97,L103)+IF(L122="",L116,L122)+IF(L141="",L135,L141)</f>
        <v>28.6095055034897</v>
      </c>
      <c r="M150" s="24" t="n">
        <f aca="false">IF(M27="",M21,M27)+IF(M46="",M40,M46)+IF(M65="",M59,M65)+IF(M84="",M78,M84)+IF(M103="",M97,M103)+IF(M122="",M116,M122)+IF(M141="",M135,M141)</f>
        <v>31.4704560538387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6"/>
    <col collapsed="false" customWidth="true" hidden="false" outlineLevel="0" max="14" min="14" style="0" width="30"/>
  </cols>
  <sheetData>
    <row r="1" customFormat="false" ht="17.15" hidden="false" customHeight="false" outlineLevel="0" collapsed="false">
      <c r="A1" s="0" t="s">
        <v>1533</v>
      </c>
    </row>
    <row r="2" customFormat="false" ht="17.15" hidden="false" customHeight="false" outlineLevel="0" collapsed="false">
      <c r="A2" s="5" t="s">
        <v>1534</v>
      </c>
    </row>
    <row r="3" customFormat="false" ht="15" hidden="false" customHeight="false" outlineLevel="0" collapsed="false">
      <c r="A3" s="6" t="s">
        <v>15</v>
      </c>
      <c r="B3" s="6" t="s">
        <v>1378</v>
      </c>
      <c r="C3" s="6" t="s">
        <v>1535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6" t="s">
        <v>20</v>
      </c>
    </row>
    <row r="4" customFormat="false" ht="17.15" hidden="false" customHeight="false" outlineLevel="0" collapsed="false">
      <c r="A4" s="0" t="s">
        <v>1536</v>
      </c>
      <c r="C4" s="0" t="s">
        <v>1382</v>
      </c>
      <c r="D4" s="24" t="n">
        <f aca="false">Pipeline!D173</f>
        <v>0</v>
      </c>
      <c r="E4" s="24" t="n">
        <f aca="false">Pipeline!E173</f>
        <v>1.61980834349181</v>
      </c>
      <c r="F4" s="24" t="n">
        <f aca="false">Pipeline!F173</f>
        <v>9.04912429484716</v>
      </c>
      <c r="G4" s="24" t="n">
        <f aca="false">Pipeline!G173</f>
        <v>12.5153714610592</v>
      </c>
      <c r="H4" s="24" t="n">
        <f aca="false">Pipeline!H173</f>
        <v>8.46864512450717</v>
      </c>
      <c r="I4" s="24" t="n">
        <f aca="false">Pipeline!I173</f>
        <v>18.3878807275757</v>
      </c>
      <c r="J4" s="24" t="n">
        <f aca="false">Pipeline!J173</f>
        <v>5.72902133099746</v>
      </c>
      <c r="K4" s="24" t="n">
        <f aca="false">Pipeline!K173</f>
        <v>5.87505502204789</v>
      </c>
      <c r="L4" s="24" t="n">
        <f aca="false">Pipeline!L173</f>
        <v>3.30384615384617</v>
      </c>
      <c r="M4" s="24" t="n">
        <f aca="false">Pipeline!M173</f>
        <v>2.36923076923077</v>
      </c>
    </row>
    <row r="5" customFormat="false" ht="17.15" hidden="false" customHeight="false" outlineLevel="0" collapsed="false">
      <c r="A5" s="5" t="s">
        <v>1537</v>
      </c>
      <c r="C5" s="0" t="s">
        <v>1382</v>
      </c>
      <c r="D5" s="24" t="n">
        <f aca="false">CapexGW!D146</f>
        <v>0</v>
      </c>
      <c r="E5" s="24" t="n">
        <f aca="false">CapexGW!E146</f>
        <v>0</v>
      </c>
      <c r="F5" s="24" t="n">
        <f aca="false">CapexGW!F146</f>
        <v>0</v>
      </c>
      <c r="G5" s="24" t="n">
        <f aca="false">CapexGW!G146</f>
        <v>0</v>
      </c>
      <c r="H5" s="24" t="n">
        <f aca="false">CapexGW!H146</f>
        <v>14.4886088015299</v>
      </c>
      <c r="I5" s="24" t="n">
        <f aca="false">CapexGW!I146</f>
        <v>8.53541207177406</v>
      </c>
      <c r="J5" s="24" t="n">
        <f aca="false">CapexGW!J146</f>
        <v>21.934446773905</v>
      </c>
      <c r="K5" s="24" t="n">
        <f aca="false">CapexGW!K146</f>
        <v>0</v>
      </c>
      <c r="L5" s="24" t="n">
        <f aca="false">CapexGW!L146</f>
        <v>0</v>
      </c>
      <c r="M5" s="24" t="n">
        <f aca="false">CapexGW!M146</f>
        <v>0</v>
      </c>
    </row>
    <row r="6" customFormat="false" ht="15" hidden="false" customHeight="false" outlineLevel="0" collapsed="false">
      <c r="A6" s="5" t="s">
        <v>1538</v>
      </c>
      <c r="D6" s="24" t="n">
        <f aca="false">Pipeline!D120</f>
        <v>0.630578355681972</v>
      </c>
      <c r="E6" s="24" t="n">
        <f aca="false">Pipeline!E120</f>
        <v>3.95899900597907</v>
      </c>
      <c r="F6" s="24" t="n">
        <f aca="false">Pipeline!F120</f>
        <v>10.0786333333333</v>
      </c>
      <c r="G6" s="24" t="n">
        <f aca="false">Pipeline!G120</f>
        <v>0</v>
      </c>
      <c r="H6" s="24" t="n">
        <f aca="false">Pipeline!H120</f>
        <v>0</v>
      </c>
      <c r="I6" s="24" t="n">
        <f aca="false">Pipeline!I120</f>
        <v>0</v>
      </c>
      <c r="J6" s="24" t="n">
        <f aca="false">Pipeline!J120</f>
        <v>0</v>
      </c>
      <c r="K6" s="24" t="n">
        <f aca="false">Pipeline!K120</f>
        <v>0</v>
      </c>
      <c r="L6" s="24" t="n">
        <f aca="false">Pipeline!L120</f>
        <v>0</v>
      </c>
      <c r="M6" s="24" t="n">
        <f aca="false">Pipeline!M120</f>
        <v>0</v>
      </c>
    </row>
    <row r="8" customFormat="false" ht="15" hidden="false" customHeight="false" outlineLevel="0" collapsed="false">
      <c r="A8" s="33" t="s">
        <v>1539</v>
      </c>
    </row>
    <row r="9" customFormat="false" ht="17.15" hidden="false" customHeight="false" outlineLevel="0" collapsed="false">
      <c r="A9" s="21" t="s">
        <v>1540</v>
      </c>
    </row>
    <row r="10" customFormat="false" ht="17.15" hidden="false" customHeight="false" outlineLevel="0" collapsed="false">
      <c r="A10" s="5" t="s">
        <v>1541</v>
      </c>
      <c r="B10" s="0" t="s">
        <v>1542</v>
      </c>
      <c r="C10" s="0" t="s">
        <v>1382</v>
      </c>
      <c r="D10" s="24" t="n">
        <f aca="false">0</f>
        <v>0</v>
      </c>
      <c r="E10" s="24" t="n">
        <f aca="false">(E$4+E$5)</f>
        <v>1.61980834349181</v>
      </c>
      <c r="F10" s="24" t="n">
        <f aca="false">(F$4+F$5)</f>
        <v>9.04912429484716</v>
      </c>
      <c r="G10" s="24" t="n">
        <f aca="false">(G$4+G$5)</f>
        <v>12.5153714610592</v>
      </c>
      <c r="H10" s="24" t="n">
        <f aca="false">(H$4+H$5)</f>
        <v>22.9572539260371</v>
      </c>
      <c r="I10" s="24" t="n">
        <f aca="false">(I$4+I$5)*SIL_In!$I$27</f>
        <v>26.9232927993498</v>
      </c>
      <c r="J10" s="24" t="n">
        <f aca="false">(J$4+J$5)*SIL_In!$J$27</f>
        <v>27.6634681049025</v>
      </c>
      <c r="K10" s="24" t="n">
        <f aca="false">(Pipeline!J170+SUM($E$12:J12))*K11</f>
        <v>28.1039834110243</v>
      </c>
      <c r="L10" s="24" t="n">
        <f aca="false">(Pipeline!K170+SUM($E$12:K12))*L11</f>
        <v>24.6492774813064</v>
      </c>
      <c r="M10" s="24" t="n">
        <f aca="false">(Pipeline!L170+SUM($E$12:L12))*M11</f>
        <v>16.8149790517013</v>
      </c>
    </row>
    <row r="11" customFormat="false" ht="17.15" hidden="false" customHeight="false" outlineLevel="0" collapsed="false">
      <c r="A11" s="5" t="s">
        <v>1543</v>
      </c>
      <c r="B11" s="0" t="s">
        <v>1542</v>
      </c>
      <c r="D11" s="23" t="str">
        <f aca="false">""</f>
        <v/>
      </c>
      <c r="E11" s="23" t="str">
        <f aca="false">""</f>
        <v/>
      </c>
      <c r="F11" s="23" t="str">
        <f aca="false">""</f>
        <v/>
      </c>
      <c r="G11" s="23" t="str">
        <f aca="false">""</f>
        <v/>
      </c>
      <c r="H11" s="23" t="str">
        <f aca="false">""</f>
        <v/>
      </c>
      <c r="I11" s="23" t="str">
        <f aca="false">""</f>
        <v/>
      </c>
      <c r="J11" s="23" t="n">
        <f aca="false">IFERROR(J10/(Pipeline!I170+SUM($E$12:I12)),g_lt)</f>
        <v>0.315314063201428</v>
      </c>
      <c r="K11" s="23" t="n">
        <f aca="false">$J$11+(g_lt-$J$11)*(2030-2029)/3</f>
        <v>0.243542708800952</v>
      </c>
      <c r="L11" s="23" t="n">
        <f aca="false">$J$11+(g_lt-$J$11)*(2031-2029)/3</f>
        <v>0.171771354400476</v>
      </c>
      <c r="M11" s="23" t="n">
        <f aca="false">$J$11+(g_lt-$J$11)*(2032-2029)/3</f>
        <v>0.1</v>
      </c>
    </row>
    <row r="12" customFormat="false" ht="17.15" hidden="false" customHeight="false" outlineLevel="0" collapsed="false">
      <c r="A12" s="5" t="s">
        <v>1544</v>
      </c>
      <c r="B12" s="0" t="s">
        <v>1542</v>
      </c>
      <c r="D12" s="24" t="n">
        <f aca="false">0</f>
        <v>0</v>
      </c>
      <c r="E12" s="24" t="n">
        <f aca="false">E10-E$4</f>
        <v>0</v>
      </c>
      <c r="F12" s="24" t="n">
        <f aca="false">F10-F$4</f>
        <v>0</v>
      </c>
      <c r="G12" s="24" t="n">
        <f aca="false">G10-G$4</f>
        <v>0</v>
      </c>
      <c r="H12" s="24" t="n">
        <f aca="false">H10-H$4</f>
        <v>14.4886088015299</v>
      </c>
      <c r="I12" s="24" t="n">
        <f aca="false">I10-I$4</f>
        <v>8.53541207177406</v>
      </c>
      <c r="J12" s="24" t="n">
        <f aca="false">J10-J$4</f>
        <v>21.934446773905</v>
      </c>
      <c r="K12" s="24" t="n">
        <f aca="false">K10-K$4</f>
        <v>22.2289283889765</v>
      </c>
      <c r="L12" s="24" t="n">
        <f aca="false">L10-L$4</f>
        <v>21.3454313274603</v>
      </c>
      <c r="M12" s="24" t="n">
        <f aca="false">M10-M$4</f>
        <v>14.4457482824705</v>
      </c>
    </row>
    <row r="13" customFormat="false" ht="17.15" hidden="false" customHeight="false" outlineLevel="0" collapsed="false">
      <c r="A13" s="21" t="s">
        <v>1386</v>
      </c>
      <c r="B13" s="20" t="s">
        <v>1542</v>
      </c>
      <c r="C13" s="20" t="s">
        <v>1382</v>
      </c>
      <c r="D13" s="25" t="n">
        <f aca="false">Pipeline!D170+SUMPRODUCT($E$12:$M$12,Pipeline!$E$125:$M$125)</f>
        <v>0.630578355681972</v>
      </c>
      <c r="E13" s="25" t="n">
        <f aca="false">Pipeline!E170+SUMPRODUCT($E$12:$M$12,Pipeline!$E$126:$M$126)</f>
        <v>6.20938570515285</v>
      </c>
      <c r="F13" s="25" t="n">
        <f aca="false">Pipeline!F170+SUMPRODUCT($E$12:$M$12,Pipeline!$E$127:$M$127)</f>
        <v>25.3371433333333</v>
      </c>
      <c r="G13" s="25" t="n">
        <f aca="false">Pipeline!G170+SUMPRODUCT($E$12:$M$12,Pipeline!$E$128:$M$128)</f>
        <v>37.8525147943925</v>
      </c>
      <c r="H13" s="25" t="n">
        <f aca="false">Pipeline!H170+SUMPRODUCT($E$12:$M$12,Pipeline!$E$129:$M$129)</f>
        <v>60.8097687204296</v>
      </c>
      <c r="I13" s="25" t="n">
        <f aca="false">Pipeline!I170+SUMPRODUCT($E$12:$M$12,Pipeline!$E$130:$M$130)</f>
        <v>87.7330615197793</v>
      </c>
      <c r="J13" s="25" t="n">
        <f aca="false">Pipeline!J170+SUMPRODUCT($E$12:$M$12,Pipeline!$E$131:$M$131)</f>
        <v>115.396529624682</v>
      </c>
      <c r="K13" s="25" t="n">
        <f aca="false">Pipeline!K170+SUMPRODUCT($E$12:$M$12,Pipeline!$E$132:$M$132)</f>
        <v>143.500513035706</v>
      </c>
      <c r="L13" s="25" t="n">
        <f aca="false">Pipeline!L170+SUMPRODUCT($E$12:$M$12,Pipeline!$E$133:$M$133)</f>
        <v>168.149790517013</v>
      </c>
      <c r="M13" s="25" t="n">
        <f aca="false">Pipeline!M170+SUMPRODUCT($E$12:$M$12,Pipeline!$E$134:$M$134)</f>
        <v>184.964769568714</v>
      </c>
    </row>
    <row r="14" customFormat="false" ht="17.15" hidden="false" customHeight="false" outlineLevel="0" collapsed="false">
      <c r="A14" s="21" t="s">
        <v>1386</v>
      </c>
      <c r="B14" s="20" t="s">
        <v>1542</v>
      </c>
      <c r="C14" s="20" t="s">
        <v>1383</v>
      </c>
      <c r="D14" s="25" t="n">
        <f aca="false">Pipeline!D171+SUMPRODUCT($E$12:$M$12,Pipeline!$E$137:$M$137)</f>
        <v>0.630578355681972</v>
      </c>
      <c r="E14" s="25" t="n">
        <f aca="false">Pipeline!E171+SUMPRODUCT($E$12:$M$12,Pipeline!$E$138:$M$138)</f>
        <v>6.20938570515285</v>
      </c>
      <c r="F14" s="25" t="n">
        <f aca="false">Pipeline!F171+SUMPRODUCT($E$12:$M$12,Pipeline!$E$139:$M$139)</f>
        <v>25.3371433333333</v>
      </c>
      <c r="G14" s="25" t="n">
        <f aca="false">Pipeline!G171+SUMPRODUCT($E$12:$M$12,Pipeline!$E$140:$M$140)</f>
        <v>37.048055095226</v>
      </c>
      <c r="H14" s="25" t="n">
        <f aca="false">Pipeline!H171+SUMPRODUCT($E$12:$M$12,Pipeline!$E$141:$M$141)</f>
        <v>56.6047076167064</v>
      </c>
      <c r="I14" s="25" t="n">
        <f aca="false">Pipeline!I171+SUMPRODUCT($E$12:$M$12,Pipeline!$E$142:$M$142)</f>
        <v>82.5876311132265</v>
      </c>
      <c r="J14" s="25" t="n">
        <f aca="false">Pipeline!J171+SUMPRODUCT($E$12:$M$12,Pipeline!$E$143:$M$143)</f>
        <v>110.300797706324</v>
      </c>
      <c r="K14" s="25" t="n">
        <f aca="false">Pipeline!K171+SUMPRODUCT($E$12:$M$12,Pipeline!$E$144:$M$144)</f>
        <v>138.346240938777</v>
      </c>
      <c r="L14" s="25" t="n">
        <f aca="false">Pipeline!L171+SUMPRODUCT($E$12:$M$12,Pipeline!$E$145:$M$145)</f>
        <v>163.634916957784</v>
      </c>
      <c r="M14" s="25" t="n">
        <f aca="false">Pipeline!M171+SUMPRODUCT($E$12:$M$12,Pipeline!$E$146:$M$146)</f>
        <v>182.022148234666</v>
      </c>
    </row>
    <row r="15" customFormat="false" ht="17.15" hidden="false" customHeight="false" outlineLevel="0" collapsed="false">
      <c r="A15" s="21" t="s">
        <v>1386</v>
      </c>
      <c r="B15" s="20" t="s">
        <v>1542</v>
      </c>
      <c r="C15" s="20" t="s">
        <v>1384</v>
      </c>
      <c r="D15" s="25" t="n">
        <f aca="false">Pipeline!D172+SUMPRODUCT($E$12:$M$12,Pipeline!$E$149:$M$149)</f>
        <v>0.630578355681972</v>
      </c>
      <c r="E15" s="25" t="n">
        <f aca="false">Pipeline!E172+SUMPRODUCT($E$12:$M$12,Pipeline!$E$150:$M$150)</f>
        <v>6.20938570515285</v>
      </c>
      <c r="F15" s="25" t="n">
        <f aca="false">Pipeline!F172+SUMPRODUCT($E$12:$M$12,Pipeline!$E$151:$M$151)</f>
        <v>25.3371433333333</v>
      </c>
      <c r="G15" s="25" t="n">
        <f aca="false">Pipeline!G172+SUMPRODUCT($E$12:$M$12,Pipeline!$E$152:$M$152)</f>
        <v>37.048055095226</v>
      </c>
      <c r="H15" s="25" t="n">
        <f aca="false">Pipeline!H172+SUMPRODUCT($E$12:$M$12,Pipeline!$E$153:$M$153)</f>
        <v>49.1537504877809</v>
      </c>
      <c r="I15" s="25" t="n">
        <f aca="false">Pipeline!I172+SUMPRODUCT($E$12:$M$12,Pipeline!$E$154:$M$154)</f>
        <v>72.9141817146185</v>
      </c>
      <c r="J15" s="25" t="n">
        <f aca="false">Pipeline!J172+SUMPRODUCT($E$12:$M$12,Pipeline!$E$155:$M$155)</f>
        <v>108.264185543703</v>
      </c>
      <c r="K15" s="25" t="n">
        <f aca="false">Pipeline!K172+SUMPRODUCT($E$12:$M$12,Pipeline!$E$156:$M$156)</f>
        <v>138.346240938777</v>
      </c>
      <c r="L15" s="25" t="n">
        <f aca="false">Pipeline!L172+SUMPRODUCT($E$12:$M$12,Pipeline!$E$157:$M$157)</f>
        <v>163.634916957784</v>
      </c>
      <c r="M15" s="25" t="n">
        <f aca="false">Pipeline!M172+SUMPRODUCT($E$12:$M$12,Pipeline!$E$158:$M$158)</f>
        <v>182.022148234666</v>
      </c>
    </row>
    <row r="16" customFormat="false" ht="17.15" hidden="false" customHeight="false" outlineLevel="0" collapsed="false">
      <c r="A16" s="5" t="s">
        <v>1278</v>
      </c>
      <c r="B16" s="0" t="s">
        <v>1542</v>
      </c>
      <c r="C16" s="0" t="s">
        <v>1382</v>
      </c>
      <c r="D16" s="24" t="str">
        <f aca="false">""</f>
        <v/>
      </c>
      <c r="E16" s="24" t="n">
        <f aca="false">(D13+E13)/2</f>
        <v>3.41998203041741</v>
      </c>
      <c r="F16" s="24" t="n">
        <f aca="false">(E13+F13)/2</f>
        <v>15.7732645192431</v>
      </c>
      <c r="G16" s="24" t="n">
        <f aca="false">(F13+G13)/2</f>
        <v>31.5948290638629</v>
      </c>
      <c r="H16" s="24" t="n">
        <f aca="false">(G13+H13)/2</f>
        <v>49.3311417574111</v>
      </c>
      <c r="I16" s="24" t="n">
        <f aca="false">(H13+I13)/2</f>
        <v>74.2714151201045</v>
      </c>
      <c r="J16" s="24" t="n">
        <f aca="false">(I13+J13)/2</f>
        <v>101.564795572231</v>
      </c>
      <c r="K16" s="24" t="n">
        <f aca="false">(J13+K13)/2</f>
        <v>129.448521330194</v>
      </c>
      <c r="L16" s="24" t="n">
        <f aca="false">(K13+L13)/2</f>
        <v>155.825151776359</v>
      </c>
      <c r="M16" s="24" t="n">
        <f aca="false">(L13+M13)/2</f>
        <v>176.557280042863</v>
      </c>
    </row>
    <row r="17" customFormat="false" ht="17.15" hidden="false" customHeight="false" outlineLevel="0" collapsed="false">
      <c r="A17" s="5" t="s">
        <v>1278</v>
      </c>
      <c r="B17" s="0" t="s">
        <v>1542</v>
      </c>
      <c r="C17" s="0" t="s">
        <v>1383</v>
      </c>
      <c r="D17" s="24" t="str">
        <f aca="false">""</f>
        <v/>
      </c>
      <c r="E17" s="24" t="n">
        <f aca="false">(D14+E14)/2</f>
        <v>3.41998203041741</v>
      </c>
      <c r="F17" s="24" t="n">
        <f aca="false">(E14+F14)/2</f>
        <v>15.7732645192431</v>
      </c>
      <c r="G17" s="24" t="n">
        <f aca="false">(F14+G14)/2</f>
        <v>31.1925992142797</v>
      </c>
      <c r="H17" s="24" t="n">
        <f aca="false">(G14+H14)/2</f>
        <v>46.8263813559662</v>
      </c>
      <c r="I17" s="24" t="n">
        <f aca="false">(H14+I14)/2</f>
        <v>69.5961693649664</v>
      </c>
      <c r="J17" s="24" t="n">
        <f aca="false">(I14+J14)/2</f>
        <v>96.4442144097752</v>
      </c>
      <c r="K17" s="24" t="n">
        <f aca="false">(J14+K14)/2</f>
        <v>124.32351932255</v>
      </c>
      <c r="L17" s="24" t="n">
        <f aca="false">(K14+L14)/2</f>
        <v>150.99057894828</v>
      </c>
      <c r="M17" s="24" t="n">
        <f aca="false">(L14+M14)/2</f>
        <v>172.828532596225</v>
      </c>
    </row>
    <row r="18" customFormat="false" ht="17.15" hidden="false" customHeight="false" outlineLevel="0" collapsed="false">
      <c r="A18" s="5" t="s">
        <v>1278</v>
      </c>
      <c r="B18" s="0" t="s">
        <v>1542</v>
      </c>
      <c r="C18" s="0" t="s">
        <v>1384</v>
      </c>
      <c r="D18" s="24" t="str">
        <f aca="false">""</f>
        <v/>
      </c>
      <c r="E18" s="24" t="n">
        <f aca="false">(D15+E15)/2</f>
        <v>3.41998203041741</v>
      </c>
      <c r="F18" s="24" t="n">
        <f aca="false">(E15+F15)/2</f>
        <v>15.7732645192431</v>
      </c>
      <c r="G18" s="24" t="n">
        <f aca="false">(F15+G15)/2</f>
        <v>31.1925992142797</v>
      </c>
      <c r="H18" s="24" t="n">
        <f aca="false">(G15+H15)/2</f>
        <v>43.1009027915034</v>
      </c>
      <c r="I18" s="24" t="n">
        <f aca="false">(H15+I15)/2</f>
        <v>61.0339661011997</v>
      </c>
      <c r="J18" s="24" t="n">
        <f aca="false">(I15+J15)/2</f>
        <v>90.5891836291606</v>
      </c>
      <c r="K18" s="24" t="n">
        <f aca="false">(J15+K15)/2</f>
        <v>123.30521324124</v>
      </c>
      <c r="L18" s="24" t="n">
        <f aca="false">(K15+L15)/2</f>
        <v>150.99057894828</v>
      </c>
      <c r="M18" s="24" t="n">
        <f aca="false">(L15+M15)/2</f>
        <v>172.828532596225</v>
      </c>
    </row>
    <row r="19" customFormat="false" ht="17.15" hidden="false" customHeight="false" outlineLevel="0" collapsed="false">
      <c r="A19" s="5" t="s">
        <v>1387</v>
      </c>
      <c r="B19" s="0" t="s">
        <v>1542</v>
      </c>
      <c r="C19" s="0" t="s">
        <v>1382</v>
      </c>
      <c r="D19" s="24" t="n">
        <f aca="false">0</f>
        <v>0</v>
      </c>
      <c r="E19" s="24" t="n">
        <f aca="false">E13-D13-E$6</f>
        <v>1.61980834349181</v>
      </c>
      <c r="F19" s="24" t="n">
        <f aca="false">F13-E13-F$6</f>
        <v>9.04912429484716</v>
      </c>
      <c r="G19" s="24" t="n">
        <f aca="false">G13-F13-G$6</f>
        <v>12.5153714610592</v>
      </c>
      <c r="H19" s="24" t="n">
        <f aca="false">H13-G13-H$6</f>
        <v>22.9572539260371</v>
      </c>
      <c r="I19" s="24" t="n">
        <f aca="false">I13-H13-I$6</f>
        <v>26.9232927993498</v>
      </c>
      <c r="J19" s="24" t="n">
        <f aca="false">J13-I13-J$6</f>
        <v>27.6634681049025</v>
      </c>
      <c r="K19" s="24" t="n">
        <f aca="false">K13-J13-K$6</f>
        <v>28.1039834110243</v>
      </c>
      <c r="L19" s="24" t="n">
        <f aca="false">L13-K13-L$6</f>
        <v>24.6492774813065</v>
      </c>
      <c r="M19" s="24" t="n">
        <f aca="false">M13-L13-M$6</f>
        <v>16.8149790517012</v>
      </c>
    </row>
    <row r="20" customFormat="false" ht="17.15" hidden="false" customHeight="false" outlineLevel="0" collapsed="false">
      <c r="A20" s="5" t="s">
        <v>1387</v>
      </c>
      <c r="B20" s="0" t="s">
        <v>1542</v>
      </c>
      <c r="C20" s="0" t="s">
        <v>1383</v>
      </c>
      <c r="D20" s="24" t="n">
        <f aca="false">0</f>
        <v>0</v>
      </c>
      <c r="E20" s="24" t="n">
        <f aca="false">E14-D14-E$6</f>
        <v>1.61980834349181</v>
      </c>
      <c r="F20" s="24" t="n">
        <f aca="false">F14-E14-F$6</f>
        <v>9.04912429484716</v>
      </c>
      <c r="G20" s="24" t="n">
        <f aca="false">G14-F14-G$6</f>
        <v>11.7109117618926</v>
      </c>
      <c r="H20" s="24" t="n">
        <f aca="false">H14-G14-H$6</f>
        <v>19.5566525214805</v>
      </c>
      <c r="I20" s="24" t="n">
        <f aca="false">I14-H14-I$6</f>
        <v>25.98292349652</v>
      </c>
      <c r="J20" s="24" t="n">
        <f aca="false">J14-I14-J$6</f>
        <v>27.7131665930974</v>
      </c>
      <c r="K20" s="24" t="n">
        <f aca="false">K14-J14-K$6</f>
        <v>28.045443232453</v>
      </c>
      <c r="L20" s="24" t="n">
        <f aca="false">L14-K14-L$6</f>
        <v>25.2886760190071</v>
      </c>
      <c r="M20" s="24" t="n">
        <f aca="false">M14-L14-M$6</f>
        <v>18.3872312768822</v>
      </c>
    </row>
    <row r="21" customFormat="false" ht="17.15" hidden="false" customHeight="false" outlineLevel="0" collapsed="false">
      <c r="A21" s="5" t="s">
        <v>1387</v>
      </c>
      <c r="B21" s="0" t="s">
        <v>1542</v>
      </c>
      <c r="C21" s="0" t="s">
        <v>1384</v>
      </c>
      <c r="D21" s="24" t="n">
        <f aca="false">0</f>
        <v>0</v>
      </c>
      <c r="E21" s="24" t="n">
        <f aca="false">E15-D15-E$6</f>
        <v>1.61980834349181</v>
      </c>
      <c r="F21" s="24" t="n">
        <f aca="false">F15-E15-F$6</f>
        <v>9.04912429484716</v>
      </c>
      <c r="G21" s="24" t="n">
        <f aca="false">G15-F15-G$6</f>
        <v>11.7109117618926</v>
      </c>
      <c r="H21" s="24" t="n">
        <f aca="false">H15-G15-H$6</f>
        <v>12.1056953925549</v>
      </c>
      <c r="I21" s="24" t="n">
        <f aca="false">I15-H15-I$6</f>
        <v>23.7604312268376</v>
      </c>
      <c r="J21" s="24" t="n">
        <f aca="false">J15-I15-J$6</f>
        <v>35.3500038290843</v>
      </c>
      <c r="K21" s="24" t="n">
        <f aca="false">K15-J15-K$6</f>
        <v>30.0820553950742</v>
      </c>
      <c r="L21" s="24" t="n">
        <f aca="false">L15-K15-L$6</f>
        <v>25.2886760190071</v>
      </c>
      <c r="M21" s="24" t="n">
        <f aca="false">M15-L15-M$6</f>
        <v>18.3872312768822</v>
      </c>
    </row>
    <row r="22" customFormat="false" ht="17.15" hidden="false" customHeight="false" outlineLevel="0" collapsed="false">
      <c r="A22" s="5" t="s">
        <v>1388</v>
      </c>
      <c r="B22" s="0" t="s">
        <v>1542</v>
      </c>
      <c r="C22" s="0" t="s">
        <v>1383</v>
      </c>
      <c r="D22" s="24" t="n">
        <f aca="false">D13-D14</f>
        <v>0</v>
      </c>
      <c r="E22" s="24" t="n">
        <f aca="false">E13-E14</f>
        <v>0</v>
      </c>
      <c r="F22" s="24" t="n">
        <f aca="false">F13-F14</f>
        <v>0</v>
      </c>
      <c r="G22" s="24" t="n">
        <f aca="false">G13-G14</f>
        <v>0.80445969916655</v>
      </c>
      <c r="H22" s="24" t="n">
        <f aca="false">H13-H14</f>
        <v>4.20506110372315</v>
      </c>
      <c r="I22" s="24" t="n">
        <f aca="false">I13-I14</f>
        <v>5.14543040655289</v>
      </c>
      <c r="J22" s="24" t="n">
        <f aca="false">J13-J14</f>
        <v>5.09573191835796</v>
      </c>
      <c r="K22" s="24" t="n">
        <f aca="false">K13-K14</f>
        <v>5.15427209692925</v>
      </c>
      <c r="L22" s="24" t="n">
        <f aca="false">L13-L14</f>
        <v>4.51487355922865</v>
      </c>
      <c r="M22" s="24" t="n">
        <f aca="false">M13-M14</f>
        <v>2.94262133404771</v>
      </c>
    </row>
    <row r="23" customFormat="false" ht="17.15" hidden="false" customHeight="false" outlineLevel="0" collapsed="false">
      <c r="A23" s="5" t="s">
        <v>1388</v>
      </c>
      <c r="B23" s="0" t="s">
        <v>1542</v>
      </c>
      <c r="C23" s="0" t="s">
        <v>1384</v>
      </c>
      <c r="D23" s="24" t="n">
        <f aca="false">D13-D15</f>
        <v>0</v>
      </c>
      <c r="E23" s="24" t="n">
        <f aca="false">E13-E15</f>
        <v>0</v>
      </c>
      <c r="F23" s="24" t="n">
        <f aca="false">F13-F15</f>
        <v>0</v>
      </c>
      <c r="G23" s="24" t="n">
        <f aca="false">G13-G15</f>
        <v>0.80445969916655</v>
      </c>
      <c r="H23" s="24" t="n">
        <f aca="false">H13-H15</f>
        <v>11.6560182326487</v>
      </c>
      <c r="I23" s="24" t="n">
        <f aca="false">I13-I15</f>
        <v>14.8188798051609</v>
      </c>
      <c r="J23" s="24" t="n">
        <f aca="false">J13-J15</f>
        <v>7.1323440809791</v>
      </c>
      <c r="K23" s="24" t="n">
        <f aca="false">K13-K15</f>
        <v>5.15427209692925</v>
      </c>
      <c r="L23" s="24" t="n">
        <f aca="false">L13-L15</f>
        <v>4.51487355922865</v>
      </c>
      <c r="M23" s="24" t="n">
        <f aca="false">M13-M15</f>
        <v>2.94262133404771</v>
      </c>
    </row>
    <row r="25" customFormat="false" ht="17.15" hidden="false" customHeight="false" outlineLevel="0" collapsed="false">
      <c r="A25" s="21" t="s">
        <v>1545</v>
      </c>
    </row>
    <row r="26" customFormat="false" ht="17.15" hidden="false" customHeight="false" outlineLevel="0" collapsed="false">
      <c r="A26" s="5" t="s">
        <v>1541</v>
      </c>
      <c r="B26" s="0" t="s">
        <v>1546</v>
      </c>
      <c r="C26" s="0" t="s">
        <v>1382</v>
      </c>
      <c r="D26" s="24" t="n">
        <f aca="false">0</f>
        <v>0</v>
      </c>
      <c r="E26" s="24" t="n">
        <f aca="false">(E$4+E$5)</f>
        <v>1.61980834349181</v>
      </c>
      <c r="F26" s="24" t="n">
        <f aca="false">(F$4+F$5)</f>
        <v>9.04912429484716</v>
      </c>
      <c r="G26" s="24" t="n">
        <f aca="false">(G$4+G$5)</f>
        <v>12.5153714610592</v>
      </c>
      <c r="H26" s="24" t="n">
        <f aca="false">(H$4+H$5)</f>
        <v>22.9572539260371</v>
      </c>
      <c r="I26" s="24" t="n">
        <f aca="false">(I$4+I$5)*SIL_In!$I$28</f>
        <v>21.5386342394798</v>
      </c>
      <c r="J26" s="24" t="n">
        <f aca="false">(J$4+J$5)*SIL_In!$J$28</f>
        <v>23.5139478891671</v>
      </c>
      <c r="K26" s="24" t="n">
        <f aca="false">(Pipeline!J170+SUM($E$28:J28))*K27</f>
        <v>23.6808606072918</v>
      </c>
      <c r="L26" s="24" t="n">
        <f aca="false">(Pipeline!K170+SUM($E$28:K28))*L27</f>
        <v>20.9662339237998</v>
      </c>
      <c r="M26" s="24" t="n">
        <f aca="false">(Pipeline!L170+SUM($E$28:L28))*M27</f>
        <v>15.0509445380168</v>
      </c>
    </row>
    <row r="27" customFormat="false" ht="17.15" hidden="false" customHeight="false" outlineLevel="0" collapsed="false">
      <c r="A27" s="5" t="s">
        <v>1543</v>
      </c>
      <c r="B27" s="0" t="s">
        <v>1546</v>
      </c>
      <c r="D27" s="23" t="str">
        <f aca="false">""</f>
        <v/>
      </c>
      <c r="E27" s="23" t="str">
        <f aca="false">""</f>
        <v/>
      </c>
      <c r="F27" s="23" t="str">
        <f aca="false">""</f>
        <v/>
      </c>
      <c r="G27" s="23" t="str">
        <f aca="false">""</f>
        <v/>
      </c>
      <c r="H27" s="23" t="str">
        <f aca="false">""</f>
        <v/>
      </c>
      <c r="I27" s="23" t="str">
        <f aca="false">""</f>
        <v/>
      </c>
      <c r="J27" s="23" t="n">
        <f aca="false">IFERROR(J26/(Pipeline!I170+SUM($E$28:I28)),g_lt)</f>
        <v>0.285542245435102</v>
      </c>
      <c r="K27" s="23" t="n">
        <f aca="false">$J$27+(g_lt-$J$27)*(2030-2029)/3</f>
        <v>0.223694830290068</v>
      </c>
      <c r="L27" s="23" t="n">
        <f aca="false">$J$27+(g_lt-$J$27)*(2031-2029)/3</f>
        <v>0.161847415145034</v>
      </c>
      <c r="M27" s="23" t="n">
        <f aca="false">$J$27+(g_lt-$J$27)*(2032-2029)/3</f>
        <v>0.1</v>
      </c>
    </row>
    <row r="28" customFormat="false" ht="17.15" hidden="false" customHeight="false" outlineLevel="0" collapsed="false">
      <c r="A28" s="5" t="s">
        <v>1544</v>
      </c>
      <c r="B28" s="0" t="s">
        <v>1546</v>
      </c>
      <c r="D28" s="24" t="n">
        <f aca="false">0</f>
        <v>0</v>
      </c>
      <c r="E28" s="24" t="n">
        <f aca="false">E26-E$4</f>
        <v>0</v>
      </c>
      <c r="F28" s="24" t="n">
        <f aca="false">F26-F$4</f>
        <v>0</v>
      </c>
      <c r="G28" s="24" t="n">
        <f aca="false">G26-G$4</f>
        <v>0</v>
      </c>
      <c r="H28" s="24" t="n">
        <f aca="false">H26-H$4</f>
        <v>14.4886088015299</v>
      </c>
      <c r="I28" s="24" t="n">
        <f aca="false">I26-I$4</f>
        <v>3.15075351190411</v>
      </c>
      <c r="J28" s="24" t="n">
        <f aca="false">J26-J$4</f>
        <v>17.7849265581697</v>
      </c>
      <c r="K28" s="24" t="n">
        <f aca="false">K26-K$4</f>
        <v>17.8058055852439</v>
      </c>
      <c r="L28" s="24" t="n">
        <f aca="false">L26-L$4</f>
        <v>17.6623877699536</v>
      </c>
      <c r="M28" s="24" t="n">
        <f aca="false">M26-M$4</f>
        <v>12.681713768786</v>
      </c>
    </row>
    <row r="29" customFormat="false" ht="17.15" hidden="false" customHeight="false" outlineLevel="0" collapsed="false">
      <c r="A29" s="21" t="s">
        <v>1386</v>
      </c>
      <c r="B29" s="20" t="s">
        <v>1546</v>
      </c>
      <c r="C29" s="20" t="s">
        <v>1382</v>
      </c>
      <c r="D29" s="25" t="n">
        <f aca="false">Pipeline!D170+SUMPRODUCT($E$28:$M$28,Pipeline!$E$125:$M$125)</f>
        <v>0.630578355681972</v>
      </c>
      <c r="E29" s="25" t="n">
        <f aca="false">Pipeline!E170+SUMPRODUCT($E$28:$M$28,Pipeline!$E$126:$M$126)</f>
        <v>6.20938570515285</v>
      </c>
      <c r="F29" s="25" t="n">
        <f aca="false">Pipeline!F170+SUMPRODUCT($E$28:$M$28,Pipeline!$E$127:$M$127)</f>
        <v>25.3371433333333</v>
      </c>
      <c r="G29" s="25" t="n">
        <f aca="false">Pipeline!G170+SUMPRODUCT($E$28:$M$28,Pipeline!$E$128:$M$128)</f>
        <v>37.8525147943925</v>
      </c>
      <c r="H29" s="25" t="n">
        <f aca="false">Pipeline!H170+SUMPRODUCT($E$28:$M$28,Pipeline!$E$129:$M$129)</f>
        <v>60.8097687204296</v>
      </c>
      <c r="I29" s="25" t="n">
        <f aca="false">Pipeline!I170+SUMPRODUCT($E$28:$M$28,Pipeline!$E$130:$M$130)</f>
        <v>82.3484029599094</v>
      </c>
      <c r="J29" s="25" t="n">
        <f aca="false">Pipeline!J170+SUMPRODUCT($E$28:$M$28,Pipeline!$E$131:$M$131)</f>
        <v>105.862350849077</v>
      </c>
      <c r="K29" s="25" t="n">
        <f aca="false">Pipeline!K170+SUMPRODUCT($E$28:$M$28,Pipeline!$E$132:$M$132)</f>
        <v>129.543211456368</v>
      </c>
      <c r="L29" s="25" t="n">
        <f aca="false">Pipeline!L170+SUMPRODUCT($E$28:$M$28,Pipeline!$E$133:$M$133)</f>
        <v>150.509445380168</v>
      </c>
      <c r="M29" s="25" t="n">
        <f aca="false">Pipeline!M170+SUMPRODUCT($E$28:$M$28,Pipeline!$E$134:$M$134)</f>
        <v>165.560389918185</v>
      </c>
    </row>
    <row r="30" customFormat="false" ht="17.15" hidden="false" customHeight="false" outlineLevel="0" collapsed="false">
      <c r="A30" s="21" t="s">
        <v>1386</v>
      </c>
      <c r="B30" s="20" t="s">
        <v>1546</v>
      </c>
      <c r="C30" s="20" t="s">
        <v>1383</v>
      </c>
      <c r="D30" s="25" t="n">
        <f aca="false">Pipeline!D171+SUMPRODUCT($E$28:$M$28,Pipeline!$E$137:$M$137)</f>
        <v>0.630578355681972</v>
      </c>
      <c r="E30" s="25" t="n">
        <f aca="false">Pipeline!E171+SUMPRODUCT($E$28:$M$28,Pipeline!$E$138:$M$138)</f>
        <v>6.20938570515285</v>
      </c>
      <c r="F30" s="25" t="n">
        <f aca="false">Pipeline!F171+SUMPRODUCT($E$28:$M$28,Pipeline!$E$139:$M$139)</f>
        <v>25.3371433333333</v>
      </c>
      <c r="G30" s="25" t="n">
        <f aca="false">Pipeline!G171+SUMPRODUCT($E$28:$M$28,Pipeline!$E$140:$M$140)</f>
        <v>37.048055095226</v>
      </c>
      <c r="H30" s="25" t="n">
        <f aca="false">Pipeline!H171+SUMPRODUCT($E$28:$M$28,Pipeline!$E$141:$M$141)</f>
        <v>56.6047076167064</v>
      </c>
      <c r="I30" s="25" t="n">
        <f aca="false">Pipeline!I171+SUMPRODUCT($E$28:$M$28,Pipeline!$E$142:$M$142)</f>
        <v>78.1452878013338</v>
      </c>
      <c r="J30" s="25" t="n">
        <f aca="false">Pipeline!J171+SUMPRODUCT($E$28:$M$28,Pipeline!$E$143:$M$143)</f>
        <v>101.492784968472</v>
      </c>
      <c r="K30" s="25" t="n">
        <f aca="false">Pipeline!K171+SUMPRODUCT($E$28:$M$28,Pipeline!$E$144:$M$144)</f>
        <v>125.162985850092</v>
      </c>
      <c r="L30" s="25" t="n">
        <f aca="false">Pipeline!L171+SUMPRODUCT($E$28:$M$28,Pipeline!$E$145:$M$145)</f>
        <v>146.639104443503</v>
      </c>
      <c r="M30" s="25" t="n">
        <f aca="false">Pipeline!M171+SUMPRODUCT($E$28:$M$28,Pipeline!$E$146:$M$146)</f>
        <v>162.926474624032</v>
      </c>
    </row>
    <row r="31" customFormat="false" ht="17.15" hidden="false" customHeight="false" outlineLevel="0" collapsed="false">
      <c r="A31" s="21" t="s">
        <v>1386</v>
      </c>
      <c r="B31" s="20" t="s">
        <v>1546</v>
      </c>
      <c r="C31" s="20" t="s">
        <v>1384</v>
      </c>
      <c r="D31" s="25" t="n">
        <f aca="false">Pipeline!D172+SUMPRODUCT($E$28:$M$28,Pipeline!$E$149:$M$149)</f>
        <v>0.630578355681972</v>
      </c>
      <c r="E31" s="25" t="n">
        <f aca="false">Pipeline!E172+SUMPRODUCT($E$28:$M$28,Pipeline!$E$150:$M$150)</f>
        <v>6.20938570515285</v>
      </c>
      <c r="F31" s="25" t="n">
        <f aca="false">Pipeline!F172+SUMPRODUCT($E$28:$M$28,Pipeline!$E$151:$M$151)</f>
        <v>25.3371433333333</v>
      </c>
      <c r="G31" s="25" t="n">
        <f aca="false">Pipeline!G172+SUMPRODUCT($E$28:$M$28,Pipeline!$E$152:$M$152)</f>
        <v>37.048055095226</v>
      </c>
      <c r="H31" s="25" t="n">
        <f aca="false">Pipeline!H172+SUMPRODUCT($E$28:$M$28,Pipeline!$E$153:$M$153)</f>
        <v>49.1537504877809</v>
      </c>
      <c r="I31" s="25" t="n">
        <f aca="false">Pipeline!I172+SUMPRODUCT($E$28:$M$28,Pipeline!$E$154:$M$154)</f>
        <v>70.2487757274828</v>
      </c>
      <c r="J31" s="25" t="n">
        <f aca="false">Pipeline!J172+SUMPRODUCT($E$28:$M$28,Pipeline!$E$155:$M$155)</f>
        <v>99.833098905042</v>
      </c>
      <c r="K31" s="25" t="n">
        <f aca="false">Pipeline!K172+SUMPRODUCT($E$28:$M$28,Pipeline!$E$156:$M$156)</f>
        <v>125.162985850092</v>
      </c>
      <c r="L31" s="25" t="n">
        <f aca="false">Pipeline!L172+SUMPRODUCT($E$28:$M$28,Pipeline!$E$157:$M$157)</f>
        <v>146.639104443503</v>
      </c>
      <c r="M31" s="25" t="n">
        <f aca="false">Pipeline!M172+SUMPRODUCT($E$28:$M$28,Pipeline!$E$158:$M$158)</f>
        <v>162.926474624032</v>
      </c>
    </row>
    <row r="32" customFormat="false" ht="17.15" hidden="false" customHeight="false" outlineLevel="0" collapsed="false">
      <c r="A32" s="5" t="s">
        <v>1278</v>
      </c>
      <c r="B32" s="0" t="s">
        <v>1546</v>
      </c>
      <c r="C32" s="0" t="s">
        <v>1382</v>
      </c>
      <c r="D32" s="24" t="str">
        <f aca="false">""</f>
        <v/>
      </c>
      <c r="E32" s="24" t="n">
        <f aca="false">(D29+E29)/2</f>
        <v>3.41998203041741</v>
      </c>
      <c r="F32" s="24" t="n">
        <f aca="false">(E29+F29)/2</f>
        <v>15.7732645192431</v>
      </c>
      <c r="G32" s="24" t="n">
        <f aca="false">(F29+G29)/2</f>
        <v>31.5948290638629</v>
      </c>
      <c r="H32" s="24" t="n">
        <f aca="false">(G29+H29)/2</f>
        <v>49.3311417574111</v>
      </c>
      <c r="I32" s="24" t="n">
        <f aca="false">(H29+I29)/2</f>
        <v>71.5790858401695</v>
      </c>
      <c r="J32" s="24" t="n">
        <f aca="false">(I29+J29)/2</f>
        <v>94.1053769044929</v>
      </c>
      <c r="K32" s="24" t="n">
        <f aca="false">(J29+K29)/2</f>
        <v>117.702781152722</v>
      </c>
      <c r="L32" s="24" t="n">
        <f aca="false">(K29+L29)/2</f>
        <v>140.026328418268</v>
      </c>
      <c r="M32" s="24" t="n">
        <f aca="false">(L29+M29)/2</f>
        <v>158.034917649176</v>
      </c>
    </row>
    <row r="33" customFormat="false" ht="17.15" hidden="false" customHeight="false" outlineLevel="0" collapsed="false">
      <c r="A33" s="5" t="s">
        <v>1278</v>
      </c>
      <c r="B33" s="0" t="s">
        <v>1546</v>
      </c>
      <c r="C33" s="0" t="s">
        <v>1383</v>
      </c>
      <c r="D33" s="24" t="str">
        <f aca="false">""</f>
        <v/>
      </c>
      <c r="E33" s="24" t="n">
        <f aca="false">(D30+E30)/2</f>
        <v>3.41998203041741</v>
      </c>
      <c r="F33" s="24" t="n">
        <f aca="false">(E30+F30)/2</f>
        <v>15.7732645192431</v>
      </c>
      <c r="G33" s="24" t="n">
        <f aca="false">(F30+G30)/2</f>
        <v>31.1925992142797</v>
      </c>
      <c r="H33" s="24" t="n">
        <f aca="false">(G30+H30)/2</f>
        <v>46.8263813559662</v>
      </c>
      <c r="I33" s="24" t="n">
        <f aca="false">(H30+I30)/2</f>
        <v>67.3749977090201</v>
      </c>
      <c r="J33" s="24" t="n">
        <f aca="false">(I30+J30)/2</f>
        <v>89.819036384903</v>
      </c>
      <c r="K33" s="24" t="n">
        <f aca="false">(J30+K30)/2</f>
        <v>113.327885409282</v>
      </c>
      <c r="L33" s="24" t="n">
        <f aca="false">(K30+L30)/2</f>
        <v>135.901045146798</v>
      </c>
      <c r="M33" s="24" t="n">
        <f aca="false">(L30+M30)/2</f>
        <v>154.782789533768</v>
      </c>
    </row>
    <row r="34" customFormat="false" ht="17.15" hidden="false" customHeight="false" outlineLevel="0" collapsed="false">
      <c r="A34" s="5" t="s">
        <v>1278</v>
      </c>
      <c r="B34" s="0" t="s">
        <v>1546</v>
      </c>
      <c r="C34" s="0" t="s">
        <v>1384</v>
      </c>
      <c r="D34" s="24" t="str">
        <f aca="false">""</f>
        <v/>
      </c>
      <c r="E34" s="24" t="n">
        <f aca="false">(D31+E31)/2</f>
        <v>3.41998203041741</v>
      </c>
      <c r="F34" s="24" t="n">
        <f aca="false">(E31+F31)/2</f>
        <v>15.7732645192431</v>
      </c>
      <c r="G34" s="24" t="n">
        <f aca="false">(F31+G31)/2</f>
        <v>31.1925992142797</v>
      </c>
      <c r="H34" s="24" t="n">
        <f aca="false">(G31+H31)/2</f>
        <v>43.1009027915034</v>
      </c>
      <c r="I34" s="24" t="n">
        <f aca="false">(H31+I31)/2</f>
        <v>59.7012631076318</v>
      </c>
      <c r="J34" s="24" t="n">
        <f aca="false">(I31+J31)/2</f>
        <v>85.0409373162624</v>
      </c>
      <c r="K34" s="24" t="n">
        <f aca="false">(J31+K31)/2</f>
        <v>112.498042377567</v>
      </c>
      <c r="L34" s="24" t="n">
        <f aca="false">(K31+L31)/2</f>
        <v>135.901045146798</v>
      </c>
      <c r="M34" s="24" t="n">
        <f aca="false">(L31+M31)/2</f>
        <v>154.782789533768</v>
      </c>
    </row>
    <row r="35" customFormat="false" ht="17.15" hidden="false" customHeight="false" outlineLevel="0" collapsed="false">
      <c r="A35" s="5" t="s">
        <v>1387</v>
      </c>
      <c r="B35" s="0" t="s">
        <v>1546</v>
      </c>
      <c r="C35" s="0" t="s">
        <v>1382</v>
      </c>
      <c r="D35" s="24" t="n">
        <f aca="false">0</f>
        <v>0</v>
      </c>
      <c r="E35" s="24" t="n">
        <f aca="false">E29-D29-E$6</f>
        <v>1.61980834349181</v>
      </c>
      <c r="F35" s="24" t="n">
        <f aca="false">F29-E29-F$6</f>
        <v>9.04912429484716</v>
      </c>
      <c r="G35" s="24" t="n">
        <f aca="false">G29-F29-G$6</f>
        <v>12.5153714610592</v>
      </c>
      <c r="H35" s="24" t="n">
        <f aca="false">H29-G29-H$6</f>
        <v>22.9572539260371</v>
      </c>
      <c r="I35" s="24" t="n">
        <f aca="false">I29-H29-I$6</f>
        <v>21.5386342394798</v>
      </c>
      <c r="J35" s="24" t="n">
        <f aca="false">J29-I29-J$6</f>
        <v>23.5139478891671</v>
      </c>
      <c r="K35" s="24" t="n">
        <f aca="false">K29-J29-K$6</f>
        <v>23.6808606072918</v>
      </c>
      <c r="L35" s="24" t="n">
        <f aca="false">L29-K29-L$6</f>
        <v>20.9662339237998</v>
      </c>
      <c r="M35" s="24" t="n">
        <f aca="false">M29-L29-M$6</f>
        <v>15.0509445380168</v>
      </c>
    </row>
    <row r="36" customFormat="false" ht="17.15" hidden="false" customHeight="false" outlineLevel="0" collapsed="false">
      <c r="A36" s="5" t="s">
        <v>1387</v>
      </c>
      <c r="B36" s="0" t="s">
        <v>1546</v>
      </c>
      <c r="C36" s="0" t="s">
        <v>1383</v>
      </c>
      <c r="D36" s="24" t="n">
        <f aca="false">0</f>
        <v>0</v>
      </c>
      <c r="E36" s="24" t="n">
        <f aca="false">E30-D30-E$6</f>
        <v>1.61980834349181</v>
      </c>
      <c r="F36" s="24" t="n">
        <f aca="false">F30-E30-F$6</f>
        <v>9.04912429484716</v>
      </c>
      <c r="G36" s="24" t="n">
        <f aca="false">G30-F30-G$6</f>
        <v>11.7109117618926</v>
      </c>
      <c r="H36" s="24" t="n">
        <f aca="false">H30-G30-H$6</f>
        <v>19.5566525214805</v>
      </c>
      <c r="I36" s="24" t="n">
        <f aca="false">I30-H30-I$6</f>
        <v>21.5405801846273</v>
      </c>
      <c r="J36" s="24" t="n">
        <f aca="false">J30-I30-J$6</f>
        <v>23.3474971671385</v>
      </c>
      <c r="K36" s="24" t="n">
        <f aca="false">K30-J30-K$6</f>
        <v>23.67020088162</v>
      </c>
      <c r="L36" s="24" t="n">
        <f aca="false">L30-K30-L$6</f>
        <v>21.4761185934109</v>
      </c>
      <c r="M36" s="24" t="n">
        <f aca="false">M30-L30-M$6</f>
        <v>16.2873701805288</v>
      </c>
    </row>
    <row r="37" customFormat="false" ht="17.15" hidden="false" customHeight="false" outlineLevel="0" collapsed="false">
      <c r="A37" s="5" t="s">
        <v>1387</v>
      </c>
      <c r="B37" s="0" t="s">
        <v>1546</v>
      </c>
      <c r="C37" s="0" t="s">
        <v>1384</v>
      </c>
      <c r="D37" s="24" t="n">
        <f aca="false">0</f>
        <v>0</v>
      </c>
      <c r="E37" s="24" t="n">
        <f aca="false">E31-D31-E$6</f>
        <v>1.61980834349181</v>
      </c>
      <c r="F37" s="24" t="n">
        <f aca="false">F31-E31-F$6</f>
        <v>9.04912429484716</v>
      </c>
      <c r="G37" s="24" t="n">
        <f aca="false">G31-F31-G$6</f>
        <v>11.7109117618926</v>
      </c>
      <c r="H37" s="24" t="n">
        <f aca="false">H31-G31-H$6</f>
        <v>12.1056953925549</v>
      </c>
      <c r="I37" s="24" t="n">
        <f aca="false">I31-H31-I$6</f>
        <v>21.095025239702</v>
      </c>
      <c r="J37" s="24" t="n">
        <f aca="false">J31-I31-J$6</f>
        <v>29.5843231775592</v>
      </c>
      <c r="K37" s="24" t="n">
        <f aca="false">K31-J31-K$6</f>
        <v>25.3298869450502</v>
      </c>
      <c r="L37" s="24" t="n">
        <f aca="false">L31-K31-L$6</f>
        <v>21.4761185934109</v>
      </c>
      <c r="M37" s="24" t="n">
        <f aca="false">M31-L31-M$6</f>
        <v>16.2873701805288</v>
      </c>
    </row>
    <row r="38" customFormat="false" ht="17.15" hidden="false" customHeight="false" outlineLevel="0" collapsed="false">
      <c r="A38" s="5" t="s">
        <v>1388</v>
      </c>
      <c r="B38" s="0" t="s">
        <v>1546</v>
      </c>
      <c r="C38" s="0" t="s">
        <v>1383</v>
      </c>
      <c r="D38" s="24" t="n">
        <f aca="false">D29-D30</f>
        <v>0</v>
      </c>
      <c r="E38" s="24" t="n">
        <f aca="false">E29-E30</f>
        <v>0</v>
      </c>
      <c r="F38" s="24" t="n">
        <f aca="false">F29-F30</f>
        <v>0</v>
      </c>
      <c r="G38" s="24" t="n">
        <f aca="false">G29-G30</f>
        <v>0.80445969916655</v>
      </c>
      <c r="H38" s="24" t="n">
        <f aca="false">H29-H30</f>
        <v>4.20506110372315</v>
      </c>
      <c r="I38" s="24" t="n">
        <f aca="false">I29-I30</f>
        <v>4.20311515857563</v>
      </c>
      <c r="J38" s="24" t="n">
        <f aca="false">J29-J30</f>
        <v>4.36956588060426</v>
      </c>
      <c r="K38" s="24" t="n">
        <f aca="false">K29-K30</f>
        <v>4.38022560627607</v>
      </c>
      <c r="L38" s="24" t="n">
        <f aca="false">L29-L30</f>
        <v>3.87034093666495</v>
      </c>
      <c r="M38" s="24" t="n">
        <f aca="false">M29-M30</f>
        <v>2.63391529415296</v>
      </c>
    </row>
    <row r="39" customFormat="false" ht="17.15" hidden="false" customHeight="false" outlineLevel="0" collapsed="false">
      <c r="A39" s="5" t="s">
        <v>1388</v>
      </c>
      <c r="B39" s="0" t="s">
        <v>1546</v>
      </c>
      <c r="C39" s="0" t="s">
        <v>1384</v>
      </c>
      <c r="D39" s="24" t="n">
        <f aca="false">D29-D31</f>
        <v>0</v>
      </c>
      <c r="E39" s="24" t="n">
        <f aca="false">E29-E31</f>
        <v>0</v>
      </c>
      <c r="F39" s="24" t="n">
        <f aca="false">F29-F31</f>
        <v>0</v>
      </c>
      <c r="G39" s="24" t="n">
        <f aca="false">G29-G31</f>
        <v>0.80445969916655</v>
      </c>
      <c r="H39" s="24" t="n">
        <f aca="false">H29-H31</f>
        <v>11.6560182326487</v>
      </c>
      <c r="I39" s="24" t="n">
        <f aca="false">I29-I31</f>
        <v>12.0996272324266</v>
      </c>
      <c r="J39" s="24" t="n">
        <f aca="false">J29-J31</f>
        <v>6.0292519440345</v>
      </c>
      <c r="K39" s="24" t="n">
        <f aca="false">K29-K31</f>
        <v>4.38022560627607</v>
      </c>
      <c r="L39" s="24" t="n">
        <f aca="false">L29-L31</f>
        <v>3.87034093666495</v>
      </c>
      <c r="M39" s="24" t="n">
        <f aca="false">M29-M31</f>
        <v>2.63391529415296</v>
      </c>
    </row>
    <row r="41" customFormat="false" ht="17.15" hidden="false" customHeight="false" outlineLevel="0" collapsed="false">
      <c r="A41" s="21" t="s">
        <v>1547</v>
      </c>
    </row>
    <row r="42" customFormat="false" ht="17.15" hidden="false" customHeight="false" outlineLevel="0" collapsed="false">
      <c r="A42" s="5" t="s">
        <v>1541</v>
      </c>
      <c r="B42" s="0" t="s">
        <v>1548</v>
      </c>
      <c r="C42" s="0" t="s">
        <v>1382</v>
      </c>
      <c r="D42" s="24" t="n">
        <f aca="false">0</f>
        <v>0</v>
      </c>
      <c r="E42" s="24" t="n">
        <f aca="false">(E$4+E$5)</f>
        <v>1.61980834349181</v>
      </c>
      <c r="F42" s="24" t="n">
        <f aca="false">(F$4+F$5)</f>
        <v>9.04912429484716</v>
      </c>
      <c r="G42" s="24" t="n">
        <f aca="false">(G$4+G$5)</f>
        <v>12.5153714610592</v>
      </c>
      <c r="H42" s="24" t="n">
        <f aca="false">(H$4+H$5)</f>
        <v>22.9572539260371</v>
      </c>
      <c r="I42" s="24" t="n">
        <f aca="false">(I$4+I$5)*SIL_In!$I$29</f>
        <v>16.1539756796099</v>
      </c>
      <c r="J42" s="24" t="n">
        <f aca="false">(J$4+J$5)*SIL_In!$J$29</f>
        <v>16.5980808629415</v>
      </c>
      <c r="K42" s="24" t="n">
        <f aca="false">(Pipeline!J170+SUM($E$44:J44))*K43</f>
        <v>16.5704876286783</v>
      </c>
      <c r="L42" s="24" t="n">
        <f aca="false">(Pipeline!K170+SUM($E$44:K44))*L43</f>
        <v>15.2592370965451</v>
      </c>
      <c r="M42" s="24" t="n">
        <f aca="false">(Pipeline!L170+SUM($E$44:L44))*M43</f>
        <v>12.5391549988204</v>
      </c>
    </row>
    <row r="43" customFormat="false" ht="17.15" hidden="false" customHeight="false" outlineLevel="0" collapsed="false">
      <c r="A43" s="5" t="s">
        <v>1543</v>
      </c>
      <c r="B43" s="0" t="s">
        <v>1548</v>
      </c>
      <c r="D43" s="23" t="str">
        <f aca="false">""</f>
        <v/>
      </c>
      <c r="E43" s="23" t="str">
        <f aca="false">""</f>
        <v/>
      </c>
      <c r="F43" s="23" t="str">
        <f aca="false">""</f>
        <v/>
      </c>
      <c r="G43" s="23" t="str">
        <f aca="false">""</f>
        <v/>
      </c>
      <c r="H43" s="23" t="str">
        <f aca="false">""</f>
        <v/>
      </c>
      <c r="I43" s="23" t="str">
        <f aca="false">""</f>
        <v/>
      </c>
      <c r="J43" s="23" t="n">
        <f aca="false">IFERROR(J42/(Pipeline!I170+SUM($E$44:I44)),g_lt)</f>
        <v>0.21566103614539</v>
      </c>
      <c r="K43" s="23" t="n">
        <f aca="false">$J$43+(g_lt-$J$43)*(2030-2029)/3</f>
        <v>0.17710735743026</v>
      </c>
      <c r="L43" s="23" t="n">
        <f aca="false">$J$43+(g_lt-$J$43)*(2031-2029)/3</f>
        <v>0.13855367871513</v>
      </c>
      <c r="M43" s="23" t="n">
        <f aca="false">$J$43+(g_lt-$J$43)*(2032-2029)/3</f>
        <v>0.1</v>
      </c>
    </row>
    <row r="44" customFormat="false" ht="17.15" hidden="false" customHeight="false" outlineLevel="0" collapsed="false">
      <c r="A44" s="5" t="s">
        <v>1544</v>
      </c>
      <c r="B44" s="0" t="s">
        <v>1548</v>
      </c>
      <c r="D44" s="24" t="n">
        <f aca="false">0</f>
        <v>0</v>
      </c>
      <c r="E44" s="24" t="n">
        <f aca="false">E42-E$4</f>
        <v>0</v>
      </c>
      <c r="F44" s="24" t="n">
        <f aca="false">F42-F$4</f>
        <v>0</v>
      </c>
      <c r="G44" s="24" t="n">
        <f aca="false">G42-G$4</f>
        <v>0</v>
      </c>
      <c r="H44" s="24" t="n">
        <f aca="false">H42-H$4</f>
        <v>14.4886088015299</v>
      </c>
      <c r="I44" s="24" t="n">
        <f aca="false">I42-I$4</f>
        <v>-2.23390504796584</v>
      </c>
      <c r="J44" s="24" t="n">
        <f aca="false">J42-J$4</f>
        <v>10.869059531944</v>
      </c>
      <c r="K44" s="24" t="n">
        <f aca="false">K42-K$4</f>
        <v>10.6954326066304</v>
      </c>
      <c r="L44" s="24" t="n">
        <f aca="false">L42-L$4</f>
        <v>11.955390942699</v>
      </c>
      <c r="M44" s="24" t="n">
        <f aca="false">M42-M$4</f>
        <v>10.1699242295897</v>
      </c>
    </row>
    <row r="45" customFormat="false" ht="17.15" hidden="false" customHeight="false" outlineLevel="0" collapsed="false">
      <c r="A45" s="21" t="s">
        <v>1386</v>
      </c>
      <c r="B45" s="20" t="s">
        <v>1548</v>
      </c>
      <c r="C45" s="20" t="s">
        <v>1382</v>
      </c>
      <c r="D45" s="25" t="n">
        <f aca="false">Pipeline!D170+SUMPRODUCT($E$44:$M$44,Pipeline!$E$125:$M$125)</f>
        <v>0.630578355681972</v>
      </c>
      <c r="E45" s="25" t="n">
        <f aca="false">Pipeline!E170+SUMPRODUCT($E$44:$M$44,Pipeline!$E$126:$M$126)</f>
        <v>6.20938570515285</v>
      </c>
      <c r="F45" s="25" t="n">
        <f aca="false">Pipeline!F170+SUMPRODUCT($E$44:$M$44,Pipeline!$E$127:$M$127)</f>
        <v>25.3371433333333</v>
      </c>
      <c r="G45" s="25" t="n">
        <f aca="false">Pipeline!G170+SUMPRODUCT($E$44:$M$44,Pipeline!$E$128:$M$128)</f>
        <v>37.8525147943925</v>
      </c>
      <c r="H45" s="25" t="n">
        <f aca="false">Pipeline!H170+SUMPRODUCT($E$44:$M$44,Pipeline!$E$129:$M$129)</f>
        <v>60.8097687204296</v>
      </c>
      <c r="I45" s="25" t="n">
        <f aca="false">Pipeline!I170+SUMPRODUCT($E$44:$M$44,Pipeline!$E$130:$M$130)</f>
        <v>76.9637444000394</v>
      </c>
      <c r="J45" s="25" t="n">
        <f aca="false">Pipeline!J170+SUMPRODUCT($E$44:$M$44,Pipeline!$E$131:$M$131)</f>
        <v>93.5618252629809</v>
      </c>
      <c r="K45" s="25" t="n">
        <f aca="false">Pipeline!K170+SUMPRODUCT($E$44:$M$44,Pipeline!$E$132:$M$132)</f>
        <v>110.132312891659</v>
      </c>
      <c r="L45" s="25" t="n">
        <f aca="false">Pipeline!L170+SUMPRODUCT($E$44:$M$44,Pipeline!$E$133:$M$133)</f>
        <v>125.391549988204</v>
      </c>
      <c r="M45" s="25" t="n">
        <f aca="false">Pipeline!M170+SUMPRODUCT($E$44:$M$44,Pipeline!$E$134:$M$134)</f>
        <v>137.930704987025</v>
      </c>
    </row>
    <row r="46" customFormat="false" ht="17.15" hidden="false" customHeight="false" outlineLevel="0" collapsed="false">
      <c r="A46" s="21" t="s">
        <v>1386</v>
      </c>
      <c r="B46" s="20" t="s">
        <v>1548</v>
      </c>
      <c r="C46" s="20" t="s">
        <v>1383</v>
      </c>
      <c r="D46" s="25" t="n">
        <f aca="false">Pipeline!D171+SUMPRODUCT($E$44:$M$44,Pipeline!$E$137:$M$137)</f>
        <v>0.630578355681972</v>
      </c>
      <c r="E46" s="25" t="n">
        <f aca="false">Pipeline!E171+SUMPRODUCT($E$44:$M$44,Pipeline!$E$138:$M$138)</f>
        <v>6.20938570515285</v>
      </c>
      <c r="F46" s="25" t="n">
        <f aca="false">Pipeline!F171+SUMPRODUCT($E$44:$M$44,Pipeline!$E$139:$M$139)</f>
        <v>25.3371433333333</v>
      </c>
      <c r="G46" s="25" t="n">
        <f aca="false">Pipeline!G171+SUMPRODUCT($E$44:$M$44,Pipeline!$E$140:$M$140)</f>
        <v>37.048055095226</v>
      </c>
      <c r="H46" s="25" t="n">
        <f aca="false">Pipeline!H171+SUMPRODUCT($E$44:$M$44,Pipeline!$E$141:$M$141)</f>
        <v>56.6047076167064</v>
      </c>
      <c r="I46" s="25" t="n">
        <f aca="false">Pipeline!I171+SUMPRODUCT($E$44:$M$44,Pipeline!$E$142:$M$142)</f>
        <v>73.702944489441</v>
      </c>
      <c r="J46" s="25" t="n">
        <f aca="false">Pipeline!J171+SUMPRODUCT($E$44:$M$44,Pipeline!$E$143:$M$143)</f>
        <v>90.4025361119662</v>
      </c>
      <c r="K46" s="25" t="n">
        <f aca="false">Pipeline!K171+SUMPRODUCT($E$44:$M$44,Pipeline!$E$144:$M$144)</f>
        <v>106.996402556641</v>
      </c>
      <c r="L46" s="25" t="n">
        <f aca="false">Pipeline!L171+SUMPRODUCT($E$44:$M$44,Pipeline!$E$145:$M$145)</f>
        <v>122.519933496309</v>
      </c>
      <c r="M46" s="25" t="n">
        <f aca="false">Pipeline!M171+SUMPRODUCT($E$44:$M$44,Pipeline!$E$146:$M$146)</f>
        <v>135.736352862231</v>
      </c>
    </row>
    <row r="47" customFormat="false" ht="17.15" hidden="false" customHeight="false" outlineLevel="0" collapsed="false">
      <c r="A47" s="21" t="s">
        <v>1386</v>
      </c>
      <c r="B47" s="20" t="s">
        <v>1548</v>
      </c>
      <c r="C47" s="20" t="s">
        <v>1384</v>
      </c>
      <c r="D47" s="25" t="n">
        <f aca="false">Pipeline!D172+SUMPRODUCT($E$44:$M$44,Pipeline!$E$149:$M$149)</f>
        <v>0.630578355681972</v>
      </c>
      <c r="E47" s="25" t="n">
        <f aca="false">Pipeline!E172+SUMPRODUCT($E$44:$M$44,Pipeline!$E$150:$M$150)</f>
        <v>6.20938570515285</v>
      </c>
      <c r="F47" s="25" t="n">
        <f aca="false">Pipeline!F172+SUMPRODUCT($E$44:$M$44,Pipeline!$E$151:$M$151)</f>
        <v>25.3371433333333</v>
      </c>
      <c r="G47" s="25" t="n">
        <f aca="false">Pipeline!G172+SUMPRODUCT($E$44:$M$44,Pipeline!$E$152:$M$152)</f>
        <v>37.048055095226</v>
      </c>
      <c r="H47" s="25" t="n">
        <f aca="false">Pipeline!H172+SUMPRODUCT($E$44:$M$44,Pipeline!$E$153:$M$153)</f>
        <v>49.1537504877809</v>
      </c>
      <c r="I47" s="25" t="n">
        <f aca="false">Pipeline!I172+SUMPRODUCT($E$44:$M$44,Pipeline!$E$154:$M$154)</f>
        <v>67.5833697403472</v>
      </c>
      <c r="J47" s="25" t="n">
        <f aca="false">Pipeline!J172+SUMPRODUCT($E$44:$M$44,Pipeline!$E$155:$M$155)</f>
        <v>89.1197761477268</v>
      </c>
      <c r="K47" s="25" t="n">
        <f aca="false">Pipeline!K172+SUMPRODUCT($E$44:$M$44,Pipeline!$E$156:$M$156)</f>
        <v>106.996402556641</v>
      </c>
      <c r="L47" s="25" t="n">
        <f aca="false">Pipeline!L172+SUMPRODUCT($E$44:$M$44,Pipeline!$E$157:$M$157)</f>
        <v>122.519933496309</v>
      </c>
      <c r="M47" s="25" t="n">
        <f aca="false">Pipeline!M172+SUMPRODUCT($E$44:$M$44,Pipeline!$E$158:$M$158)</f>
        <v>135.736352862231</v>
      </c>
    </row>
    <row r="48" customFormat="false" ht="17.15" hidden="false" customHeight="false" outlineLevel="0" collapsed="false">
      <c r="A48" s="5" t="s">
        <v>1278</v>
      </c>
      <c r="B48" s="0" t="s">
        <v>1548</v>
      </c>
      <c r="C48" s="0" t="s">
        <v>1382</v>
      </c>
      <c r="D48" s="24" t="str">
        <f aca="false">""</f>
        <v/>
      </c>
      <c r="E48" s="24" t="n">
        <f aca="false">(D45+E45)/2</f>
        <v>3.41998203041741</v>
      </c>
      <c r="F48" s="24" t="n">
        <f aca="false">(E45+F45)/2</f>
        <v>15.7732645192431</v>
      </c>
      <c r="G48" s="24" t="n">
        <f aca="false">(F45+G45)/2</f>
        <v>31.5948290638629</v>
      </c>
      <c r="H48" s="24" t="n">
        <f aca="false">(G45+H45)/2</f>
        <v>49.3311417574111</v>
      </c>
      <c r="I48" s="24" t="n">
        <f aca="false">(H45+I45)/2</f>
        <v>68.8867565602345</v>
      </c>
      <c r="J48" s="24" t="n">
        <f aca="false">(I45+J45)/2</f>
        <v>85.2627848315102</v>
      </c>
      <c r="K48" s="24" t="n">
        <f aca="false">(J45+K45)/2</f>
        <v>101.84706907732</v>
      </c>
      <c r="L48" s="24" t="n">
        <f aca="false">(K45+L45)/2</f>
        <v>117.761931439932</v>
      </c>
      <c r="M48" s="24" t="n">
        <f aca="false">(L45+M45)/2</f>
        <v>131.661127487615</v>
      </c>
    </row>
    <row r="49" customFormat="false" ht="17.15" hidden="false" customHeight="false" outlineLevel="0" collapsed="false">
      <c r="A49" s="5" t="s">
        <v>1278</v>
      </c>
      <c r="B49" s="0" t="s">
        <v>1548</v>
      </c>
      <c r="C49" s="0" t="s">
        <v>1383</v>
      </c>
      <c r="D49" s="24" t="str">
        <f aca="false">""</f>
        <v/>
      </c>
      <c r="E49" s="24" t="n">
        <f aca="false">(D46+E46)/2</f>
        <v>3.41998203041741</v>
      </c>
      <c r="F49" s="24" t="n">
        <f aca="false">(E46+F46)/2</f>
        <v>15.7732645192431</v>
      </c>
      <c r="G49" s="24" t="n">
        <f aca="false">(F46+G46)/2</f>
        <v>31.1925992142797</v>
      </c>
      <c r="H49" s="24" t="n">
        <f aca="false">(G46+H46)/2</f>
        <v>46.8263813559662</v>
      </c>
      <c r="I49" s="24" t="n">
        <f aca="false">(H46+I46)/2</f>
        <v>65.1538260530737</v>
      </c>
      <c r="J49" s="24" t="n">
        <f aca="false">(I46+J46)/2</f>
        <v>82.0527403007036</v>
      </c>
      <c r="K49" s="24" t="n">
        <f aca="false">(J46+K46)/2</f>
        <v>98.6994693343034</v>
      </c>
      <c r="L49" s="24" t="n">
        <f aca="false">(K46+L46)/2</f>
        <v>114.758168026475</v>
      </c>
      <c r="M49" s="24" t="n">
        <f aca="false">(L46+M46)/2</f>
        <v>129.12814317927</v>
      </c>
    </row>
    <row r="50" customFormat="false" ht="17.15" hidden="false" customHeight="false" outlineLevel="0" collapsed="false">
      <c r="A50" s="5" t="s">
        <v>1278</v>
      </c>
      <c r="B50" s="0" t="s">
        <v>1548</v>
      </c>
      <c r="C50" s="0" t="s">
        <v>1384</v>
      </c>
      <c r="D50" s="24" t="str">
        <f aca="false">""</f>
        <v/>
      </c>
      <c r="E50" s="24" t="n">
        <f aca="false">(D47+E47)/2</f>
        <v>3.41998203041741</v>
      </c>
      <c r="F50" s="24" t="n">
        <f aca="false">(E47+F47)/2</f>
        <v>15.7732645192431</v>
      </c>
      <c r="G50" s="24" t="n">
        <f aca="false">(F47+G47)/2</f>
        <v>31.1925992142797</v>
      </c>
      <c r="H50" s="24" t="n">
        <f aca="false">(G47+H47)/2</f>
        <v>43.1009027915034</v>
      </c>
      <c r="I50" s="24" t="n">
        <f aca="false">(H47+I47)/2</f>
        <v>58.368560114064</v>
      </c>
      <c r="J50" s="24" t="n">
        <f aca="false">(I47+J47)/2</f>
        <v>78.351572944037</v>
      </c>
      <c r="K50" s="24" t="n">
        <f aca="false">(J47+K47)/2</f>
        <v>98.0580893521837</v>
      </c>
      <c r="L50" s="24" t="n">
        <f aca="false">(K47+L47)/2</f>
        <v>114.758168026475</v>
      </c>
      <c r="M50" s="24" t="n">
        <f aca="false">(L47+M47)/2</f>
        <v>129.12814317927</v>
      </c>
    </row>
    <row r="51" customFormat="false" ht="17.15" hidden="false" customHeight="false" outlineLevel="0" collapsed="false">
      <c r="A51" s="5" t="s">
        <v>1387</v>
      </c>
      <c r="B51" s="0" t="s">
        <v>1548</v>
      </c>
      <c r="C51" s="0" t="s">
        <v>1382</v>
      </c>
      <c r="D51" s="24" t="n">
        <f aca="false">0</f>
        <v>0</v>
      </c>
      <c r="E51" s="24" t="n">
        <f aca="false">E45-D45-E$6</f>
        <v>1.61980834349181</v>
      </c>
      <c r="F51" s="24" t="n">
        <f aca="false">F45-E45-F$6</f>
        <v>9.04912429484716</v>
      </c>
      <c r="G51" s="24" t="n">
        <f aca="false">G45-F45-G$6</f>
        <v>12.5153714610592</v>
      </c>
      <c r="H51" s="24" t="n">
        <f aca="false">H45-G45-H$6</f>
        <v>22.9572539260371</v>
      </c>
      <c r="I51" s="24" t="n">
        <f aca="false">I45-H45-I$6</f>
        <v>16.1539756796099</v>
      </c>
      <c r="J51" s="24" t="n">
        <f aca="false">J45-I45-J$6</f>
        <v>16.5980808629415</v>
      </c>
      <c r="K51" s="24" t="n">
        <f aca="false">K45-J45-K$6</f>
        <v>16.5704876286783</v>
      </c>
      <c r="L51" s="24" t="n">
        <f aca="false">L45-K45-L$6</f>
        <v>15.2592370965451</v>
      </c>
      <c r="M51" s="24" t="n">
        <f aca="false">M45-L45-M$6</f>
        <v>12.5391549988205</v>
      </c>
    </row>
    <row r="52" customFormat="false" ht="17.15" hidden="false" customHeight="false" outlineLevel="0" collapsed="false">
      <c r="A52" s="5" t="s">
        <v>1387</v>
      </c>
      <c r="B52" s="0" t="s">
        <v>1548</v>
      </c>
      <c r="C52" s="0" t="s">
        <v>1383</v>
      </c>
      <c r="D52" s="24" t="n">
        <f aca="false">0</f>
        <v>0</v>
      </c>
      <c r="E52" s="24" t="n">
        <f aca="false">E46-D46-E$6</f>
        <v>1.61980834349181</v>
      </c>
      <c r="F52" s="24" t="n">
        <f aca="false">F46-E46-F$6</f>
        <v>9.04912429484716</v>
      </c>
      <c r="G52" s="24" t="n">
        <f aca="false">G46-F46-G$6</f>
        <v>11.7109117618926</v>
      </c>
      <c r="H52" s="24" t="n">
        <f aca="false">H46-G46-H$6</f>
        <v>19.5566525214805</v>
      </c>
      <c r="I52" s="24" t="n">
        <f aca="false">I46-H46-I$6</f>
        <v>17.0982368727346</v>
      </c>
      <c r="J52" s="24" t="n">
        <f aca="false">J46-I46-J$6</f>
        <v>16.6995916225251</v>
      </c>
      <c r="K52" s="24" t="n">
        <f aca="false">K46-J46-K$6</f>
        <v>16.5938664446744</v>
      </c>
      <c r="L52" s="24" t="n">
        <f aca="false">L46-K46-L$6</f>
        <v>15.5235309396684</v>
      </c>
      <c r="M52" s="24" t="n">
        <f aca="false">M46-L46-M$6</f>
        <v>13.2164193659223</v>
      </c>
    </row>
    <row r="53" customFormat="false" ht="17.15" hidden="false" customHeight="false" outlineLevel="0" collapsed="false">
      <c r="A53" s="5" t="s">
        <v>1387</v>
      </c>
      <c r="B53" s="0" t="s">
        <v>1548</v>
      </c>
      <c r="C53" s="0" t="s">
        <v>1384</v>
      </c>
      <c r="D53" s="24" t="n">
        <f aca="false">0</f>
        <v>0</v>
      </c>
      <c r="E53" s="24" t="n">
        <f aca="false">E47-D47-E$6</f>
        <v>1.61980834349181</v>
      </c>
      <c r="F53" s="24" t="n">
        <f aca="false">F47-E47-F$6</f>
        <v>9.04912429484716</v>
      </c>
      <c r="G53" s="24" t="n">
        <f aca="false">G47-F47-G$6</f>
        <v>11.7109117618926</v>
      </c>
      <c r="H53" s="24" t="n">
        <f aca="false">H47-G47-H$6</f>
        <v>12.1056953925549</v>
      </c>
      <c r="I53" s="24" t="n">
        <f aca="false">I47-H47-I$6</f>
        <v>18.4296192525663</v>
      </c>
      <c r="J53" s="24" t="n">
        <f aca="false">J47-I47-J$6</f>
        <v>21.5364064073796</v>
      </c>
      <c r="K53" s="24" t="n">
        <f aca="false">K47-J47-K$6</f>
        <v>17.8766264089137</v>
      </c>
      <c r="L53" s="24" t="n">
        <f aca="false">L47-K47-L$6</f>
        <v>15.5235309396684</v>
      </c>
      <c r="M53" s="24" t="n">
        <f aca="false">M47-L47-M$6</f>
        <v>13.2164193659223</v>
      </c>
    </row>
    <row r="54" customFormat="false" ht="17.15" hidden="false" customHeight="false" outlineLevel="0" collapsed="false">
      <c r="A54" s="5" t="s">
        <v>1388</v>
      </c>
      <c r="B54" s="0" t="s">
        <v>1548</v>
      </c>
      <c r="C54" s="0" t="s">
        <v>1383</v>
      </c>
      <c r="D54" s="24" t="n">
        <f aca="false">D45-D46</f>
        <v>0</v>
      </c>
      <c r="E54" s="24" t="n">
        <f aca="false">E45-E46</f>
        <v>0</v>
      </c>
      <c r="F54" s="24" t="n">
        <f aca="false">F45-F46</f>
        <v>0</v>
      </c>
      <c r="G54" s="24" t="n">
        <f aca="false">G45-G46</f>
        <v>0.80445969916655</v>
      </c>
      <c r="H54" s="24" t="n">
        <f aca="false">H45-H46</f>
        <v>4.20506110372315</v>
      </c>
      <c r="I54" s="24" t="n">
        <f aca="false">I45-I46</f>
        <v>3.26079991059839</v>
      </c>
      <c r="J54" s="24" t="n">
        <f aca="false">J45-J46</f>
        <v>3.15928915101478</v>
      </c>
      <c r="K54" s="24" t="n">
        <f aca="false">K45-K46</f>
        <v>3.13591033501871</v>
      </c>
      <c r="L54" s="24" t="n">
        <f aca="false">L45-L46</f>
        <v>2.8716164918954</v>
      </c>
      <c r="M54" s="24" t="n">
        <f aca="false">M45-M46</f>
        <v>2.1943521247936</v>
      </c>
    </row>
    <row r="55" customFormat="false" ht="17.15" hidden="false" customHeight="false" outlineLevel="0" collapsed="false">
      <c r="A55" s="5" t="s">
        <v>1388</v>
      </c>
      <c r="B55" s="0" t="s">
        <v>1548</v>
      </c>
      <c r="C55" s="0" t="s">
        <v>1384</v>
      </c>
      <c r="D55" s="24" t="n">
        <f aca="false">D45-D47</f>
        <v>0</v>
      </c>
      <c r="E55" s="24" t="n">
        <f aca="false">E45-E47</f>
        <v>0</v>
      </c>
      <c r="F55" s="24" t="n">
        <f aca="false">F45-F47</f>
        <v>0</v>
      </c>
      <c r="G55" s="24" t="n">
        <f aca="false">G45-G47</f>
        <v>0.80445969916655</v>
      </c>
      <c r="H55" s="24" t="n">
        <f aca="false">H45-H47</f>
        <v>11.6560182326487</v>
      </c>
      <c r="I55" s="24" t="n">
        <f aca="false">I45-I47</f>
        <v>9.38037465969224</v>
      </c>
      <c r="J55" s="24" t="n">
        <f aca="false">J45-J47</f>
        <v>4.44204911525412</v>
      </c>
      <c r="K55" s="24" t="n">
        <f aca="false">K45-K47</f>
        <v>3.13591033501871</v>
      </c>
      <c r="L55" s="24" t="n">
        <f aca="false">L45-L47</f>
        <v>2.8716164918954</v>
      </c>
      <c r="M55" s="24" t="n">
        <f aca="false">M45-M47</f>
        <v>2.1943521247936</v>
      </c>
    </row>
    <row r="57" customFormat="false" ht="19.4" hidden="false" customHeight="false" outlineLevel="0" collapsed="false">
      <c r="A57" s="34" t="s">
        <v>1549</v>
      </c>
    </row>
    <row r="58" customFormat="false" ht="17.15" hidden="false" customHeight="false" outlineLevel="0" collapsed="false">
      <c r="A58" s="21" t="s">
        <v>1550</v>
      </c>
    </row>
    <row r="59" customFormat="false" ht="17.15" hidden="false" customHeight="false" outlineLevel="0" collapsed="false">
      <c r="A59" s="5" t="s">
        <v>1541</v>
      </c>
      <c r="B59" s="0" t="s">
        <v>1542</v>
      </c>
      <c r="C59" s="0" t="s">
        <v>1382</v>
      </c>
      <c r="D59" s="24" t="n">
        <f aca="false">0</f>
        <v>0</v>
      </c>
      <c r="E59" s="24" t="n">
        <f aca="false">E$4</f>
        <v>1.61980834349181</v>
      </c>
      <c r="F59" s="24" t="n">
        <f aca="false">F$4</f>
        <v>9.04912429484716</v>
      </c>
      <c r="G59" s="24" t="n">
        <f aca="false">G$4</f>
        <v>12.5153714610592</v>
      </c>
      <c r="H59" s="24" t="n">
        <f aca="false">H$4</f>
        <v>8.46864512450717</v>
      </c>
      <c r="I59" s="24" t="n">
        <f aca="false">I$4*SIL_In!$I$27</f>
        <v>18.3878807275757</v>
      </c>
      <c r="J59" s="24" t="n">
        <f aca="false">J$4*SIL_In!$J$27</f>
        <v>5.72902133099746</v>
      </c>
      <c r="K59" s="24" t="n">
        <f aca="false">(Pipeline!J170+SUM($E$61:J61))*K60</f>
        <v>6.50542926771514</v>
      </c>
      <c r="L59" s="24" t="n">
        <f aca="false">(Pipeline!K170+SUM($E$61:K61))*L60</f>
        <v>7.40029929237132</v>
      </c>
      <c r="M59" s="24" t="n">
        <f aca="false">(Pipeline!L170+SUM($E$61:L61))*M60</f>
        <v>8.43437905375593</v>
      </c>
    </row>
    <row r="60" customFormat="false" ht="17.15" hidden="false" customHeight="false" outlineLevel="0" collapsed="false">
      <c r="A60" s="5" t="s">
        <v>1543</v>
      </c>
      <c r="B60" s="0" t="s">
        <v>1542</v>
      </c>
      <c r="D60" s="23" t="str">
        <f aca="false">""</f>
        <v/>
      </c>
      <c r="E60" s="23" t="str">
        <f aca="false">""</f>
        <v/>
      </c>
      <c r="F60" s="23" t="str">
        <f aca="false">""</f>
        <v/>
      </c>
      <c r="G60" s="23" t="str">
        <f aca="false">""</f>
        <v/>
      </c>
      <c r="H60" s="23" t="str">
        <f aca="false">""</f>
        <v/>
      </c>
      <c r="I60" s="23" t="str">
        <f aca="false">""</f>
        <v/>
      </c>
      <c r="J60" s="23" t="n">
        <f aca="false">IFERROR(J59/(Pipeline!I170+SUM($E$61:I61)),g_lt)</f>
        <v>0.0885350991725684</v>
      </c>
      <c r="K60" s="23" t="n">
        <f aca="false">$J$60+(g_lt-$J$60)*(2030-2029)/3</f>
        <v>0.0923567327817122</v>
      </c>
      <c r="L60" s="23" t="n">
        <f aca="false">$J$60+(g_lt-$J$60)*(2031-2029)/3</f>
        <v>0.0961783663908561</v>
      </c>
      <c r="M60" s="23" t="n">
        <f aca="false">$J$60+(g_lt-$J$60)*(2032-2029)/3</f>
        <v>0.1</v>
      </c>
    </row>
    <row r="61" customFormat="false" ht="17.15" hidden="false" customHeight="false" outlineLevel="0" collapsed="false">
      <c r="A61" s="5" t="s">
        <v>1544</v>
      </c>
      <c r="B61" s="0" t="s">
        <v>1542</v>
      </c>
      <c r="D61" s="24" t="n">
        <f aca="false">0</f>
        <v>0</v>
      </c>
      <c r="E61" s="24" t="n">
        <f aca="false">E59-E$4</f>
        <v>0</v>
      </c>
      <c r="F61" s="24" t="n">
        <f aca="false">F59-F$4</f>
        <v>0</v>
      </c>
      <c r="G61" s="24" t="n">
        <f aca="false">G59-G$4</f>
        <v>0</v>
      </c>
      <c r="H61" s="24" t="n">
        <f aca="false">H59-H$4</f>
        <v>0</v>
      </c>
      <c r="I61" s="24" t="n">
        <f aca="false">I59-I$4</f>
        <v>0</v>
      </c>
      <c r="J61" s="24" t="n">
        <f aca="false">J59-J$4</f>
        <v>0</v>
      </c>
      <c r="K61" s="24" t="n">
        <f aca="false">K59-K$4</f>
        <v>0.630374245667255</v>
      </c>
      <c r="L61" s="24" t="n">
        <f aca="false">L59-L$4</f>
        <v>4.09645313852515</v>
      </c>
      <c r="M61" s="24" t="n">
        <f aca="false">M59-M$4</f>
        <v>6.06514828452516</v>
      </c>
    </row>
    <row r="62" customFormat="false" ht="17.15" hidden="false" customHeight="false" outlineLevel="0" collapsed="false">
      <c r="A62" s="21" t="s">
        <v>1386</v>
      </c>
      <c r="B62" s="20" t="s">
        <v>1542</v>
      </c>
      <c r="C62" s="20" t="s">
        <v>1382</v>
      </c>
      <c r="D62" s="25" t="n">
        <f aca="false">Pipeline!D170+SUMPRODUCT($E$61:$M$61,Pipeline!$E$125:$M$125)</f>
        <v>0.630578355681972</v>
      </c>
      <c r="E62" s="25" t="n">
        <f aca="false">Pipeline!E170+SUMPRODUCT($E$61:$M$61,Pipeline!$E$126:$M$126)</f>
        <v>6.20938570515285</v>
      </c>
      <c r="F62" s="25" t="n">
        <f aca="false">Pipeline!F170+SUMPRODUCT($E$61:$M$61,Pipeline!$E$127:$M$127)</f>
        <v>25.3371433333333</v>
      </c>
      <c r="G62" s="25" t="n">
        <f aca="false">Pipeline!G170+SUMPRODUCT($E$61:$M$61,Pipeline!$E$128:$M$128)</f>
        <v>37.8525147943925</v>
      </c>
      <c r="H62" s="25" t="n">
        <f aca="false">Pipeline!H170+SUMPRODUCT($E$61:$M$61,Pipeline!$E$129:$M$129)</f>
        <v>46.3211599188997</v>
      </c>
      <c r="I62" s="25" t="n">
        <f aca="false">Pipeline!I170+SUMPRODUCT($E$61:$M$61,Pipeline!$E$130:$M$130)</f>
        <v>64.7090406464754</v>
      </c>
      <c r="J62" s="25" t="n">
        <f aca="false">Pipeline!J170+SUMPRODUCT($E$61:$M$61,Pipeline!$E$131:$M$131)</f>
        <v>70.4380619774728</v>
      </c>
      <c r="K62" s="25" t="n">
        <f aca="false">Pipeline!K170+SUMPRODUCT($E$61:$M$61,Pipeline!$E$132:$M$132)</f>
        <v>76.943491245188</v>
      </c>
      <c r="L62" s="25" t="n">
        <f aca="false">Pipeline!L170+SUMPRODUCT($E$61:$M$61,Pipeline!$E$133:$M$133)</f>
        <v>84.3437905375593</v>
      </c>
      <c r="M62" s="25" t="n">
        <f aca="false">Pipeline!M170+SUMPRODUCT($E$61:$M$61,Pipeline!$E$134:$M$134)</f>
        <v>92.7781695913152</v>
      </c>
    </row>
    <row r="63" customFormat="false" ht="17.15" hidden="false" customHeight="false" outlineLevel="0" collapsed="false">
      <c r="A63" s="21" t="s">
        <v>1386</v>
      </c>
      <c r="B63" s="20" t="s">
        <v>1542</v>
      </c>
      <c r="C63" s="20" t="s">
        <v>1383</v>
      </c>
      <c r="D63" s="25" t="n">
        <f aca="false">Pipeline!D171+SUMPRODUCT($E$61:$M$61,Pipeline!$E$137:$M$137)</f>
        <v>0.630578355681972</v>
      </c>
      <c r="E63" s="25" t="n">
        <f aca="false">Pipeline!E171+SUMPRODUCT($E$61:$M$61,Pipeline!$E$138:$M$138)</f>
        <v>6.20938570515285</v>
      </c>
      <c r="F63" s="25" t="n">
        <f aca="false">Pipeline!F171+SUMPRODUCT($E$61:$M$61,Pipeline!$E$139:$M$139)</f>
        <v>25.3371433333333</v>
      </c>
      <c r="G63" s="25" t="n">
        <f aca="false">Pipeline!G171+SUMPRODUCT($E$61:$M$61,Pipeline!$E$140:$M$140)</f>
        <v>37.048055095226</v>
      </c>
      <c r="H63" s="25" t="n">
        <f aca="false">Pipeline!H171+SUMPRODUCT($E$61:$M$61,Pipeline!$E$141:$M$141)</f>
        <v>44.6516053554443</v>
      </c>
      <c r="I63" s="25" t="n">
        <f aca="false">Pipeline!I171+SUMPRODUCT($E$61:$M$61,Pipeline!$E$142:$M$142)</f>
        <v>61.057307352483</v>
      </c>
      <c r="J63" s="25" t="n">
        <f aca="false">Pipeline!J171+SUMPRODUCT($E$61:$M$61,Pipeline!$E$143:$M$143)</f>
        <v>69.1808582445483</v>
      </c>
      <c r="K63" s="25" t="n">
        <f aca="false">Pipeline!K171+SUMPRODUCT($E$61:$M$61,Pipeline!$E$144:$M$144)</f>
        <v>75.5689661233378</v>
      </c>
      <c r="L63" s="25" t="n">
        <f aca="false">Pipeline!L171+SUMPRODUCT($E$61:$M$61,Pipeline!$E$145:$M$145)</f>
        <v>82.8474881613943</v>
      </c>
      <c r="M63" s="25" t="n">
        <f aca="false">Pipeline!M171+SUMPRODUCT($E$61:$M$61,Pipeline!$E$146:$M$146)</f>
        <v>91.3021532569079</v>
      </c>
    </row>
    <row r="64" customFormat="false" ht="17.15" hidden="false" customHeight="false" outlineLevel="0" collapsed="false">
      <c r="A64" s="21" t="s">
        <v>1386</v>
      </c>
      <c r="B64" s="20" t="s">
        <v>1542</v>
      </c>
      <c r="C64" s="20" t="s">
        <v>1384</v>
      </c>
      <c r="D64" s="25" t="n">
        <f aca="false">Pipeline!D172+SUMPRODUCT($E$61:$M$61,Pipeline!$E$149:$M$149)</f>
        <v>0.630578355681972</v>
      </c>
      <c r="E64" s="25" t="n">
        <f aca="false">Pipeline!E172+SUMPRODUCT($E$61:$M$61,Pipeline!$E$150:$M$150)</f>
        <v>6.20938570515285</v>
      </c>
      <c r="F64" s="25" t="n">
        <f aca="false">Pipeline!F172+SUMPRODUCT($E$61:$M$61,Pipeline!$E$151:$M$151)</f>
        <v>25.3371433333333</v>
      </c>
      <c r="G64" s="25" t="n">
        <f aca="false">Pipeline!G172+SUMPRODUCT($E$61:$M$61,Pipeline!$E$152:$M$152)</f>
        <v>37.048055095226</v>
      </c>
      <c r="H64" s="25" t="n">
        <f aca="false">Pipeline!H172+SUMPRODUCT($E$61:$M$61,Pipeline!$E$153:$M$153)</f>
        <v>41.9818891310236</v>
      </c>
      <c r="I64" s="25" t="n">
        <f aca="false">Pipeline!I172+SUMPRODUCT($E$61:$M$61,Pipeline!$E$154:$M$154)</f>
        <v>55.2147465536675</v>
      </c>
      <c r="J64" s="25" t="n">
        <f aca="false">Pipeline!J172+SUMPRODUCT($E$61:$M$61,Pipeline!$E$155:$M$155)</f>
        <v>67.7417249269513</v>
      </c>
      <c r="K64" s="25" t="n">
        <f aca="false">Pipeline!K172+SUMPRODUCT($E$61:$M$61,Pipeline!$E$156:$M$156)</f>
        <v>75.5689661233378</v>
      </c>
      <c r="L64" s="25" t="n">
        <f aca="false">Pipeline!L172+SUMPRODUCT($E$61:$M$61,Pipeline!$E$157:$M$157)</f>
        <v>82.8474881613943</v>
      </c>
      <c r="M64" s="25" t="n">
        <f aca="false">Pipeline!M172+SUMPRODUCT($E$61:$M$61,Pipeline!$E$158:$M$158)</f>
        <v>91.3021532569079</v>
      </c>
    </row>
    <row r="65" customFormat="false" ht="17.15" hidden="false" customHeight="false" outlineLevel="0" collapsed="false">
      <c r="A65" s="5" t="s">
        <v>1278</v>
      </c>
      <c r="B65" s="0" t="s">
        <v>1542</v>
      </c>
      <c r="C65" s="0" t="s">
        <v>1382</v>
      </c>
      <c r="D65" s="24" t="str">
        <f aca="false">""</f>
        <v/>
      </c>
      <c r="E65" s="24" t="n">
        <f aca="false">(D62+E62)/2</f>
        <v>3.41998203041741</v>
      </c>
      <c r="F65" s="24" t="n">
        <f aca="false">(E62+F62)/2</f>
        <v>15.7732645192431</v>
      </c>
      <c r="G65" s="24" t="n">
        <f aca="false">(F62+G62)/2</f>
        <v>31.5948290638629</v>
      </c>
      <c r="H65" s="24" t="n">
        <f aca="false">(G62+H62)/2</f>
        <v>42.0868373566461</v>
      </c>
      <c r="I65" s="24" t="n">
        <f aca="false">(H62+I62)/2</f>
        <v>55.5151002826875</v>
      </c>
      <c r="J65" s="24" t="n">
        <f aca="false">(I62+J62)/2</f>
        <v>67.5735513119741</v>
      </c>
      <c r="K65" s="24" t="n">
        <f aca="false">(J62+K62)/2</f>
        <v>73.6907766113304</v>
      </c>
      <c r="L65" s="24" t="n">
        <f aca="false">(K62+L62)/2</f>
        <v>80.6436408913737</v>
      </c>
      <c r="M65" s="24" t="n">
        <f aca="false">(L62+M62)/2</f>
        <v>88.5609800644373</v>
      </c>
    </row>
    <row r="66" customFormat="false" ht="17.15" hidden="false" customHeight="false" outlineLevel="0" collapsed="false">
      <c r="A66" s="5" t="s">
        <v>1278</v>
      </c>
      <c r="B66" s="0" t="s">
        <v>1542</v>
      </c>
      <c r="C66" s="0" t="s">
        <v>1383</v>
      </c>
      <c r="D66" s="24" t="str">
        <f aca="false">""</f>
        <v/>
      </c>
      <c r="E66" s="24" t="n">
        <f aca="false">(D63+E63)/2</f>
        <v>3.41998203041741</v>
      </c>
      <c r="F66" s="24" t="n">
        <f aca="false">(E63+F63)/2</f>
        <v>15.7732645192431</v>
      </c>
      <c r="G66" s="24" t="n">
        <f aca="false">(F63+G63)/2</f>
        <v>31.1925992142797</v>
      </c>
      <c r="H66" s="24" t="n">
        <f aca="false">(G63+H63)/2</f>
        <v>40.8498302253351</v>
      </c>
      <c r="I66" s="24" t="n">
        <f aca="false">(H63+I63)/2</f>
        <v>52.8544563539636</v>
      </c>
      <c r="J66" s="24" t="n">
        <f aca="false">(I63+J63)/2</f>
        <v>65.1190827985156</v>
      </c>
      <c r="K66" s="24" t="n">
        <f aca="false">(J63+K63)/2</f>
        <v>72.3749121839431</v>
      </c>
      <c r="L66" s="24" t="n">
        <f aca="false">(K63+L63)/2</f>
        <v>79.2082271423661</v>
      </c>
      <c r="M66" s="24" t="n">
        <f aca="false">(L63+M63)/2</f>
        <v>87.0748207091511</v>
      </c>
    </row>
    <row r="67" customFormat="false" ht="17.15" hidden="false" customHeight="false" outlineLevel="0" collapsed="false">
      <c r="A67" s="5" t="s">
        <v>1278</v>
      </c>
      <c r="B67" s="0" t="s">
        <v>1542</v>
      </c>
      <c r="C67" s="0" t="s">
        <v>1384</v>
      </c>
      <c r="D67" s="24" t="str">
        <f aca="false">""</f>
        <v/>
      </c>
      <c r="E67" s="24" t="n">
        <f aca="false">(D64+E64)/2</f>
        <v>3.41998203041741</v>
      </c>
      <c r="F67" s="24" t="n">
        <f aca="false">(E64+F64)/2</f>
        <v>15.7732645192431</v>
      </c>
      <c r="G67" s="24" t="n">
        <f aca="false">(F64+G64)/2</f>
        <v>31.1925992142797</v>
      </c>
      <c r="H67" s="24" t="n">
        <f aca="false">(G64+H64)/2</f>
        <v>39.5149721131248</v>
      </c>
      <c r="I67" s="24" t="n">
        <f aca="false">(H64+I64)/2</f>
        <v>48.5983178423455</v>
      </c>
      <c r="J67" s="24" t="n">
        <f aca="false">(I64+J64)/2</f>
        <v>61.4782357403094</v>
      </c>
      <c r="K67" s="24" t="n">
        <f aca="false">(J64+K64)/2</f>
        <v>71.6553455251446</v>
      </c>
      <c r="L67" s="24" t="n">
        <f aca="false">(K64+L64)/2</f>
        <v>79.2082271423661</v>
      </c>
      <c r="M67" s="24" t="n">
        <f aca="false">(L64+M64)/2</f>
        <v>87.0748207091511</v>
      </c>
    </row>
    <row r="68" customFormat="false" ht="17.15" hidden="false" customHeight="false" outlineLevel="0" collapsed="false">
      <c r="A68" s="5" t="s">
        <v>1387</v>
      </c>
      <c r="B68" s="0" t="s">
        <v>1542</v>
      </c>
      <c r="C68" s="0" t="s">
        <v>1382</v>
      </c>
      <c r="D68" s="24" t="n">
        <f aca="false">0</f>
        <v>0</v>
      </c>
      <c r="E68" s="24" t="n">
        <f aca="false">E62-D62-E$6</f>
        <v>1.61980834349181</v>
      </c>
      <c r="F68" s="24" t="n">
        <f aca="false">F62-E62-F$6</f>
        <v>9.04912429484716</v>
      </c>
      <c r="G68" s="24" t="n">
        <f aca="false">G62-F62-G$6</f>
        <v>12.5153714610592</v>
      </c>
      <c r="H68" s="24" t="n">
        <f aca="false">H62-G62-H$6</f>
        <v>8.46864512450717</v>
      </c>
      <c r="I68" s="24" t="n">
        <f aca="false">I62-H62-I$6</f>
        <v>18.3878807275757</v>
      </c>
      <c r="J68" s="24" t="n">
        <f aca="false">J62-I62-J$6</f>
        <v>5.72902133099746</v>
      </c>
      <c r="K68" s="24" t="n">
        <f aca="false">K62-J62-K$6</f>
        <v>6.50542926771514</v>
      </c>
      <c r="L68" s="24" t="n">
        <f aca="false">L62-K62-L$6</f>
        <v>7.40029929237132</v>
      </c>
      <c r="M68" s="24" t="n">
        <f aca="false">M62-L62-M$6</f>
        <v>8.43437905375593</v>
      </c>
    </row>
    <row r="69" customFormat="false" ht="17.15" hidden="false" customHeight="false" outlineLevel="0" collapsed="false">
      <c r="A69" s="5" t="s">
        <v>1387</v>
      </c>
      <c r="B69" s="0" t="s">
        <v>1542</v>
      </c>
      <c r="C69" s="0" t="s">
        <v>1383</v>
      </c>
      <c r="D69" s="24" t="n">
        <f aca="false">0</f>
        <v>0</v>
      </c>
      <c r="E69" s="24" t="n">
        <f aca="false">E63-D63-E$6</f>
        <v>1.61980834349181</v>
      </c>
      <c r="F69" s="24" t="n">
        <f aca="false">F63-E63-F$6</f>
        <v>9.04912429484716</v>
      </c>
      <c r="G69" s="24" t="n">
        <f aca="false">G63-F63-G$6</f>
        <v>11.7109117618926</v>
      </c>
      <c r="H69" s="24" t="n">
        <f aca="false">H63-G63-H$6</f>
        <v>7.6035502602183</v>
      </c>
      <c r="I69" s="24" t="n">
        <f aca="false">I63-H63-I$6</f>
        <v>16.4057019970387</v>
      </c>
      <c r="J69" s="24" t="n">
        <f aca="false">J63-I63-J$6</f>
        <v>8.12355089206531</v>
      </c>
      <c r="K69" s="24" t="n">
        <f aca="false">K63-J63-K$6</f>
        <v>6.38810787878956</v>
      </c>
      <c r="L69" s="24" t="n">
        <f aca="false">L63-K63-L$6</f>
        <v>7.27852203805649</v>
      </c>
      <c r="M69" s="24" t="n">
        <f aca="false">M63-L63-M$6</f>
        <v>8.45466509551362</v>
      </c>
    </row>
    <row r="70" customFormat="false" ht="17.15" hidden="false" customHeight="false" outlineLevel="0" collapsed="false">
      <c r="A70" s="5" t="s">
        <v>1387</v>
      </c>
      <c r="B70" s="0" t="s">
        <v>1542</v>
      </c>
      <c r="C70" s="0" t="s">
        <v>1384</v>
      </c>
      <c r="D70" s="24" t="n">
        <f aca="false">0</f>
        <v>0</v>
      </c>
      <c r="E70" s="24" t="n">
        <f aca="false">E64-D64-E$6</f>
        <v>1.61980834349181</v>
      </c>
      <c r="F70" s="24" t="n">
        <f aca="false">F64-E64-F$6</f>
        <v>9.04912429484716</v>
      </c>
      <c r="G70" s="24" t="n">
        <f aca="false">G64-F64-G$6</f>
        <v>11.7109117618926</v>
      </c>
      <c r="H70" s="24" t="n">
        <f aca="false">H64-G64-H$6</f>
        <v>4.9338340357976</v>
      </c>
      <c r="I70" s="24" t="n">
        <f aca="false">I64-H64-I$6</f>
        <v>13.2328574226439</v>
      </c>
      <c r="J70" s="24" t="n">
        <f aca="false">J64-I64-J$6</f>
        <v>12.5269783732838</v>
      </c>
      <c r="K70" s="24" t="n">
        <f aca="false">K64-J64-K$6</f>
        <v>7.82724119638651</v>
      </c>
      <c r="L70" s="24" t="n">
        <f aca="false">L64-K64-L$6</f>
        <v>7.27852203805649</v>
      </c>
      <c r="M70" s="24" t="n">
        <f aca="false">M64-L64-M$6</f>
        <v>8.45466509551362</v>
      </c>
    </row>
    <row r="71" customFormat="false" ht="17.15" hidden="false" customHeight="false" outlineLevel="0" collapsed="false">
      <c r="A71" s="5" t="s">
        <v>1388</v>
      </c>
      <c r="B71" s="0" t="s">
        <v>1542</v>
      </c>
      <c r="C71" s="0" t="s">
        <v>1383</v>
      </c>
      <c r="D71" s="24" t="n">
        <f aca="false">D62-D63</f>
        <v>0</v>
      </c>
      <c r="E71" s="24" t="n">
        <f aca="false">E62-E63</f>
        <v>0</v>
      </c>
      <c r="F71" s="24" t="n">
        <f aca="false">F62-F63</f>
        <v>0</v>
      </c>
      <c r="G71" s="24" t="n">
        <f aca="false">G62-G63</f>
        <v>0.80445969916655</v>
      </c>
      <c r="H71" s="24" t="n">
        <f aca="false">H62-H63</f>
        <v>1.66955456345542</v>
      </c>
      <c r="I71" s="24" t="n">
        <f aca="false">I62-I63</f>
        <v>3.65173329399242</v>
      </c>
      <c r="J71" s="24" t="n">
        <f aca="false">J62-J63</f>
        <v>1.25720373292457</v>
      </c>
      <c r="K71" s="24" t="n">
        <f aca="false">K62-K63</f>
        <v>1.37452512185016</v>
      </c>
      <c r="L71" s="24" t="n">
        <f aca="false">L62-L63</f>
        <v>1.49630237616498</v>
      </c>
      <c r="M71" s="24" t="n">
        <f aca="false">M62-M63</f>
        <v>1.47601633440729</v>
      </c>
    </row>
    <row r="72" customFormat="false" ht="17.15" hidden="false" customHeight="false" outlineLevel="0" collapsed="false">
      <c r="A72" s="5" t="s">
        <v>1388</v>
      </c>
      <c r="B72" s="0" t="s">
        <v>1542</v>
      </c>
      <c r="C72" s="0" t="s">
        <v>1384</v>
      </c>
      <c r="D72" s="24" t="n">
        <f aca="false">D62-D64</f>
        <v>0</v>
      </c>
      <c r="E72" s="24" t="n">
        <f aca="false">E62-E64</f>
        <v>0</v>
      </c>
      <c r="F72" s="24" t="n">
        <f aca="false">F62-F64</f>
        <v>0</v>
      </c>
      <c r="G72" s="24" t="n">
        <f aca="false">G62-G64</f>
        <v>0.80445969916655</v>
      </c>
      <c r="H72" s="24" t="n">
        <f aca="false">H62-H64</f>
        <v>4.33927078787612</v>
      </c>
      <c r="I72" s="24" t="n">
        <f aca="false">I62-I64</f>
        <v>9.49429409280789</v>
      </c>
      <c r="J72" s="24" t="n">
        <f aca="false">J62-J64</f>
        <v>2.69633705052152</v>
      </c>
      <c r="K72" s="24" t="n">
        <f aca="false">K62-K64</f>
        <v>1.37452512185016</v>
      </c>
      <c r="L72" s="24" t="n">
        <f aca="false">L62-L64</f>
        <v>1.49630237616498</v>
      </c>
      <c r="M72" s="24" t="n">
        <f aca="false">M62-M64</f>
        <v>1.47601633440729</v>
      </c>
    </row>
    <row r="74" customFormat="false" ht="17.15" hidden="false" customHeight="false" outlineLevel="0" collapsed="false">
      <c r="A74" s="21" t="s">
        <v>1551</v>
      </c>
    </row>
    <row r="75" customFormat="false" ht="17.15" hidden="false" customHeight="false" outlineLevel="0" collapsed="false">
      <c r="A75" s="5" t="s">
        <v>1541</v>
      </c>
      <c r="B75" s="0" t="s">
        <v>1546</v>
      </c>
      <c r="C75" s="0" t="s">
        <v>1382</v>
      </c>
      <c r="D75" s="24" t="n">
        <f aca="false">0</f>
        <v>0</v>
      </c>
      <c r="E75" s="24" t="n">
        <f aca="false">E$4</f>
        <v>1.61980834349181</v>
      </c>
      <c r="F75" s="24" t="n">
        <f aca="false">F$4</f>
        <v>9.04912429484716</v>
      </c>
      <c r="G75" s="24" t="n">
        <f aca="false">G$4</f>
        <v>12.5153714610592</v>
      </c>
      <c r="H75" s="24" t="n">
        <f aca="false">H$4</f>
        <v>8.46864512450717</v>
      </c>
      <c r="I75" s="24" t="n">
        <f aca="false">I$4*SIL_In!$I$28</f>
        <v>14.7103045820606</v>
      </c>
      <c r="J75" s="24" t="n">
        <f aca="false">J$4*SIL_In!$J$28</f>
        <v>4.86966813134784</v>
      </c>
      <c r="K75" s="24" t="n">
        <f aca="false">(Pipeline!J170+SUM($E$77:J77))*K76</f>
        <v>5.70218199752964</v>
      </c>
      <c r="L75" s="24" t="n">
        <f aca="false">(Pipeline!K170+SUM($E$77:K77))*L76</f>
        <v>6.67795112103726</v>
      </c>
      <c r="M75" s="24" t="n">
        <f aca="false">(Pipeline!L170+SUM($E$77:L77))*M76</f>
        <v>7.8281265750875</v>
      </c>
    </row>
    <row r="76" customFormat="false" ht="17.15" hidden="false" customHeight="false" outlineLevel="0" collapsed="false">
      <c r="A76" s="5" t="s">
        <v>1543</v>
      </c>
      <c r="B76" s="0" t="s">
        <v>1546</v>
      </c>
      <c r="D76" s="23" t="str">
        <f aca="false">""</f>
        <v/>
      </c>
      <c r="E76" s="23" t="str">
        <f aca="false">""</f>
        <v/>
      </c>
      <c r="F76" s="23" t="str">
        <f aca="false">""</f>
        <v/>
      </c>
      <c r="G76" s="23" t="str">
        <f aca="false">""</f>
        <v/>
      </c>
      <c r="H76" s="23" t="str">
        <f aca="false">""</f>
        <v/>
      </c>
      <c r="I76" s="23" t="str">
        <f aca="false">""</f>
        <v/>
      </c>
      <c r="J76" s="23" t="n">
        <f aca="false">IFERROR(J75/(Pipeline!I170+SUM($E$77:I77)),g_lt)</f>
        <v>0.0797894687791937</v>
      </c>
      <c r="K76" s="23" t="n">
        <f aca="false">$J$76+(g_lt-$J$76)*(2030-2029)/3</f>
        <v>0.0865263125194625</v>
      </c>
      <c r="L76" s="23" t="n">
        <f aca="false">$J$76+(g_lt-$J$76)*(2031-2029)/3</f>
        <v>0.0932631562597312</v>
      </c>
      <c r="M76" s="23" t="n">
        <f aca="false">$J$76+(g_lt-$J$76)*(2032-2029)/3</f>
        <v>0.1</v>
      </c>
    </row>
    <row r="77" customFormat="false" ht="17.15" hidden="false" customHeight="false" outlineLevel="0" collapsed="false">
      <c r="A77" s="5" t="s">
        <v>1544</v>
      </c>
      <c r="B77" s="0" t="s">
        <v>1546</v>
      </c>
      <c r="D77" s="24" t="n">
        <f aca="false">0</f>
        <v>0</v>
      </c>
      <c r="E77" s="24" t="n">
        <f aca="false">E75-E$4</f>
        <v>0</v>
      </c>
      <c r="F77" s="24" t="n">
        <f aca="false">F75-F$4</f>
        <v>0</v>
      </c>
      <c r="G77" s="24" t="n">
        <f aca="false">G75-G$4</f>
        <v>0</v>
      </c>
      <c r="H77" s="24" t="n">
        <f aca="false">H75-H$4</f>
        <v>0</v>
      </c>
      <c r="I77" s="24" t="n">
        <f aca="false">I75-I$4</f>
        <v>-3.67757614551514</v>
      </c>
      <c r="J77" s="24" t="n">
        <f aca="false">J75-J$4</f>
        <v>-0.859353199649618</v>
      </c>
      <c r="K77" s="24" t="n">
        <f aca="false">K75-K$4</f>
        <v>-0.172873024518252</v>
      </c>
      <c r="L77" s="24" t="n">
        <f aca="false">L75-L$4</f>
        <v>3.37410496719109</v>
      </c>
      <c r="M77" s="24" t="n">
        <f aca="false">M75-M$4</f>
        <v>5.45889580585673</v>
      </c>
    </row>
    <row r="78" customFormat="false" ht="17.15" hidden="false" customHeight="false" outlineLevel="0" collapsed="false">
      <c r="A78" s="21" t="s">
        <v>1386</v>
      </c>
      <c r="B78" s="20" t="s">
        <v>1546</v>
      </c>
      <c r="C78" s="20" t="s">
        <v>1382</v>
      </c>
      <c r="D78" s="25" t="n">
        <f aca="false">Pipeline!D170+SUMPRODUCT($E$77:$M$77,Pipeline!$E$125:$M$125)</f>
        <v>0.630578355681972</v>
      </c>
      <c r="E78" s="25" t="n">
        <f aca="false">Pipeline!E170+SUMPRODUCT($E$77:$M$77,Pipeline!$E$126:$M$126)</f>
        <v>6.20938570515285</v>
      </c>
      <c r="F78" s="25" t="n">
        <f aca="false">Pipeline!F170+SUMPRODUCT($E$77:$M$77,Pipeline!$E$127:$M$127)</f>
        <v>25.3371433333333</v>
      </c>
      <c r="G78" s="25" t="n">
        <f aca="false">Pipeline!G170+SUMPRODUCT($E$77:$M$77,Pipeline!$E$128:$M$128)</f>
        <v>37.8525147943925</v>
      </c>
      <c r="H78" s="25" t="n">
        <f aca="false">Pipeline!H170+SUMPRODUCT($E$77:$M$77,Pipeline!$E$129:$M$129)</f>
        <v>46.3211599188997</v>
      </c>
      <c r="I78" s="25" t="n">
        <f aca="false">Pipeline!I170+SUMPRODUCT($E$77:$M$77,Pipeline!$E$130:$M$130)</f>
        <v>61.0314645009603</v>
      </c>
      <c r="J78" s="25" t="n">
        <f aca="false">Pipeline!J170+SUMPRODUCT($E$77:$M$77,Pipeline!$E$131:$M$131)</f>
        <v>65.9011326323081</v>
      </c>
      <c r="K78" s="25" t="n">
        <f aca="false">Pipeline!K170+SUMPRODUCT($E$77:$M$77,Pipeline!$E$132:$M$132)</f>
        <v>71.6033146298377</v>
      </c>
      <c r="L78" s="25" t="n">
        <f aca="false">Pipeline!L170+SUMPRODUCT($E$77:$M$77,Pipeline!$E$133:$M$133)</f>
        <v>78.281265750875</v>
      </c>
      <c r="M78" s="25" t="n">
        <f aca="false">Pipeline!M170+SUMPRODUCT($E$77:$M$77,Pipeline!$E$134:$M$134)</f>
        <v>86.1093923259625</v>
      </c>
    </row>
    <row r="79" customFormat="false" ht="17.15" hidden="false" customHeight="false" outlineLevel="0" collapsed="false">
      <c r="A79" s="21" t="s">
        <v>1386</v>
      </c>
      <c r="B79" s="20" t="s">
        <v>1546</v>
      </c>
      <c r="C79" s="20" t="s">
        <v>1383</v>
      </c>
      <c r="D79" s="25" t="n">
        <f aca="false">Pipeline!D171+SUMPRODUCT($E$77:$M$77,Pipeline!$E$137:$M$137)</f>
        <v>0.630578355681972</v>
      </c>
      <c r="E79" s="25" t="n">
        <f aca="false">Pipeline!E171+SUMPRODUCT($E$77:$M$77,Pipeline!$E$138:$M$138)</f>
        <v>6.20938570515285</v>
      </c>
      <c r="F79" s="25" t="n">
        <f aca="false">Pipeline!F171+SUMPRODUCT($E$77:$M$77,Pipeline!$E$139:$M$139)</f>
        <v>25.3371433333333</v>
      </c>
      <c r="G79" s="25" t="n">
        <f aca="false">Pipeline!G171+SUMPRODUCT($E$77:$M$77,Pipeline!$E$140:$M$140)</f>
        <v>37.048055095226</v>
      </c>
      <c r="H79" s="25" t="n">
        <f aca="false">Pipeline!H171+SUMPRODUCT($E$77:$M$77,Pipeline!$E$141:$M$141)</f>
        <v>44.6516053554443</v>
      </c>
      <c r="I79" s="25" t="n">
        <f aca="false">Pipeline!I171+SUMPRODUCT($E$77:$M$77,Pipeline!$E$142:$M$142)</f>
        <v>58.023307032433</v>
      </c>
      <c r="J79" s="25" t="n">
        <f aca="false">Pipeline!J171+SUMPRODUCT($E$77:$M$77,Pipeline!$E$143:$M$143)</f>
        <v>64.7943157093222</v>
      </c>
      <c r="K79" s="25" t="n">
        <f aca="false">Pipeline!K171+SUMPRODUCT($E$77:$M$77,Pipeline!$E$144:$M$144)</f>
        <v>70.36935778027</v>
      </c>
      <c r="L79" s="25" t="n">
        <f aca="false">Pipeline!L171+SUMPRODUCT($E$77:$M$77,Pipeline!$E$145:$M$145)</f>
        <v>76.9113743046935</v>
      </c>
      <c r="M79" s="25" t="n">
        <f aca="false">Pipeline!M171+SUMPRODUCT($E$77:$M$77,Pipeline!$E$146:$M$146)</f>
        <v>84.7394701753222</v>
      </c>
    </row>
    <row r="80" customFormat="false" ht="17.15" hidden="false" customHeight="false" outlineLevel="0" collapsed="false">
      <c r="A80" s="21" t="s">
        <v>1386</v>
      </c>
      <c r="B80" s="20" t="s">
        <v>1546</v>
      </c>
      <c r="C80" s="20" t="s">
        <v>1384</v>
      </c>
      <c r="D80" s="25" t="n">
        <f aca="false">Pipeline!D172+SUMPRODUCT($E$77:$M$77,Pipeline!$E$149:$M$149)</f>
        <v>0.630578355681972</v>
      </c>
      <c r="E80" s="25" t="n">
        <f aca="false">Pipeline!E172+SUMPRODUCT($E$77:$M$77,Pipeline!$E$150:$M$150)</f>
        <v>6.20938570515285</v>
      </c>
      <c r="F80" s="25" t="n">
        <f aca="false">Pipeline!F172+SUMPRODUCT($E$77:$M$77,Pipeline!$E$151:$M$151)</f>
        <v>25.3371433333333</v>
      </c>
      <c r="G80" s="25" t="n">
        <f aca="false">Pipeline!G172+SUMPRODUCT($E$77:$M$77,Pipeline!$E$152:$M$152)</f>
        <v>37.048055095226</v>
      </c>
      <c r="H80" s="25" t="n">
        <f aca="false">Pipeline!H172+SUMPRODUCT($E$77:$M$77,Pipeline!$E$153:$M$153)</f>
        <v>41.9818891310236</v>
      </c>
      <c r="I80" s="25" t="n">
        <f aca="false">Pipeline!I172+SUMPRODUCT($E$77:$M$77,Pipeline!$E$154:$M$154)</f>
        <v>53.3943463616375</v>
      </c>
      <c r="J80" s="25" t="n">
        <f aca="false">Pipeline!J172+SUMPRODUCT($E$77:$M$77,Pipeline!$E$155:$M$155)</f>
        <v>63.6126127219113</v>
      </c>
      <c r="K80" s="25" t="n">
        <f aca="false">Pipeline!K172+SUMPRODUCT($E$77:$M$77,Pipeline!$E$156:$M$156)</f>
        <v>70.36935778027</v>
      </c>
      <c r="L80" s="25" t="n">
        <f aca="false">Pipeline!L172+SUMPRODUCT($E$77:$M$77,Pipeline!$E$157:$M$157)</f>
        <v>76.9113743046935</v>
      </c>
      <c r="M80" s="25" t="n">
        <f aca="false">Pipeline!M172+SUMPRODUCT($E$77:$M$77,Pipeline!$E$158:$M$158)</f>
        <v>84.7394701753222</v>
      </c>
    </row>
    <row r="81" customFormat="false" ht="17.15" hidden="false" customHeight="false" outlineLevel="0" collapsed="false">
      <c r="A81" s="5" t="s">
        <v>1278</v>
      </c>
      <c r="B81" s="0" t="s">
        <v>1546</v>
      </c>
      <c r="C81" s="0" t="s">
        <v>1382</v>
      </c>
      <c r="D81" s="24" t="str">
        <f aca="false">""</f>
        <v/>
      </c>
      <c r="E81" s="24" t="n">
        <f aca="false">(D78+E78)/2</f>
        <v>3.41998203041741</v>
      </c>
      <c r="F81" s="24" t="n">
        <f aca="false">(E78+F78)/2</f>
        <v>15.7732645192431</v>
      </c>
      <c r="G81" s="24" t="n">
        <f aca="false">(F78+G78)/2</f>
        <v>31.5948290638629</v>
      </c>
      <c r="H81" s="24" t="n">
        <f aca="false">(G78+H78)/2</f>
        <v>42.0868373566461</v>
      </c>
      <c r="I81" s="24" t="n">
        <f aca="false">(H78+I78)/2</f>
        <v>53.67631220993</v>
      </c>
      <c r="J81" s="24" t="n">
        <f aca="false">(I78+J78)/2</f>
        <v>63.4662985666342</v>
      </c>
      <c r="K81" s="24" t="n">
        <f aca="false">(J78+K78)/2</f>
        <v>68.7522236310729</v>
      </c>
      <c r="L81" s="24" t="n">
        <f aca="false">(K78+L78)/2</f>
        <v>74.9422901903564</v>
      </c>
      <c r="M81" s="24" t="n">
        <f aca="false">(L78+M78)/2</f>
        <v>82.1953290384187</v>
      </c>
    </row>
    <row r="82" customFormat="false" ht="17.15" hidden="false" customHeight="false" outlineLevel="0" collapsed="false">
      <c r="A82" s="5" t="s">
        <v>1278</v>
      </c>
      <c r="B82" s="0" t="s">
        <v>1546</v>
      </c>
      <c r="C82" s="0" t="s">
        <v>1383</v>
      </c>
      <c r="D82" s="24" t="str">
        <f aca="false">""</f>
        <v/>
      </c>
      <c r="E82" s="24" t="n">
        <f aca="false">(D79+E79)/2</f>
        <v>3.41998203041741</v>
      </c>
      <c r="F82" s="24" t="n">
        <f aca="false">(E79+F79)/2</f>
        <v>15.7732645192431</v>
      </c>
      <c r="G82" s="24" t="n">
        <f aca="false">(F79+G79)/2</f>
        <v>31.1925992142797</v>
      </c>
      <c r="H82" s="24" t="n">
        <f aca="false">(G79+H79)/2</f>
        <v>40.8498302253351</v>
      </c>
      <c r="I82" s="24" t="n">
        <f aca="false">(H79+I79)/2</f>
        <v>51.3374561939386</v>
      </c>
      <c r="J82" s="24" t="n">
        <f aca="false">(I79+J79)/2</f>
        <v>61.4088113708776</v>
      </c>
      <c r="K82" s="24" t="n">
        <f aca="false">(J79+K79)/2</f>
        <v>67.5818367447961</v>
      </c>
      <c r="L82" s="24" t="n">
        <f aca="false">(K79+L79)/2</f>
        <v>73.6403660424817</v>
      </c>
      <c r="M82" s="24" t="n">
        <f aca="false">(L79+M79)/2</f>
        <v>80.8254222400078</v>
      </c>
    </row>
    <row r="83" customFormat="false" ht="17.15" hidden="false" customHeight="false" outlineLevel="0" collapsed="false">
      <c r="A83" s="5" t="s">
        <v>1278</v>
      </c>
      <c r="B83" s="0" t="s">
        <v>1546</v>
      </c>
      <c r="C83" s="0" t="s">
        <v>1384</v>
      </c>
      <c r="D83" s="24" t="str">
        <f aca="false">""</f>
        <v/>
      </c>
      <c r="E83" s="24" t="n">
        <f aca="false">(D80+E80)/2</f>
        <v>3.41998203041741</v>
      </c>
      <c r="F83" s="24" t="n">
        <f aca="false">(E80+F80)/2</f>
        <v>15.7732645192431</v>
      </c>
      <c r="G83" s="24" t="n">
        <f aca="false">(F80+G80)/2</f>
        <v>31.1925992142797</v>
      </c>
      <c r="H83" s="24" t="n">
        <f aca="false">(G80+H80)/2</f>
        <v>39.5149721131248</v>
      </c>
      <c r="I83" s="24" t="n">
        <f aca="false">(H80+I80)/2</f>
        <v>47.6881177463305</v>
      </c>
      <c r="J83" s="24" t="n">
        <f aca="false">(I80+J80)/2</f>
        <v>58.5034795417744</v>
      </c>
      <c r="K83" s="24" t="n">
        <f aca="false">(J80+K80)/2</f>
        <v>66.9909852510907</v>
      </c>
      <c r="L83" s="24" t="n">
        <f aca="false">(K80+L80)/2</f>
        <v>73.6403660424817</v>
      </c>
      <c r="M83" s="24" t="n">
        <f aca="false">(L80+M80)/2</f>
        <v>80.8254222400078</v>
      </c>
    </row>
    <row r="84" customFormat="false" ht="17.15" hidden="false" customHeight="false" outlineLevel="0" collapsed="false">
      <c r="A84" s="5" t="s">
        <v>1387</v>
      </c>
      <c r="B84" s="0" t="s">
        <v>1546</v>
      </c>
      <c r="C84" s="0" t="s">
        <v>1382</v>
      </c>
      <c r="D84" s="24" t="n">
        <f aca="false">0</f>
        <v>0</v>
      </c>
      <c r="E84" s="24" t="n">
        <f aca="false">E78-D78-E$6</f>
        <v>1.61980834349181</v>
      </c>
      <c r="F84" s="24" t="n">
        <f aca="false">F78-E78-F$6</f>
        <v>9.04912429484716</v>
      </c>
      <c r="G84" s="24" t="n">
        <f aca="false">G78-F78-G$6</f>
        <v>12.5153714610592</v>
      </c>
      <c r="H84" s="24" t="n">
        <f aca="false">H78-G78-H$6</f>
        <v>8.46864512450717</v>
      </c>
      <c r="I84" s="24" t="n">
        <f aca="false">I78-H78-I$6</f>
        <v>14.7103045820606</v>
      </c>
      <c r="J84" s="24" t="n">
        <f aca="false">J78-I78-J$6</f>
        <v>4.86966813134784</v>
      </c>
      <c r="K84" s="24" t="n">
        <f aca="false">K78-J78-K$6</f>
        <v>5.70218199752964</v>
      </c>
      <c r="L84" s="24" t="n">
        <f aca="false">L78-K78-L$6</f>
        <v>6.67795112103725</v>
      </c>
      <c r="M84" s="24" t="n">
        <f aca="false">M78-L78-M$6</f>
        <v>7.8281265750875</v>
      </c>
    </row>
    <row r="85" customFormat="false" ht="17.15" hidden="false" customHeight="false" outlineLevel="0" collapsed="false">
      <c r="A85" s="5" t="s">
        <v>1387</v>
      </c>
      <c r="B85" s="0" t="s">
        <v>1546</v>
      </c>
      <c r="C85" s="0" t="s">
        <v>1383</v>
      </c>
      <c r="D85" s="24" t="n">
        <f aca="false">0</f>
        <v>0</v>
      </c>
      <c r="E85" s="24" t="n">
        <f aca="false">E79-D79-E$6</f>
        <v>1.61980834349181</v>
      </c>
      <c r="F85" s="24" t="n">
        <f aca="false">F79-E79-F$6</f>
        <v>9.04912429484716</v>
      </c>
      <c r="G85" s="24" t="n">
        <f aca="false">G79-F79-G$6</f>
        <v>11.7109117618926</v>
      </c>
      <c r="H85" s="24" t="n">
        <f aca="false">H79-G79-H$6</f>
        <v>7.6035502602183</v>
      </c>
      <c r="I85" s="24" t="n">
        <f aca="false">I79-H79-I$6</f>
        <v>13.3717016769887</v>
      </c>
      <c r="J85" s="24" t="n">
        <f aca="false">J79-I79-J$6</f>
        <v>6.77100867688923</v>
      </c>
      <c r="K85" s="24" t="n">
        <f aca="false">K79-J79-K$6</f>
        <v>5.57504207094783</v>
      </c>
      <c r="L85" s="24" t="n">
        <f aca="false">L79-K79-L$6</f>
        <v>6.54201652442342</v>
      </c>
      <c r="M85" s="24" t="n">
        <f aca="false">M79-L79-M$6</f>
        <v>7.8280958706287</v>
      </c>
    </row>
    <row r="86" customFormat="false" ht="17.15" hidden="false" customHeight="false" outlineLevel="0" collapsed="false">
      <c r="A86" s="5" t="s">
        <v>1387</v>
      </c>
      <c r="B86" s="0" t="s">
        <v>1546</v>
      </c>
      <c r="C86" s="0" t="s">
        <v>1384</v>
      </c>
      <c r="D86" s="24" t="n">
        <f aca="false">0</f>
        <v>0</v>
      </c>
      <c r="E86" s="24" t="n">
        <f aca="false">E80-D80-E$6</f>
        <v>1.61980834349181</v>
      </c>
      <c r="F86" s="24" t="n">
        <f aca="false">F80-E80-F$6</f>
        <v>9.04912429484716</v>
      </c>
      <c r="G86" s="24" t="n">
        <f aca="false">G80-F80-G$6</f>
        <v>11.7109117618926</v>
      </c>
      <c r="H86" s="24" t="n">
        <f aca="false">H80-G80-H$6</f>
        <v>4.9338340357976</v>
      </c>
      <c r="I86" s="24" t="n">
        <f aca="false">I80-H80-I$6</f>
        <v>11.4124572306139</v>
      </c>
      <c r="J86" s="24" t="n">
        <f aca="false">J80-I80-J$6</f>
        <v>10.2182663602738</v>
      </c>
      <c r="K86" s="24" t="n">
        <f aca="false">K80-J80-K$6</f>
        <v>6.75674505835873</v>
      </c>
      <c r="L86" s="24" t="n">
        <f aca="false">L80-K80-L$6</f>
        <v>6.54201652442342</v>
      </c>
      <c r="M86" s="24" t="n">
        <f aca="false">M80-L80-M$6</f>
        <v>7.8280958706287</v>
      </c>
    </row>
    <row r="87" customFormat="false" ht="17.15" hidden="false" customHeight="false" outlineLevel="0" collapsed="false">
      <c r="A87" s="5" t="s">
        <v>1388</v>
      </c>
      <c r="B87" s="0" t="s">
        <v>1546</v>
      </c>
      <c r="C87" s="0" t="s">
        <v>1383</v>
      </c>
      <c r="D87" s="24" t="n">
        <f aca="false">D78-D79</f>
        <v>0</v>
      </c>
      <c r="E87" s="24" t="n">
        <f aca="false">E78-E79</f>
        <v>0</v>
      </c>
      <c r="F87" s="24" t="n">
        <f aca="false">F78-F79</f>
        <v>0</v>
      </c>
      <c r="G87" s="24" t="n">
        <f aca="false">G78-G79</f>
        <v>0.80445969916655</v>
      </c>
      <c r="H87" s="24" t="n">
        <f aca="false">H78-H79</f>
        <v>1.66955456345542</v>
      </c>
      <c r="I87" s="24" t="n">
        <f aca="false">I78-I79</f>
        <v>3.00815746852727</v>
      </c>
      <c r="J87" s="24" t="n">
        <f aca="false">J78-J79</f>
        <v>1.10681692298589</v>
      </c>
      <c r="K87" s="24" t="n">
        <f aca="false">K78-K79</f>
        <v>1.23395684956769</v>
      </c>
      <c r="L87" s="24" t="n">
        <f aca="false">L78-L79</f>
        <v>1.36989144618153</v>
      </c>
      <c r="M87" s="24" t="n">
        <f aca="false">M78-M79</f>
        <v>1.36992215064032</v>
      </c>
    </row>
    <row r="88" customFormat="false" ht="17.15" hidden="false" customHeight="false" outlineLevel="0" collapsed="false">
      <c r="A88" s="5" t="s">
        <v>1388</v>
      </c>
      <c r="B88" s="0" t="s">
        <v>1546</v>
      </c>
      <c r="C88" s="0" t="s">
        <v>1384</v>
      </c>
      <c r="D88" s="24" t="n">
        <f aca="false">D78-D80</f>
        <v>0</v>
      </c>
      <c r="E88" s="24" t="n">
        <f aca="false">E78-E80</f>
        <v>0</v>
      </c>
      <c r="F88" s="24" t="n">
        <f aca="false">F78-F80</f>
        <v>0</v>
      </c>
      <c r="G88" s="24" t="n">
        <f aca="false">G78-G80</f>
        <v>0.80445969916655</v>
      </c>
      <c r="H88" s="24" t="n">
        <f aca="false">H78-H80</f>
        <v>4.33927078787612</v>
      </c>
      <c r="I88" s="24" t="n">
        <f aca="false">I78-I80</f>
        <v>7.63711813932274</v>
      </c>
      <c r="J88" s="24" t="n">
        <f aca="false">J78-J80</f>
        <v>2.28851991039679</v>
      </c>
      <c r="K88" s="24" t="n">
        <f aca="false">K78-K80</f>
        <v>1.23395684956769</v>
      </c>
      <c r="L88" s="24" t="n">
        <f aca="false">L78-L80</f>
        <v>1.36989144618153</v>
      </c>
      <c r="M88" s="24" t="n">
        <f aca="false">M78-M80</f>
        <v>1.36992215064032</v>
      </c>
    </row>
    <row r="90" customFormat="false" ht="17.15" hidden="false" customHeight="false" outlineLevel="0" collapsed="false">
      <c r="A90" s="21" t="s">
        <v>1552</v>
      </c>
    </row>
    <row r="91" customFormat="false" ht="17.15" hidden="false" customHeight="false" outlineLevel="0" collapsed="false">
      <c r="A91" s="5" t="s">
        <v>1541</v>
      </c>
      <c r="B91" s="0" t="s">
        <v>1548</v>
      </c>
      <c r="C91" s="0" t="s">
        <v>1382</v>
      </c>
      <c r="D91" s="24" t="n">
        <f aca="false">0</f>
        <v>0</v>
      </c>
      <c r="E91" s="24" t="n">
        <f aca="false">E$4</f>
        <v>1.61980834349181</v>
      </c>
      <c r="F91" s="24" t="n">
        <f aca="false">F$4</f>
        <v>9.04912429484716</v>
      </c>
      <c r="G91" s="24" t="n">
        <f aca="false">G$4</f>
        <v>12.5153714610592</v>
      </c>
      <c r="H91" s="24" t="n">
        <f aca="false">H$4</f>
        <v>8.46864512450717</v>
      </c>
      <c r="I91" s="24" t="n">
        <f aca="false">I$4*SIL_In!$I$29</f>
        <v>11.0327284365454</v>
      </c>
      <c r="J91" s="24" t="n">
        <f aca="false">J$4*SIL_In!$J$29</f>
        <v>3.43741279859847</v>
      </c>
      <c r="K91" s="24" t="n">
        <f aca="false">(Pipeline!J170+SUM($E$93:J93))*K92</f>
        <v>4.45532909903148</v>
      </c>
      <c r="L91" s="24" t="n">
        <f aca="false">(Pipeline!K170+SUM($E$93:K93))*L92</f>
        <v>5.65325920182806</v>
      </c>
      <c r="M91" s="24" t="n">
        <f aca="false">(Pipeline!L170+SUM($E$93:L93))*M92</f>
        <v>7.08998894549031</v>
      </c>
    </row>
    <row r="92" customFormat="false" ht="17.15" hidden="false" customHeight="false" outlineLevel="0" collapsed="false">
      <c r="A92" s="5" t="s">
        <v>1543</v>
      </c>
      <c r="B92" s="0" t="s">
        <v>1548</v>
      </c>
      <c r="D92" s="23" t="str">
        <f aca="false">""</f>
        <v/>
      </c>
      <c r="E92" s="23" t="str">
        <f aca="false">""</f>
        <v/>
      </c>
      <c r="F92" s="23" t="str">
        <f aca="false">""</f>
        <v/>
      </c>
      <c r="G92" s="23" t="str">
        <f aca="false">""</f>
        <v/>
      </c>
      <c r="H92" s="23" t="str">
        <f aca="false">""</f>
        <v/>
      </c>
      <c r="I92" s="23" t="str">
        <f aca="false">""</f>
        <v/>
      </c>
      <c r="J92" s="23" t="n">
        <f aca="false">IFERROR(J91/(Pipeline!I170+SUM($E$93:I93)),g_lt)</f>
        <v>0.0599333872063816</v>
      </c>
      <c r="K92" s="23" t="n">
        <f aca="false">$J$92+(g_lt-$J$92)*(2030-2029)/3</f>
        <v>0.0732889248042544</v>
      </c>
      <c r="L92" s="23" t="n">
        <f aca="false">$J$92+(g_lt-$J$92)*(2031-2029)/3</f>
        <v>0.0866444624021272</v>
      </c>
      <c r="M92" s="23" t="n">
        <f aca="false">$J$92+(g_lt-$J$92)*(2032-2029)/3</f>
        <v>0.1</v>
      </c>
    </row>
    <row r="93" customFormat="false" ht="17.15" hidden="false" customHeight="false" outlineLevel="0" collapsed="false">
      <c r="A93" s="5" t="s">
        <v>1544</v>
      </c>
      <c r="B93" s="0" t="s">
        <v>1548</v>
      </c>
      <c r="D93" s="24" t="n">
        <f aca="false">0</f>
        <v>0</v>
      </c>
      <c r="E93" s="24" t="n">
        <f aca="false">E91-E$4</f>
        <v>0</v>
      </c>
      <c r="F93" s="24" t="n">
        <f aca="false">F91-F$4</f>
        <v>0</v>
      </c>
      <c r="G93" s="24" t="n">
        <f aca="false">G91-G$4</f>
        <v>0</v>
      </c>
      <c r="H93" s="24" t="n">
        <f aca="false">H91-H$4</f>
        <v>0</v>
      </c>
      <c r="I93" s="24" t="n">
        <f aca="false">I91-I$4</f>
        <v>-7.35515229103028</v>
      </c>
      <c r="J93" s="24" t="n">
        <f aca="false">J91-J$4</f>
        <v>-2.29160853239898</v>
      </c>
      <c r="K93" s="24" t="n">
        <f aca="false">K91-K$4</f>
        <v>-1.4197259230164</v>
      </c>
      <c r="L93" s="24" t="n">
        <f aca="false">L91-L$4</f>
        <v>2.34941304798189</v>
      </c>
      <c r="M93" s="24" t="n">
        <f aca="false">M91-M$4</f>
        <v>4.72075817625955</v>
      </c>
    </row>
    <row r="94" customFormat="false" ht="17.15" hidden="false" customHeight="false" outlineLevel="0" collapsed="false">
      <c r="A94" s="21" t="s">
        <v>1386</v>
      </c>
      <c r="B94" s="20" t="s">
        <v>1548</v>
      </c>
      <c r="C94" s="20" t="s">
        <v>1382</v>
      </c>
      <c r="D94" s="25" t="n">
        <f aca="false">Pipeline!D170+SUMPRODUCT($E$93:$M$93,Pipeline!$E$125:$M$125)</f>
        <v>0.630578355681972</v>
      </c>
      <c r="E94" s="25" t="n">
        <f aca="false">Pipeline!E170+SUMPRODUCT($E$93:$M$93,Pipeline!$E$126:$M$126)</f>
        <v>6.20938570515285</v>
      </c>
      <c r="F94" s="25" t="n">
        <f aca="false">Pipeline!F170+SUMPRODUCT($E$93:$M$93,Pipeline!$E$127:$M$127)</f>
        <v>25.3371433333333</v>
      </c>
      <c r="G94" s="25" t="n">
        <f aca="false">Pipeline!G170+SUMPRODUCT($E$93:$M$93,Pipeline!$E$128:$M$128)</f>
        <v>37.8525147943925</v>
      </c>
      <c r="H94" s="25" t="n">
        <f aca="false">Pipeline!H170+SUMPRODUCT($E$93:$M$93,Pipeline!$E$129:$M$129)</f>
        <v>46.3211599188997</v>
      </c>
      <c r="I94" s="25" t="n">
        <f aca="false">Pipeline!I170+SUMPRODUCT($E$93:$M$93,Pipeline!$E$130:$M$130)</f>
        <v>57.3538883554451</v>
      </c>
      <c r="J94" s="25" t="n">
        <f aca="false">Pipeline!J170+SUMPRODUCT($E$93:$M$93,Pipeline!$E$131:$M$131)</f>
        <v>60.7913011540436</v>
      </c>
      <c r="K94" s="25" t="n">
        <f aca="false">Pipeline!K170+SUMPRODUCT($E$93:$M$93,Pipeline!$E$132:$M$132)</f>
        <v>65.2466302530751</v>
      </c>
      <c r="L94" s="25" t="n">
        <f aca="false">Pipeline!L170+SUMPRODUCT($E$93:$M$93,Pipeline!$E$133:$M$133)</f>
        <v>70.8998894549031</v>
      </c>
      <c r="M94" s="25" t="n">
        <f aca="false">Pipeline!M170+SUMPRODUCT($E$93:$M$93,Pipeline!$E$134:$M$134)</f>
        <v>77.9898784003934</v>
      </c>
    </row>
    <row r="95" customFormat="false" ht="17.15" hidden="false" customHeight="false" outlineLevel="0" collapsed="false">
      <c r="A95" s="21" t="s">
        <v>1386</v>
      </c>
      <c r="B95" s="20" t="s">
        <v>1548</v>
      </c>
      <c r="C95" s="20" t="s">
        <v>1383</v>
      </c>
      <c r="D95" s="25" t="n">
        <f aca="false">Pipeline!D171+SUMPRODUCT($E$93:$M$93,Pipeline!$E$137:$M$137)</f>
        <v>0.630578355681972</v>
      </c>
      <c r="E95" s="25" t="n">
        <f aca="false">Pipeline!E171+SUMPRODUCT($E$93:$M$93,Pipeline!$E$138:$M$138)</f>
        <v>6.20938570515285</v>
      </c>
      <c r="F95" s="25" t="n">
        <f aca="false">Pipeline!F171+SUMPRODUCT($E$93:$M$93,Pipeline!$E$139:$M$139)</f>
        <v>25.3371433333333</v>
      </c>
      <c r="G95" s="25" t="n">
        <f aca="false">Pipeline!G171+SUMPRODUCT($E$93:$M$93,Pipeline!$E$140:$M$140)</f>
        <v>37.048055095226</v>
      </c>
      <c r="H95" s="25" t="n">
        <f aca="false">Pipeline!H171+SUMPRODUCT($E$93:$M$93,Pipeline!$E$141:$M$141)</f>
        <v>44.6516053554443</v>
      </c>
      <c r="I95" s="25" t="n">
        <f aca="false">Pipeline!I171+SUMPRODUCT($E$93:$M$93,Pipeline!$E$142:$M$142)</f>
        <v>54.989306712383</v>
      </c>
      <c r="J95" s="25" t="n">
        <f aca="false">Pipeline!J171+SUMPRODUCT($E$93:$M$93,Pipeline!$E$143:$M$143)</f>
        <v>59.9351289142888</v>
      </c>
      <c r="K95" s="25" t="n">
        <f aca="false">Pipeline!K171+SUMPRODUCT($E$93:$M$93,Pipeline!$E$144:$M$144)</f>
        <v>64.2308726607446</v>
      </c>
      <c r="L95" s="25" t="n">
        <f aca="false">Pipeline!L171+SUMPRODUCT($E$93:$M$93,Pipeline!$E$145:$M$145)</f>
        <v>69.7093190945832</v>
      </c>
      <c r="M95" s="25" t="n">
        <f aca="false">Pipeline!M171+SUMPRODUCT($E$93:$M$93,Pipeline!$E$146:$M$146)</f>
        <v>76.7491303349326</v>
      </c>
    </row>
    <row r="96" customFormat="false" ht="17.15" hidden="false" customHeight="false" outlineLevel="0" collapsed="false">
      <c r="A96" s="21" t="s">
        <v>1386</v>
      </c>
      <c r="B96" s="20" t="s">
        <v>1548</v>
      </c>
      <c r="C96" s="20" t="s">
        <v>1384</v>
      </c>
      <c r="D96" s="25" t="n">
        <f aca="false">Pipeline!D172+SUMPRODUCT($E$93:$M$93,Pipeline!$E$149:$M$149)</f>
        <v>0.630578355681972</v>
      </c>
      <c r="E96" s="25" t="n">
        <f aca="false">Pipeline!E172+SUMPRODUCT($E$93:$M$93,Pipeline!$E$150:$M$150)</f>
        <v>6.20938570515285</v>
      </c>
      <c r="F96" s="25" t="n">
        <f aca="false">Pipeline!F172+SUMPRODUCT($E$93:$M$93,Pipeline!$E$151:$M$151)</f>
        <v>25.3371433333333</v>
      </c>
      <c r="G96" s="25" t="n">
        <f aca="false">Pipeline!G172+SUMPRODUCT($E$93:$M$93,Pipeline!$E$152:$M$152)</f>
        <v>37.048055095226</v>
      </c>
      <c r="H96" s="25" t="n">
        <f aca="false">Pipeline!H172+SUMPRODUCT($E$93:$M$93,Pipeline!$E$153:$M$153)</f>
        <v>41.9818891310236</v>
      </c>
      <c r="I96" s="25" t="n">
        <f aca="false">Pipeline!I172+SUMPRODUCT($E$93:$M$93,Pipeline!$E$154:$M$154)</f>
        <v>51.5739461696075</v>
      </c>
      <c r="J96" s="25" t="n">
        <f aca="false">Pipeline!J172+SUMPRODUCT($E$93:$M$93,Pipeline!$E$155:$M$155)</f>
        <v>59.010856257064</v>
      </c>
      <c r="K96" s="25" t="n">
        <f aca="false">Pipeline!K172+SUMPRODUCT($E$93:$M$93,Pipeline!$E$156:$M$156)</f>
        <v>64.2308726607446</v>
      </c>
      <c r="L96" s="25" t="n">
        <f aca="false">Pipeline!L172+SUMPRODUCT($E$93:$M$93,Pipeline!$E$157:$M$157)</f>
        <v>69.7093190945832</v>
      </c>
      <c r="M96" s="25" t="n">
        <f aca="false">Pipeline!M172+SUMPRODUCT($E$93:$M$93,Pipeline!$E$158:$M$158)</f>
        <v>76.7491303349326</v>
      </c>
    </row>
    <row r="97" customFormat="false" ht="17.15" hidden="false" customHeight="false" outlineLevel="0" collapsed="false">
      <c r="A97" s="5" t="s">
        <v>1278</v>
      </c>
      <c r="B97" s="0" t="s">
        <v>1548</v>
      </c>
      <c r="C97" s="0" t="s">
        <v>1382</v>
      </c>
      <c r="D97" s="24" t="str">
        <f aca="false">""</f>
        <v/>
      </c>
      <c r="E97" s="24" t="n">
        <f aca="false">(D94+E94)/2</f>
        <v>3.41998203041741</v>
      </c>
      <c r="F97" s="24" t="n">
        <f aca="false">(E94+F94)/2</f>
        <v>15.7732645192431</v>
      </c>
      <c r="G97" s="24" t="n">
        <f aca="false">(F94+G94)/2</f>
        <v>31.5948290638629</v>
      </c>
      <c r="H97" s="24" t="n">
        <f aca="false">(G94+H94)/2</f>
        <v>42.0868373566461</v>
      </c>
      <c r="I97" s="24" t="n">
        <f aca="false">(H94+I94)/2</f>
        <v>51.8375241371724</v>
      </c>
      <c r="J97" s="24" t="n">
        <f aca="false">(I94+J94)/2</f>
        <v>59.0725947547443</v>
      </c>
      <c r="K97" s="24" t="n">
        <f aca="false">(J94+K94)/2</f>
        <v>63.0189657035593</v>
      </c>
      <c r="L97" s="24" t="n">
        <f aca="false">(K94+L94)/2</f>
        <v>68.0732598539891</v>
      </c>
      <c r="M97" s="24" t="n">
        <f aca="false">(L94+M94)/2</f>
        <v>74.4448839276483</v>
      </c>
    </row>
    <row r="98" customFormat="false" ht="17.15" hidden="false" customHeight="false" outlineLevel="0" collapsed="false">
      <c r="A98" s="5" t="s">
        <v>1278</v>
      </c>
      <c r="B98" s="0" t="s">
        <v>1548</v>
      </c>
      <c r="C98" s="0" t="s">
        <v>1383</v>
      </c>
      <c r="D98" s="24" t="str">
        <f aca="false">""</f>
        <v/>
      </c>
      <c r="E98" s="24" t="n">
        <f aca="false">(D95+E95)/2</f>
        <v>3.41998203041741</v>
      </c>
      <c r="F98" s="24" t="n">
        <f aca="false">(E95+F95)/2</f>
        <v>15.7732645192431</v>
      </c>
      <c r="G98" s="24" t="n">
        <f aca="false">(F95+G95)/2</f>
        <v>31.1925992142797</v>
      </c>
      <c r="H98" s="24" t="n">
        <f aca="false">(G95+H95)/2</f>
        <v>40.8498302253351</v>
      </c>
      <c r="I98" s="24" t="n">
        <f aca="false">(H95+I95)/2</f>
        <v>49.8204560339136</v>
      </c>
      <c r="J98" s="24" t="n">
        <f aca="false">(I95+J95)/2</f>
        <v>57.4622178133359</v>
      </c>
      <c r="K98" s="24" t="n">
        <f aca="false">(J95+K95)/2</f>
        <v>62.0830007875167</v>
      </c>
      <c r="L98" s="24" t="n">
        <f aca="false">(K95+L95)/2</f>
        <v>66.9700958776639</v>
      </c>
      <c r="M98" s="24" t="n">
        <f aca="false">(L95+M95)/2</f>
        <v>73.2292247147579</v>
      </c>
    </row>
    <row r="99" customFormat="false" ht="17.15" hidden="false" customHeight="false" outlineLevel="0" collapsed="false">
      <c r="A99" s="5" t="s">
        <v>1278</v>
      </c>
      <c r="B99" s="0" t="s">
        <v>1548</v>
      </c>
      <c r="C99" s="0" t="s">
        <v>1384</v>
      </c>
      <c r="D99" s="24" t="str">
        <f aca="false">""</f>
        <v/>
      </c>
      <c r="E99" s="24" t="n">
        <f aca="false">(D96+E96)/2</f>
        <v>3.41998203041741</v>
      </c>
      <c r="F99" s="24" t="n">
        <f aca="false">(E96+F96)/2</f>
        <v>15.7732645192431</v>
      </c>
      <c r="G99" s="24" t="n">
        <f aca="false">(F96+G96)/2</f>
        <v>31.1925992142797</v>
      </c>
      <c r="H99" s="24" t="n">
        <f aca="false">(G96+H96)/2</f>
        <v>39.5149721131248</v>
      </c>
      <c r="I99" s="24" t="n">
        <f aca="false">(H96+I96)/2</f>
        <v>46.7779176503155</v>
      </c>
      <c r="J99" s="24" t="n">
        <f aca="false">(I96+J96)/2</f>
        <v>55.2924012133358</v>
      </c>
      <c r="K99" s="24" t="n">
        <f aca="false">(J96+K96)/2</f>
        <v>61.6208644589043</v>
      </c>
      <c r="L99" s="24" t="n">
        <f aca="false">(K96+L96)/2</f>
        <v>66.9700958776639</v>
      </c>
      <c r="M99" s="24" t="n">
        <f aca="false">(L96+M96)/2</f>
        <v>73.2292247147579</v>
      </c>
    </row>
    <row r="100" customFormat="false" ht="17.15" hidden="false" customHeight="false" outlineLevel="0" collapsed="false">
      <c r="A100" s="5" t="s">
        <v>1387</v>
      </c>
      <c r="B100" s="0" t="s">
        <v>1548</v>
      </c>
      <c r="C100" s="0" t="s">
        <v>1382</v>
      </c>
      <c r="D100" s="24" t="n">
        <f aca="false">0</f>
        <v>0</v>
      </c>
      <c r="E100" s="24" t="n">
        <f aca="false">E94-D94-E$6</f>
        <v>1.61980834349181</v>
      </c>
      <c r="F100" s="24" t="n">
        <f aca="false">F94-E94-F$6</f>
        <v>9.04912429484716</v>
      </c>
      <c r="G100" s="24" t="n">
        <f aca="false">G94-F94-G$6</f>
        <v>12.5153714610592</v>
      </c>
      <c r="H100" s="24" t="n">
        <f aca="false">H94-G94-H$6</f>
        <v>8.46864512450717</v>
      </c>
      <c r="I100" s="24" t="n">
        <f aca="false">I94-H94-I$6</f>
        <v>11.0327284365454</v>
      </c>
      <c r="J100" s="24" t="n">
        <f aca="false">J94-I94-J$6</f>
        <v>3.43741279859847</v>
      </c>
      <c r="K100" s="24" t="n">
        <f aca="false">K94-J94-K$6</f>
        <v>4.45532909903149</v>
      </c>
      <c r="L100" s="24" t="n">
        <f aca="false">L94-K94-L$6</f>
        <v>5.65325920182806</v>
      </c>
      <c r="M100" s="24" t="n">
        <f aca="false">M94-L94-M$6</f>
        <v>7.08998894549031</v>
      </c>
    </row>
    <row r="101" customFormat="false" ht="17.15" hidden="false" customHeight="false" outlineLevel="0" collapsed="false">
      <c r="A101" s="5" t="s">
        <v>1387</v>
      </c>
      <c r="B101" s="0" t="s">
        <v>1548</v>
      </c>
      <c r="C101" s="0" t="s">
        <v>1383</v>
      </c>
      <c r="D101" s="24" t="n">
        <f aca="false">0</f>
        <v>0</v>
      </c>
      <c r="E101" s="24" t="n">
        <f aca="false">E95-D95-E$6</f>
        <v>1.61980834349181</v>
      </c>
      <c r="F101" s="24" t="n">
        <f aca="false">F95-E95-F$6</f>
        <v>9.04912429484716</v>
      </c>
      <c r="G101" s="24" t="n">
        <f aca="false">G95-F95-G$6</f>
        <v>11.7109117618926</v>
      </c>
      <c r="H101" s="24" t="n">
        <f aca="false">H95-G95-H$6</f>
        <v>7.6035502602183</v>
      </c>
      <c r="I101" s="24" t="n">
        <f aca="false">I95-H95-I$6</f>
        <v>10.3377013569387</v>
      </c>
      <c r="J101" s="24" t="n">
        <f aca="false">J95-I95-J$6</f>
        <v>4.94582220190586</v>
      </c>
      <c r="K101" s="24" t="n">
        <f aca="false">K95-J95-K$6</f>
        <v>4.29574374645571</v>
      </c>
      <c r="L101" s="24" t="n">
        <f aca="false">L95-K95-L$6</f>
        <v>5.47844643383866</v>
      </c>
      <c r="M101" s="24" t="n">
        <f aca="false">M95-L95-M$6</f>
        <v>7.03981124034942</v>
      </c>
    </row>
    <row r="102" customFormat="false" ht="17.15" hidden="false" customHeight="false" outlineLevel="0" collapsed="false">
      <c r="A102" s="5" t="s">
        <v>1387</v>
      </c>
      <c r="B102" s="0" t="s">
        <v>1548</v>
      </c>
      <c r="C102" s="0" t="s">
        <v>1384</v>
      </c>
      <c r="D102" s="24" t="n">
        <f aca="false">0</f>
        <v>0</v>
      </c>
      <c r="E102" s="24" t="n">
        <f aca="false">E96-D96-E$6</f>
        <v>1.61980834349181</v>
      </c>
      <c r="F102" s="24" t="n">
        <f aca="false">F96-E96-F$6</f>
        <v>9.04912429484716</v>
      </c>
      <c r="G102" s="24" t="n">
        <f aca="false">G96-F96-G$6</f>
        <v>11.7109117618926</v>
      </c>
      <c r="H102" s="24" t="n">
        <f aca="false">H96-G96-H$6</f>
        <v>4.9338340357976</v>
      </c>
      <c r="I102" s="24" t="n">
        <f aca="false">I96-H96-I$6</f>
        <v>9.59205703858394</v>
      </c>
      <c r="J102" s="24" t="n">
        <f aca="false">J96-I96-J$6</f>
        <v>7.4369100874565</v>
      </c>
      <c r="K102" s="24" t="n">
        <f aca="false">K96-J96-K$6</f>
        <v>5.22001640368055</v>
      </c>
      <c r="L102" s="24" t="n">
        <f aca="false">L96-K96-L$6</f>
        <v>5.47844643383866</v>
      </c>
      <c r="M102" s="24" t="n">
        <f aca="false">M96-L96-M$6</f>
        <v>7.03981124034942</v>
      </c>
    </row>
    <row r="103" customFormat="false" ht="17.15" hidden="false" customHeight="false" outlineLevel="0" collapsed="false">
      <c r="A103" s="5" t="s">
        <v>1388</v>
      </c>
      <c r="B103" s="0" t="s">
        <v>1548</v>
      </c>
      <c r="C103" s="0" t="s">
        <v>1383</v>
      </c>
      <c r="D103" s="24" t="n">
        <f aca="false">D94-D95</f>
        <v>0</v>
      </c>
      <c r="E103" s="24" t="n">
        <f aca="false">E94-E95</f>
        <v>0</v>
      </c>
      <c r="F103" s="24" t="n">
        <f aca="false">F94-F95</f>
        <v>0</v>
      </c>
      <c r="G103" s="24" t="n">
        <f aca="false">G94-G95</f>
        <v>0.80445969916655</v>
      </c>
      <c r="H103" s="24" t="n">
        <f aca="false">H94-H95</f>
        <v>1.66955456345542</v>
      </c>
      <c r="I103" s="24" t="n">
        <f aca="false">I94-I95</f>
        <v>2.36458164306212</v>
      </c>
      <c r="J103" s="24" t="n">
        <f aca="false">J94-J95</f>
        <v>0.856172239754741</v>
      </c>
      <c r="K103" s="24" t="n">
        <f aca="false">K94-K95</f>
        <v>1.01575759233052</v>
      </c>
      <c r="L103" s="24" t="n">
        <f aca="false">L94-L95</f>
        <v>1.19057036031992</v>
      </c>
      <c r="M103" s="24" t="n">
        <f aca="false">M94-M95</f>
        <v>1.24074806546081</v>
      </c>
    </row>
    <row r="104" customFormat="false" ht="17.15" hidden="false" customHeight="false" outlineLevel="0" collapsed="false">
      <c r="A104" s="5" t="s">
        <v>1388</v>
      </c>
      <c r="B104" s="0" t="s">
        <v>1548</v>
      </c>
      <c r="C104" s="0" t="s">
        <v>1384</v>
      </c>
      <c r="D104" s="24" t="n">
        <f aca="false">D94-D96</f>
        <v>0</v>
      </c>
      <c r="E104" s="24" t="n">
        <f aca="false">E94-E96</f>
        <v>0</v>
      </c>
      <c r="F104" s="24" t="n">
        <f aca="false">F94-F96</f>
        <v>0</v>
      </c>
      <c r="G104" s="24" t="n">
        <f aca="false">G94-G96</f>
        <v>0.80445969916655</v>
      </c>
      <c r="H104" s="24" t="n">
        <f aca="false">H94-H96</f>
        <v>4.33927078787612</v>
      </c>
      <c r="I104" s="24" t="n">
        <f aca="false">I94-I96</f>
        <v>5.7799421858376</v>
      </c>
      <c r="J104" s="24" t="n">
        <f aca="false">J94-J96</f>
        <v>1.78044489697957</v>
      </c>
      <c r="K104" s="24" t="n">
        <f aca="false">K94-K96</f>
        <v>1.01575759233052</v>
      </c>
      <c r="L104" s="24" t="n">
        <f aca="false">L94-L96</f>
        <v>1.19057036031992</v>
      </c>
      <c r="M104" s="24" t="n">
        <f aca="false">M94-M96</f>
        <v>1.24074806546081</v>
      </c>
    </row>
    <row r="106" customFormat="false" ht="17.15" hidden="false" customHeight="false" outlineLevel="0" collapsed="false">
      <c r="A106" s="21" t="s">
        <v>1553</v>
      </c>
      <c r="D106" s="29" t="n">
        <f aca="false">IF(2023&lt;=2026,1,IF(D19&lt;=0,1,MIN(1,MAX(0,D68)/D19)))</f>
        <v>1</v>
      </c>
      <c r="E106" s="29" t="n">
        <f aca="false">IF(2024&lt;=2026,1,IF(E19&lt;=0,1,MIN(1,MAX(0,E68)/E19)))</f>
        <v>1</v>
      </c>
      <c r="F106" s="29" t="n">
        <f aca="false">IF(2025&lt;=2026,1,IF(F19&lt;=0,1,MIN(1,MAX(0,F68)/F19)))</f>
        <v>1</v>
      </c>
      <c r="G106" s="29" t="n">
        <f aca="false">IF(2026&lt;=2026,1,IF(G19&lt;=0,1,MIN(1,MAX(0,G68)/G19)))</f>
        <v>1</v>
      </c>
      <c r="H106" s="29" t="n">
        <f aca="false">IF(2027&lt;=2026,1,IF(H19&lt;=0,1,MIN(1,MAX(0,H68)/H19)))</f>
        <v>0.368887548649816</v>
      </c>
      <c r="I106" s="29" t="n">
        <f aca="false">IF(2028&lt;=2026,1,IF(I19&lt;=0,1,MIN(1,MAX(0,I68)/I19)))</f>
        <v>0.682972950768481</v>
      </c>
      <c r="J106" s="29" t="n">
        <f aca="false">IF(2029&lt;=2026,1,IF(J19&lt;=0,1,MIN(1,MAX(0,J68)/J19)))</f>
        <v>0.207097002778989</v>
      </c>
      <c r="K106" s="29" t="n">
        <f aca="false">IF(2030&lt;=2026,1,IF(K19&lt;=0,1,MIN(1,MAX(0,K68)/K19)))</f>
        <v>0.231477124526172</v>
      </c>
      <c r="L106" s="29" t="n">
        <f aca="false">IF(2031&lt;=2026,1,IF(L19&lt;=0,1,MIN(1,MAX(0,L68)/L19)))</f>
        <v>0.300223781325175</v>
      </c>
      <c r="M106" s="29" t="n">
        <f aca="false">IF(2032&lt;=2026,1,IF(M19&lt;=0,1,MIN(1,MAX(0,M68)/M19)))</f>
        <v>0.501599141326471</v>
      </c>
    </row>
    <row r="108" customFormat="false" ht="17.15" hidden="false" customHeight="false" outlineLevel="0" collapsed="false">
      <c r="A108" s="21" t="s">
        <v>1554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3" min="4" style="0" width="13"/>
    <col collapsed="false" customWidth="true" hidden="false" outlineLevel="0" max="14" min="14" style="0" width="40"/>
  </cols>
  <sheetData>
    <row r="1" customFormat="false" ht="17.15" hidden="false" customHeight="false" outlineLevel="0" collapsed="false">
      <c r="A1" s="0" t="s">
        <v>1555</v>
      </c>
    </row>
    <row r="2" customFormat="false" ht="17.15" hidden="false" customHeight="false" outlineLevel="0" collapsed="false">
      <c r="A2" s="5" t="s">
        <v>1556</v>
      </c>
    </row>
    <row r="3" customFormat="false" ht="15" hidden="false" customHeight="false" outlineLevel="0" collapsed="false">
      <c r="A3" s="6" t="s">
        <v>15</v>
      </c>
      <c r="B3" s="6" t="s">
        <v>1557</v>
      </c>
      <c r="C3" s="6" t="s">
        <v>16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6" t="s">
        <v>20</v>
      </c>
    </row>
    <row r="4" customFormat="false" ht="17.15" hidden="false" customHeight="false" outlineLevel="0" collapsed="false">
      <c r="A4" s="8" t="s">
        <v>1558</v>
      </c>
      <c r="B4" s="20" t="s">
        <v>1559</v>
      </c>
      <c r="D4" s="24" t="n">
        <f aca="false">Pipeline!D170</f>
        <v>0.630578355681972</v>
      </c>
      <c r="E4" s="24" t="n">
        <f aca="false">Pipeline!E170</f>
        <v>6.20938570515285</v>
      </c>
      <c r="F4" s="24" t="n">
        <f aca="false">Pipeline!F170</f>
        <v>25.3371433333333</v>
      </c>
      <c r="G4" s="24" t="n">
        <f aca="false">Pipeline!G170</f>
        <v>37.8525147943925</v>
      </c>
      <c r="H4" s="24" t="n">
        <f aca="false">Pipeline!H170</f>
        <v>46.3211599188997</v>
      </c>
      <c r="I4" s="24" t="n">
        <f aca="false">Pipeline!I170</f>
        <v>64.7090406464754</v>
      </c>
      <c r="J4" s="24" t="n">
        <f aca="false">Pipeline!J170</f>
        <v>70.4380619774728</v>
      </c>
      <c r="K4" s="24" t="n">
        <f aca="false">Pipeline!K170</f>
        <v>76.3131169995207</v>
      </c>
      <c r="L4" s="24" t="n">
        <f aca="false">Pipeline!L170</f>
        <v>79.6169631533669</v>
      </c>
      <c r="M4" s="24" t="n">
        <f aca="false">Pipeline!M170</f>
        <v>81.9861939225977</v>
      </c>
    </row>
    <row r="5" customFormat="false" ht="17.15" hidden="false" customHeight="false" outlineLevel="0" collapsed="false">
      <c r="A5" s="5" t="s">
        <v>1560</v>
      </c>
      <c r="B5" s="0" t="s">
        <v>1561</v>
      </c>
      <c r="D5" s="24" t="n">
        <f aca="false">Players!D308</f>
        <v>0.578431531897603</v>
      </c>
      <c r="E5" s="24" t="n">
        <f aca="false">Players!E308</f>
        <v>5.60426250610571</v>
      </c>
      <c r="F5" s="24" t="n">
        <f aca="false">Players!F308</f>
        <v>19.0820516666667</v>
      </c>
      <c r="G5" s="24" t="n">
        <f aca="false">Players!G308</f>
        <v>34.5858481277259</v>
      </c>
      <c r="H5" s="24" t="n">
        <f aca="false">Players!H308</f>
        <v>46.3211599188997</v>
      </c>
      <c r="I5" s="24" t="n">
        <f aca="false">Players!I308</f>
        <v>64.7090406464754</v>
      </c>
      <c r="J5" s="24" t="n">
        <f aca="false">Players!J308</f>
        <v>70.4380619774728</v>
      </c>
      <c r="K5" s="24" t="n">
        <f aca="false">Players!K308</f>
        <v>76.3131169995207</v>
      </c>
      <c r="L5" s="24" t="n">
        <f aca="false">Players!L308</f>
        <v>79.6169631533669</v>
      </c>
      <c r="M5" s="24" t="n">
        <f aca="false">Players!M308</f>
        <v>81.9861939225977</v>
      </c>
    </row>
    <row r="6" customFormat="false" ht="17.15" hidden="false" customHeight="false" outlineLevel="0" collapsed="false">
      <c r="A6" s="5" t="s">
        <v>1562</v>
      </c>
      <c r="B6" s="0" t="s">
        <v>1563</v>
      </c>
      <c r="D6" s="24" t="n">
        <f aca="false">Players!D309</f>
        <v>0.708798591358526</v>
      </c>
      <c r="E6" s="24" t="n">
        <f aca="false">Players!E309</f>
        <v>6.98708195813313</v>
      </c>
      <c r="F6" s="24" t="n">
        <f aca="false">Players!F309</f>
        <v>30.295708</v>
      </c>
      <c r="G6" s="24" t="n">
        <f aca="false">Players!G309</f>
        <v>41.2191814610592</v>
      </c>
      <c r="H6" s="24" t="n">
        <f aca="false">Players!H309</f>
        <v>46.3211599188997</v>
      </c>
      <c r="I6" s="24" t="n">
        <f aca="false">Players!I309</f>
        <v>64.7090406464754</v>
      </c>
      <c r="J6" s="24" t="n">
        <f aca="false">Players!J309</f>
        <v>70.4380619774728</v>
      </c>
      <c r="K6" s="24" t="n">
        <f aca="false">Players!K309</f>
        <v>76.3131169995207</v>
      </c>
      <c r="L6" s="24" t="n">
        <f aca="false">Players!L309</f>
        <v>79.6169631533669</v>
      </c>
      <c r="M6" s="24" t="n">
        <f aca="false">Players!M309</f>
        <v>81.9861939225977</v>
      </c>
    </row>
    <row r="7" customFormat="false" ht="17.15" hidden="false" customHeight="false" outlineLevel="0" collapsed="false">
      <c r="A7" s="8" t="s">
        <v>1564</v>
      </c>
      <c r="B7" s="20" t="s">
        <v>1565</v>
      </c>
      <c r="D7" s="24" t="n">
        <f aca="false">D4-N(Players!D277)</f>
        <v>0.630578355681972</v>
      </c>
      <c r="E7" s="24" t="n">
        <f aca="false">E4-N(Players!E277)</f>
        <v>6.20938570515285</v>
      </c>
      <c r="F7" s="24" t="n">
        <f aca="false">F4-N(Players!F277)</f>
        <v>17.00381</v>
      </c>
      <c r="G7" s="24" t="n">
        <f aca="false">G4-N(Players!G277)</f>
        <v>26.1858481277259</v>
      </c>
      <c r="H7" s="24" t="n">
        <f aca="false">H4-N(Players!H277)</f>
        <v>32.6649887943925</v>
      </c>
      <c r="I7" s="24" t="n">
        <f aca="false">I4-N(Players!I277)</f>
        <v>48.7716554610592</v>
      </c>
      <c r="J7" s="24" t="n">
        <f aca="false">J4-N(Players!J277)</f>
        <v>51.8881554610592</v>
      </c>
      <c r="K7" s="24" t="n">
        <f aca="false">K4-N(Players!K277)</f>
        <v>54.7746554610592</v>
      </c>
      <c r="L7" s="24" t="n">
        <f aca="false">L4-N(Players!L277)</f>
        <v>55.9246554610592</v>
      </c>
      <c r="M7" s="24" t="n">
        <f aca="false">M4-N(Players!M277)</f>
        <v>55.9246554610592</v>
      </c>
    </row>
    <row r="8" customFormat="false" ht="17.15" hidden="false" customHeight="false" outlineLevel="0" collapsed="false">
      <c r="A8" s="5" t="s">
        <v>1566</v>
      </c>
      <c r="B8" s="0" t="s">
        <v>1567</v>
      </c>
      <c r="D8" s="24" t="n">
        <f aca="false">D5-N(Players!D279)</f>
        <v>0.578431531897603</v>
      </c>
      <c r="E8" s="24" t="n">
        <f aca="false">E5-N(Players!E279)</f>
        <v>5.60426250610571</v>
      </c>
      <c r="F8" s="24" t="n">
        <f aca="false">F5-N(Players!F279)</f>
        <v>12.415385</v>
      </c>
      <c r="G8" s="24" t="n">
        <f aca="false">G5-N(Players!G279)</f>
        <v>24.5858481277259</v>
      </c>
      <c r="H8" s="24" t="n">
        <f aca="false">H5-N(Players!H279)</f>
        <v>32.6649887943925</v>
      </c>
      <c r="I8" s="24" t="n">
        <f aca="false">I5-N(Players!I279)</f>
        <v>48.7716554610592</v>
      </c>
      <c r="J8" s="24" t="n">
        <f aca="false">J5-N(Players!J279)</f>
        <v>51.8881554610592</v>
      </c>
      <c r="K8" s="24" t="n">
        <f aca="false">K5-N(Players!K279)</f>
        <v>54.7746554610592</v>
      </c>
      <c r="L8" s="24" t="n">
        <f aca="false">L5-N(Players!L279)</f>
        <v>55.9246554610592</v>
      </c>
      <c r="M8" s="24" t="n">
        <f aca="false">M5-N(Players!M279)</f>
        <v>55.9246554610592</v>
      </c>
    </row>
    <row r="9" customFormat="false" ht="17.15" hidden="false" customHeight="false" outlineLevel="0" collapsed="false">
      <c r="A9" s="5" t="s">
        <v>1568</v>
      </c>
      <c r="B9" s="0" t="s">
        <v>1569</v>
      </c>
      <c r="D9" s="24" t="n">
        <f aca="false">D6-N(Players!D280)</f>
        <v>0.708798591358526</v>
      </c>
      <c r="E9" s="24" t="n">
        <f aca="false">E6-N(Players!E280)</f>
        <v>6.98708195813313</v>
      </c>
      <c r="F9" s="24" t="n">
        <f aca="false">F6-N(Players!F280)</f>
        <v>20.295708</v>
      </c>
      <c r="G9" s="24" t="n">
        <f aca="false">G6-N(Players!G280)</f>
        <v>27.8858481277259</v>
      </c>
      <c r="H9" s="24" t="n">
        <f aca="false">H6-N(Players!H280)</f>
        <v>32.6649887943925</v>
      </c>
      <c r="I9" s="24" t="n">
        <f aca="false">I6-N(Players!I280)</f>
        <v>48.7716554610592</v>
      </c>
      <c r="J9" s="24" t="n">
        <f aca="false">J6-N(Players!J280)</f>
        <v>51.8881554610592</v>
      </c>
      <c r="K9" s="24" t="n">
        <f aca="false">K6-N(Players!K280)</f>
        <v>54.7746554610592</v>
      </c>
      <c r="L9" s="24" t="n">
        <f aca="false">L6-N(Players!L280)</f>
        <v>55.9246554610592</v>
      </c>
      <c r="M9" s="24" t="n">
        <f aca="false">M6-N(Players!M280)</f>
        <v>55.9246554610592</v>
      </c>
    </row>
    <row r="10" customFormat="false" ht="17.15" hidden="false" customHeight="false" outlineLevel="0" collapsed="false">
      <c r="A10" s="5" t="s">
        <v>1570</v>
      </c>
      <c r="D10" s="26" t="n">
        <f aca="false">Players!D316</f>
        <v>2</v>
      </c>
      <c r="E10" s="26" t="n">
        <f aca="false">Players!E316</f>
        <v>7</v>
      </c>
      <c r="F10" s="26" t="n">
        <f aca="false">Players!F316</f>
        <v>15</v>
      </c>
      <c r="G10" s="26" t="n">
        <f aca="false">Players!G316</f>
        <v>15</v>
      </c>
      <c r="H10" s="26" t="n">
        <f aca="false">Players!H316</f>
        <v>15</v>
      </c>
      <c r="I10" s="26" t="n">
        <f aca="false">Players!I316</f>
        <v>15</v>
      </c>
      <c r="J10" s="26" t="n">
        <f aca="false">Players!J316</f>
        <v>15</v>
      </c>
      <c r="K10" s="26" t="n">
        <f aca="false">Players!K316</f>
        <v>15</v>
      </c>
      <c r="L10" s="26" t="n">
        <f aca="false">Players!L316</f>
        <v>15</v>
      </c>
      <c r="M10" s="26" t="n">
        <f aca="false">Players!M316</f>
        <v>15</v>
      </c>
    </row>
    <row r="12" customFormat="false" ht="17.15" hidden="false" customHeight="false" outlineLevel="0" collapsed="false">
      <c r="A12" s="8" t="s">
        <v>1571</v>
      </c>
      <c r="B12" s="20" t="s">
        <v>475</v>
      </c>
      <c r="C12" s="0" t="str">
        <f aca="false">In!C159</f>
        <v>設施</v>
      </c>
    </row>
    <row r="13" customFormat="false" ht="17.15" hidden="false" customHeight="false" outlineLevel="0" collapsed="false">
      <c r="A13" s="5" t="s">
        <v>1572</v>
      </c>
      <c r="D13" s="19" t="str">
        <f aca="false">IF(In!H159="","",In!H159)</f>
        <v/>
      </c>
      <c r="E13" s="19" t="str">
        <f aca="false">IF(In!I159="","",In!I159)</f>
        <v/>
      </c>
      <c r="F13" s="35" t="n">
        <f aca="false">IF(In!J159="","",In!J159)</f>
        <v>30</v>
      </c>
      <c r="G13" s="19" t="str">
        <f aca="false">IF(In!K159="","",In!K159)</f>
        <v/>
      </c>
      <c r="H13" s="19" t="str">
        <f aca="false">IF(In!L159="","",In!L159)</f>
        <v/>
      </c>
      <c r="I13" s="19" t="str">
        <f aca="false">IF(In!M159="","",In!M159)</f>
        <v/>
      </c>
      <c r="J13" s="19" t="str">
        <f aca="false">IF(In!N159="","",In!N159)</f>
        <v/>
      </c>
      <c r="K13" s="19" t="str">
        <f aca="false">IF(In!O159="","",In!O159)</f>
        <v/>
      </c>
      <c r="L13" s="19" t="str">
        <f aca="false">IF(In!P159="","",In!P159)</f>
        <v/>
      </c>
      <c r="M13" s="19" t="str">
        <f aca="false">IF(In!Q159="","",In!Q159)</f>
        <v/>
      </c>
    </row>
    <row r="14" customFormat="false" ht="17.15" hidden="false" customHeight="false" outlineLevel="0" collapsed="false">
      <c r="A14" s="5" t="s">
        <v>1573</v>
      </c>
      <c r="D14" s="24" t="str">
        <f aca="false">IF(D13="","",IF(In!$C$159="設施",D13/Players!D$13,D13))</f>
        <v/>
      </c>
      <c r="E14" s="24" t="str">
        <f aca="false">IF(E13="","",IF(In!$C$159="設施",E13/Players!E$13,E13))</f>
        <v/>
      </c>
      <c r="F14" s="24" t="n">
        <f aca="false">IF(F13="","",IF(In!$C$159="設施",F13/Players!F$13,F13))</f>
        <v>25</v>
      </c>
      <c r="G14" s="24" t="str">
        <f aca="false">IF(G13="","",IF(In!$C$159="設施",G13/Players!G$13,G13))</f>
        <v/>
      </c>
      <c r="H14" s="24" t="str">
        <f aca="false">IF(H13="","",IF(In!$C$159="設施",H13/Players!H$13,H13))</f>
        <v/>
      </c>
      <c r="I14" s="24" t="str">
        <f aca="false">IF(I13="","",IF(In!$C$159="設施",I13/Players!I$13,I13))</f>
        <v/>
      </c>
      <c r="J14" s="24" t="str">
        <f aca="false">IF(J13="","",IF(In!$C$159="設施",J13/Players!J$13,J13))</f>
        <v/>
      </c>
      <c r="K14" s="24" t="str">
        <f aca="false">IF(K13="","",IF(In!$C$159="設施",K13/Players!K$13,K13))</f>
        <v/>
      </c>
      <c r="L14" s="24" t="str">
        <f aca="false">IF(L13="","",IF(In!$C$159="設施",L13/Players!L$13,L13))</f>
        <v/>
      </c>
      <c r="M14" s="24" t="str">
        <f aca="false">IF(M13="","",IF(In!$C$159="設施",M13/Players!M$13,M13))</f>
        <v/>
      </c>
    </row>
    <row r="15" customFormat="false" ht="17.15" hidden="false" customHeight="false" outlineLevel="0" collapsed="false">
      <c r="A15" s="5" t="s">
        <v>1574</v>
      </c>
      <c r="D15" s="29" t="str">
        <f aca="false">IF(OR(D14="",N(D14)=0),"",D$4/D14)</f>
        <v/>
      </c>
      <c r="E15" s="29" t="str">
        <f aca="false">IF(OR(E14="",N(E14)=0),"",E$4/E14)</f>
        <v/>
      </c>
      <c r="F15" s="29" t="n">
        <f aca="false">IF(OR(F14="",N(F14)=0),"",F$4/F14)</f>
        <v>1.01348573333333</v>
      </c>
      <c r="G15" s="29" t="str">
        <f aca="false">IF(OR(G14="",N(G14)=0),"",G$4/G14)</f>
        <v/>
      </c>
      <c r="H15" s="29" t="str">
        <f aca="false">IF(OR(H14="",N(H14)=0),"",H$4/H14)</f>
        <v/>
      </c>
      <c r="I15" s="29" t="str">
        <f aca="false">IF(OR(I14="",N(I14)=0),"",I$4/I14)</f>
        <v/>
      </c>
      <c r="J15" s="29" t="str">
        <f aca="false">IF(OR(J14="",N(J14)=0),"",J$4/J14)</f>
        <v/>
      </c>
      <c r="K15" s="29" t="str">
        <f aca="false">IF(OR(K14="",N(K14)=0),"",K$4/K14)</f>
        <v/>
      </c>
      <c r="L15" s="29" t="str">
        <f aca="false">IF(OR(L14="",N(L14)=0),"",L$4/L14)</f>
        <v/>
      </c>
      <c r="M15" s="29" t="str">
        <f aca="false">IF(OR(M14="",N(M14)=0),"",M$4/M14)</f>
        <v/>
      </c>
    </row>
    <row r="16" customFormat="false" ht="17.15" hidden="false" customHeight="false" outlineLevel="0" collapsed="false">
      <c r="A16" s="5" t="s">
        <v>1575</v>
      </c>
      <c r="D16" s="0" t="str">
        <f aca="false">IF(OR(D14="",N(D14)=0),"",TEXT(D$5/D14,"0.00")&amp;"–"&amp;TEXT(D$6/D14,"0.00"))</f>
        <v/>
      </c>
      <c r="E16" s="0" t="str">
        <f aca="false">IF(OR(E14="",N(E14)=0),"",TEXT(E$5/E14,"0.00")&amp;"–"&amp;TEXT(E$6/E14,"0.00"))</f>
        <v/>
      </c>
      <c r="F16" s="0" t="str">
        <f aca="false">IF(OR(F14="",N(F14)=0),"",TEXT(F$5/F14,"0.00")&amp;"–"&amp;TEXT(F$6/F14,"0.00"))</f>
        <v>0.76–1.21</v>
      </c>
      <c r="G16" s="0" t="str">
        <f aca="false">IF(OR(G14="",N(G14)=0),"",TEXT(G$5/G14,"0.00")&amp;"–"&amp;TEXT(G$6/G14,"0.00"))</f>
        <v/>
      </c>
      <c r="H16" s="0" t="str">
        <f aca="false">IF(OR(H14="",N(H14)=0),"",TEXT(H$5/H14,"0.00")&amp;"–"&amp;TEXT(H$6/H14,"0.00"))</f>
        <v/>
      </c>
      <c r="I16" s="0" t="str">
        <f aca="false">IF(OR(I14="",N(I14)=0),"",TEXT(I$5/I14,"0.00")&amp;"–"&amp;TEXT(I$6/I14,"0.00"))</f>
        <v/>
      </c>
      <c r="J16" s="0" t="str">
        <f aca="false">IF(OR(J14="",N(J14)=0),"",TEXT(J$5/J14,"0.00")&amp;"–"&amp;TEXT(J$6/J14,"0.00"))</f>
        <v/>
      </c>
      <c r="K16" s="0" t="str">
        <f aca="false">IF(OR(K14="",N(K14)=0),"",TEXT(K$5/K14,"0.00")&amp;"–"&amp;TEXT(K$6/K14,"0.00"))</f>
        <v/>
      </c>
      <c r="L16" s="0" t="str">
        <f aca="false">IF(OR(L14="",N(L14)=0),"",TEXT(L$5/L14,"0.00")&amp;"–"&amp;TEXT(L$6/L14,"0.00"))</f>
        <v/>
      </c>
      <c r="M16" s="0" t="str">
        <f aca="false">IF(OR(M14="",N(M14)=0),"",TEXT(M$5/M14,"0.00")&amp;"–"&amp;TEXT(M$6/M14,"0.00"))</f>
        <v/>
      </c>
    </row>
    <row r="17" customFormat="false" ht="17.15" hidden="false" customHeight="false" outlineLevel="0" collapsed="false">
      <c r="A17" s="5" t="s">
        <v>1576</v>
      </c>
      <c r="D17" s="0" t="str">
        <f aca="false">IF(D15="","無資料",IF(AND(In!$E$159="Verified",FALSE()),IF(ABS(D15-1)&lt;=tolband,"對得上","偏差"),"證據不足（"&amp;IF(ABS(D15-1)&lt;=tolband,"帶內","帶外")&amp;"）"))</f>
        <v>無資料</v>
      </c>
      <c r="E17" s="0" t="str">
        <f aca="false">IF(E15="","無資料",IF(AND(In!$E$159="Verified",FALSE()),IF(ABS(E15-1)&lt;=tolband,"對得上","偏差"),"證據不足（"&amp;IF(ABS(E15-1)&lt;=tolband,"帶內","帶外")&amp;"）"))</f>
        <v>無資料</v>
      </c>
      <c r="F17" s="0" t="str">
        <f aca="false">IF(F15="","無資料",IF(AND(In!$E$159="Verified",FALSE()),IF(ABS(F15-1)&lt;=tolband,"對得上","偏差"),"證據不足（"&amp;IF(ABS(F15-1)&lt;=tolband,"帶內","帶外")&amp;"）"))</f>
        <v>證據不足（帶內）</v>
      </c>
      <c r="G17" s="0" t="str">
        <f aca="false">IF(G15="","無資料",IF(AND(In!$E$159="Verified",FALSE()),IF(ABS(G15-1)&lt;=tolband,"對得上","偏差"),"證據不足（"&amp;IF(ABS(G15-1)&lt;=tolband,"帶內","帶外")&amp;"）"))</f>
        <v>無資料</v>
      </c>
      <c r="H17" s="0" t="str">
        <f aca="false">IF(H15="","無資料",IF(AND(In!$E$159="Verified",FALSE()),IF(ABS(H15-1)&lt;=tolband,"對得上","偏差"),"證據不足（"&amp;IF(ABS(H15-1)&lt;=tolband,"帶內","帶外")&amp;"）"))</f>
        <v>無資料</v>
      </c>
      <c r="I17" s="0" t="str">
        <f aca="false">IF(I15="","無資料",IF(AND(In!$E$159="Verified",FALSE()),IF(ABS(I15-1)&lt;=tolband,"對得上","偏差"),"證據不足（"&amp;IF(ABS(I15-1)&lt;=tolband,"帶內","帶外")&amp;"）"))</f>
        <v>無資料</v>
      </c>
      <c r="J17" s="0" t="str">
        <f aca="false">IF(J15="","無資料",IF(AND(In!$E$159="Verified",FALSE()),IF(ABS(J15-1)&lt;=tolband,"對得上","偏差"),"證據不足（"&amp;IF(ABS(J15-1)&lt;=tolband,"帶內","帶外")&amp;"）"))</f>
        <v>無資料</v>
      </c>
      <c r="K17" s="0" t="str">
        <f aca="false">IF(K15="","無資料",IF(AND(In!$E$159="Verified",FALSE()),IF(ABS(K15-1)&lt;=tolband,"對得上","偏差"),"證據不足（"&amp;IF(ABS(K15-1)&lt;=tolband,"帶內","帶外")&amp;"）"))</f>
        <v>無資料</v>
      </c>
      <c r="L17" s="0" t="str">
        <f aca="false">IF(L15="","無資料",IF(AND(In!$E$159="Verified",FALSE()),IF(ABS(L15-1)&lt;=tolband,"對得上","偏差"),"證據不足（"&amp;IF(ABS(L15-1)&lt;=tolband,"帶內","帶外")&amp;"）"))</f>
        <v>無資料</v>
      </c>
      <c r="M17" s="0" t="str">
        <f aca="false">IF(M15="","無資料",IF(AND(In!$E$159="Verified",FALSE()),IF(ABS(M15-1)&lt;=tolband,"對得上","偏差"),"證據不足（"&amp;IF(ABS(M15-1)&lt;=tolband,"帶內","帶外")&amp;"）"))</f>
        <v>無資料</v>
      </c>
      <c r="N17" s="5" t="s">
        <v>1577</v>
      </c>
    </row>
    <row r="18" customFormat="false" ht="17.15" hidden="false" customHeight="false" outlineLevel="0" collapsed="false">
      <c r="A18" s="5" t="s">
        <v>1578</v>
      </c>
      <c r="D18" s="29" t="str">
        <f aca="false">IF(OR(D14="",N(D14)=0),"",D$7/D14)</f>
        <v/>
      </c>
      <c r="E18" s="29" t="str">
        <f aca="false">IF(OR(E14="",N(E14)=0),"",E$7/E14)</f>
        <v/>
      </c>
      <c r="F18" s="29" t="n">
        <f aca="false">IF(OR(F14="",N(F14)=0),"",F$7/F14)</f>
        <v>0.6801524</v>
      </c>
      <c r="G18" s="29" t="str">
        <f aca="false">IF(OR(G14="",N(G14)=0),"",G$7/G14)</f>
        <v/>
      </c>
      <c r="H18" s="29" t="str">
        <f aca="false">IF(OR(H14="",N(H14)=0),"",H$7/H14)</f>
        <v/>
      </c>
      <c r="I18" s="29" t="str">
        <f aca="false">IF(OR(I14="",N(I14)=0),"",I$7/I14)</f>
        <v/>
      </c>
      <c r="J18" s="29" t="str">
        <f aca="false">IF(OR(J14="",N(J14)=0),"",J$7/J14)</f>
        <v/>
      </c>
      <c r="K18" s="29" t="str">
        <f aca="false">IF(OR(K14="",N(K14)=0),"",K$7/K14)</f>
        <v/>
      </c>
      <c r="L18" s="29" t="str">
        <f aca="false">IF(OR(L14="",N(L14)=0),"",L$7/L14)</f>
        <v/>
      </c>
      <c r="M18" s="29" t="str">
        <f aca="false">IF(OR(M14="",N(M14)=0),"",M$7/M14)</f>
        <v/>
      </c>
    </row>
    <row r="19" customFormat="false" ht="17.15" hidden="false" customHeight="false" outlineLevel="0" collapsed="false">
      <c r="A19" s="5" t="s">
        <v>1579</v>
      </c>
      <c r="D19" s="0" t="str">
        <f aca="false">IF(OR(D14="",N(D14)=0),"",TEXT(D$8/D14,"0.00")&amp;"–"&amp;TEXT(D$9/D14,"0.00"))</f>
        <v/>
      </c>
      <c r="E19" s="0" t="str">
        <f aca="false">IF(OR(E14="",N(E14)=0),"",TEXT(E$8/E14,"0.00")&amp;"–"&amp;TEXT(E$9/E14,"0.00"))</f>
        <v/>
      </c>
      <c r="F19" s="0" t="str">
        <f aca="false">IF(OR(F14="",N(F14)=0),"",TEXT(F$8/F14,"0.00")&amp;"–"&amp;TEXT(F$9/F14,"0.00"))</f>
        <v>0.50–0.81</v>
      </c>
      <c r="G19" s="0" t="str">
        <f aca="false">IF(OR(G14="",N(G14)=0),"",TEXT(G$8/G14,"0.00")&amp;"–"&amp;TEXT(G$9/G14,"0.00"))</f>
        <v/>
      </c>
      <c r="H19" s="0" t="str">
        <f aca="false">IF(OR(H14="",N(H14)=0),"",TEXT(H$8/H14,"0.00")&amp;"–"&amp;TEXT(H$9/H14,"0.00"))</f>
        <v/>
      </c>
      <c r="I19" s="0" t="str">
        <f aca="false">IF(OR(I14="",N(I14)=0),"",TEXT(I$8/I14,"0.00")&amp;"–"&amp;TEXT(I$9/I14,"0.00"))</f>
        <v/>
      </c>
      <c r="J19" s="0" t="str">
        <f aca="false">IF(OR(J14="",N(J14)=0),"",TEXT(J$8/J14,"0.00")&amp;"–"&amp;TEXT(J$9/J14,"0.00"))</f>
        <v/>
      </c>
      <c r="K19" s="0" t="str">
        <f aca="false">IF(OR(K14="",N(K14)=0),"",TEXT(K$8/K14,"0.00")&amp;"–"&amp;TEXT(K$9/K14,"0.00"))</f>
        <v/>
      </c>
      <c r="L19" s="0" t="str">
        <f aca="false">IF(OR(L14="",N(L14)=0),"",TEXT(L$8/L14,"0.00")&amp;"–"&amp;TEXT(L$9/L14,"0.00"))</f>
        <v/>
      </c>
      <c r="M19" s="0" t="str">
        <f aca="false">IF(OR(M14="",N(M14)=0),"",TEXT(M$8/M14,"0.00")&amp;"–"&amp;TEXT(M$9/M14,"0.00"))</f>
        <v/>
      </c>
    </row>
    <row r="20" customFormat="false" ht="17.15" hidden="false" customHeight="false" outlineLevel="0" collapsed="false">
      <c r="A20" s="5" t="s">
        <v>1580</v>
      </c>
      <c r="D20" s="0" t="str">
        <f aca="false">IF(D18="","無資料",IF(AND(In!$E$159="Verified",FALSE()),IF(ABS(D18-1)&lt;=tolband,"對得上","偏差"),"證據不足（"&amp;IF(ABS(D18-1)&lt;=tolband,"帶內","帶外")&amp;"）"))</f>
        <v>無資料</v>
      </c>
      <c r="E20" s="0" t="str">
        <f aca="false">IF(E18="","無資料",IF(AND(In!$E$159="Verified",FALSE()),IF(ABS(E18-1)&lt;=tolband,"對得上","偏差"),"證據不足（"&amp;IF(ABS(E18-1)&lt;=tolband,"帶內","帶外")&amp;"）"))</f>
        <v>無資料</v>
      </c>
      <c r="F20" s="0" t="str">
        <f aca="false">IF(F18="","無資料",IF(AND(In!$E$159="Verified",FALSE()),IF(ABS(F18-1)&lt;=tolband,"對得上","偏差"),"證據不足（"&amp;IF(ABS(F18-1)&lt;=tolband,"帶內","帶外")&amp;"）"))</f>
        <v>證據不足（帶外）</v>
      </c>
      <c r="G20" s="0" t="str">
        <f aca="false">IF(G18="","無資料",IF(AND(In!$E$159="Verified",FALSE()),IF(ABS(G18-1)&lt;=tolband,"對得上","偏差"),"證據不足（"&amp;IF(ABS(G18-1)&lt;=tolband,"帶內","帶外")&amp;"）"))</f>
        <v>無資料</v>
      </c>
      <c r="H20" s="0" t="str">
        <f aca="false">IF(H18="","無資料",IF(AND(In!$E$159="Verified",FALSE()),IF(ABS(H18-1)&lt;=tolband,"對得上","偏差"),"證據不足（"&amp;IF(ABS(H18-1)&lt;=tolband,"帶內","帶外")&amp;"）"))</f>
        <v>無資料</v>
      </c>
      <c r="I20" s="0" t="str">
        <f aca="false">IF(I18="","無資料",IF(AND(In!$E$159="Verified",FALSE()),IF(ABS(I18-1)&lt;=tolband,"對得上","偏差"),"證據不足（"&amp;IF(ABS(I18-1)&lt;=tolband,"帶內","帶外")&amp;"）"))</f>
        <v>無資料</v>
      </c>
      <c r="J20" s="0" t="str">
        <f aca="false">IF(J18="","無資料",IF(AND(In!$E$159="Verified",FALSE()),IF(ABS(J18-1)&lt;=tolband,"對得上","偏差"),"證據不足（"&amp;IF(ABS(J18-1)&lt;=tolband,"帶內","帶外")&amp;"）"))</f>
        <v>無資料</v>
      </c>
      <c r="K20" s="0" t="str">
        <f aca="false">IF(K18="","無資料",IF(AND(In!$E$159="Verified",FALSE()),IF(ABS(K18-1)&lt;=tolband,"對得上","偏差"),"證據不足（"&amp;IF(ABS(K18-1)&lt;=tolband,"帶內","帶外")&amp;"）"))</f>
        <v>無資料</v>
      </c>
      <c r="L20" s="0" t="str">
        <f aca="false">IF(L18="","無資料",IF(AND(In!$E$159="Verified",FALSE()),IF(ABS(L18-1)&lt;=tolband,"對得上","偏差"),"證據不足（"&amp;IF(ABS(L18-1)&lt;=tolband,"帶內","帶外")&amp;"）"))</f>
        <v>無資料</v>
      </c>
      <c r="M20" s="0" t="str">
        <f aca="false">IF(M18="","無資料",IF(AND(In!$E$159="Verified",FALSE()),IF(ABS(M18-1)&lt;=tolband,"對得上","偏差"),"證據不足（"&amp;IF(ABS(M18-1)&lt;=tolband,"帶內","帶外")&amp;"）"))</f>
        <v>無資料</v>
      </c>
      <c r="N20" s="5" t="s">
        <v>1577</v>
      </c>
    </row>
    <row r="22" customFormat="false" ht="17.15" hidden="false" customHeight="false" outlineLevel="0" collapsed="false">
      <c r="A22" s="8" t="s">
        <v>1581</v>
      </c>
      <c r="B22" s="20" t="s">
        <v>478</v>
      </c>
      <c r="C22" s="0" t="str">
        <f aca="false">In!C160</f>
        <v>設施</v>
      </c>
    </row>
    <row r="23" customFormat="false" ht="17.15" hidden="false" customHeight="false" outlineLevel="0" collapsed="false">
      <c r="A23" s="5" t="s">
        <v>1572</v>
      </c>
      <c r="D23" s="19" t="str">
        <f aca="false">IF(In!H160="","",In!H160)</f>
        <v/>
      </c>
      <c r="E23" s="19" t="str">
        <f aca="false">IF(In!I160="","",In!I160)</f>
        <v/>
      </c>
      <c r="F23" s="35" t="n">
        <f aca="false">IF(In!J160="","",In!J160)</f>
        <v>31</v>
      </c>
      <c r="G23" s="19" t="str">
        <f aca="false">IF(In!K160="","",In!K160)</f>
        <v/>
      </c>
      <c r="H23" s="19" t="str">
        <f aca="false">IF(In!L160="","",In!L160)</f>
        <v/>
      </c>
      <c r="I23" s="19" t="str">
        <f aca="false">IF(In!M160="","",In!M160)</f>
        <v/>
      </c>
      <c r="J23" s="19" t="str">
        <f aca="false">IF(In!N160="","",In!N160)</f>
        <v/>
      </c>
      <c r="K23" s="19" t="str">
        <f aca="false">IF(In!O160="","",In!O160)</f>
        <v/>
      </c>
      <c r="L23" s="19" t="str">
        <f aca="false">IF(In!P160="","",In!P160)</f>
        <v/>
      </c>
      <c r="M23" s="19" t="str">
        <f aca="false">IF(In!Q160="","",In!Q160)</f>
        <v/>
      </c>
    </row>
    <row r="24" customFormat="false" ht="17.15" hidden="false" customHeight="false" outlineLevel="0" collapsed="false">
      <c r="A24" s="5" t="s">
        <v>1573</v>
      </c>
      <c r="D24" s="24" t="str">
        <f aca="false">IF(D23="","",IF(In!$C$160="設施",D23/Players!D$13,D23))</f>
        <v/>
      </c>
      <c r="E24" s="24" t="str">
        <f aca="false">IF(E23="","",IF(In!$C$160="設施",E23/Players!E$13,E23))</f>
        <v/>
      </c>
      <c r="F24" s="24" t="n">
        <f aca="false">IF(F23="","",IF(In!$C$160="設施",F23/Players!F$13,F23))</f>
        <v>25.8333333333333</v>
      </c>
      <c r="G24" s="24" t="str">
        <f aca="false">IF(G23="","",IF(In!$C$160="設施",G23/Players!G$13,G23))</f>
        <v/>
      </c>
      <c r="H24" s="24" t="str">
        <f aca="false">IF(H23="","",IF(In!$C$160="設施",H23/Players!H$13,H23))</f>
        <v/>
      </c>
      <c r="I24" s="24" t="str">
        <f aca="false">IF(I23="","",IF(In!$C$160="設施",I23/Players!I$13,I23))</f>
        <v/>
      </c>
      <c r="J24" s="24" t="str">
        <f aca="false">IF(J23="","",IF(In!$C$160="設施",J23/Players!J$13,J23))</f>
        <v/>
      </c>
      <c r="K24" s="24" t="str">
        <f aca="false">IF(K23="","",IF(In!$C$160="設施",K23/Players!K$13,K23))</f>
        <v/>
      </c>
      <c r="L24" s="24" t="str">
        <f aca="false">IF(L23="","",IF(In!$C$160="設施",L23/Players!L$13,L23))</f>
        <v/>
      </c>
      <c r="M24" s="24" t="str">
        <f aca="false">IF(M23="","",IF(In!$C$160="設施",M23/Players!M$13,M23))</f>
        <v/>
      </c>
    </row>
    <row r="25" customFormat="false" ht="17.15" hidden="false" customHeight="false" outlineLevel="0" collapsed="false">
      <c r="A25" s="5" t="s">
        <v>1574</v>
      </c>
      <c r="D25" s="29" t="str">
        <f aca="false">IF(OR(D24="",N(D24)=0),"",D$4/D24)</f>
        <v/>
      </c>
      <c r="E25" s="29" t="str">
        <f aca="false">IF(OR(E24="",N(E24)=0),"",E$4/E24)</f>
        <v/>
      </c>
      <c r="F25" s="29" t="n">
        <f aca="false">IF(OR(F24="",N(F24)=0),"",F$4/F24)</f>
        <v>0.980792645161291</v>
      </c>
      <c r="G25" s="29" t="str">
        <f aca="false">IF(OR(G24="",N(G24)=0),"",G$4/G24)</f>
        <v/>
      </c>
      <c r="H25" s="29" t="str">
        <f aca="false">IF(OR(H24="",N(H24)=0),"",H$4/H24)</f>
        <v/>
      </c>
      <c r="I25" s="29" t="str">
        <f aca="false">IF(OR(I24="",N(I24)=0),"",I$4/I24)</f>
        <v/>
      </c>
      <c r="J25" s="29" t="str">
        <f aca="false">IF(OR(J24="",N(J24)=0),"",J$4/J24)</f>
        <v/>
      </c>
      <c r="K25" s="29" t="str">
        <f aca="false">IF(OR(K24="",N(K24)=0),"",K$4/K24)</f>
        <v/>
      </c>
      <c r="L25" s="29" t="str">
        <f aca="false">IF(OR(L24="",N(L24)=0),"",L$4/L24)</f>
        <v/>
      </c>
      <c r="M25" s="29" t="str">
        <f aca="false">IF(OR(M24="",N(M24)=0),"",M$4/M24)</f>
        <v/>
      </c>
    </row>
    <row r="26" customFormat="false" ht="17.15" hidden="false" customHeight="false" outlineLevel="0" collapsed="false">
      <c r="A26" s="5" t="s">
        <v>1575</v>
      </c>
      <c r="D26" s="0" t="str">
        <f aca="false">IF(OR(D24="",N(D24)=0),"",TEXT(D$5/D24,"0.00")&amp;"–"&amp;TEXT(D$6/D24,"0.00"))</f>
        <v/>
      </c>
      <c r="E26" s="0" t="str">
        <f aca="false">IF(OR(E24="",N(E24)=0),"",TEXT(E$5/E24,"0.00")&amp;"–"&amp;TEXT(E$6/E24,"0.00"))</f>
        <v/>
      </c>
      <c r="F26" s="0" t="str">
        <f aca="false">IF(OR(F24="",N(F24)=0),"",TEXT(F$5/F24,"0.00")&amp;"–"&amp;TEXT(F$6/F24,"0.00"))</f>
        <v>0.74–1.17</v>
      </c>
      <c r="G26" s="0" t="str">
        <f aca="false">IF(OR(G24="",N(G24)=0),"",TEXT(G$5/G24,"0.00")&amp;"–"&amp;TEXT(G$6/G24,"0.00"))</f>
        <v/>
      </c>
      <c r="H26" s="0" t="str">
        <f aca="false">IF(OR(H24="",N(H24)=0),"",TEXT(H$5/H24,"0.00")&amp;"–"&amp;TEXT(H$6/H24,"0.00"))</f>
        <v/>
      </c>
      <c r="I26" s="0" t="str">
        <f aca="false">IF(OR(I24="",N(I24)=0),"",TEXT(I$5/I24,"0.00")&amp;"–"&amp;TEXT(I$6/I24,"0.00"))</f>
        <v/>
      </c>
      <c r="J26" s="0" t="str">
        <f aca="false">IF(OR(J24="",N(J24)=0),"",TEXT(J$5/J24,"0.00")&amp;"–"&amp;TEXT(J$6/J24,"0.00"))</f>
        <v/>
      </c>
      <c r="K26" s="0" t="str">
        <f aca="false">IF(OR(K24="",N(K24)=0),"",TEXT(K$5/K24,"0.00")&amp;"–"&amp;TEXT(K$6/K24,"0.00"))</f>
        <v/>
      </c>
      <c r="L26" s="0" t="str">
        <f aca="false">IF(OR(L24="",N(L24)=0),"",TEXT(L$5/L24,"0.00")&amp;"–"&amp;TEXT(L$6/L24,"0.00"))</f>
        <v/>
      </c>
      <c r="M26" s="0" t="str">
        <f aca="false">IF(OR(M24="",N(M24)=0),"",TEXT(M$5/M24,"0.00")&amp;"–"&amp;TEXT(M$6/M24,"0.00"))</f>
        <v/>
      </c>
    </row>
    <row r="27" customFormat="false" ht="17.15" hidden="false" customHeight="false" outlineLevel="0" collapsed="false">
      <c r="A27" s="5" t="s">
        <v>1576</v>
      </c>
      <c r="D27" s="0" t="str">
        <f aca="false">IF(D25="","無資料",IF(AND(In!$E$160="Verified",FALSE()),IF(ABS(D25-1)&lt;=tolband,"對得上","偏差"),"證據不足（"&amp;IF(ABS(D25-1)&lt;=tolband,"帶內","帶外")&amp;"）"))</f>
        <v>無資料</v>
      </c>
      <c r="E27" s="0" t="str">
        <f aca="false">IF(E25="","無資料",IF(AND(In!$E$160="Verified",FALSE()),IF(ABS(E25-1)&lt;=tolband,"對得上","偏差"),"證據不足（"&amp;IF(ABS(E25-1)&lt;=tolband,"帶內","帶外")&amp;"）"))</f>
        <v>無資料</v>
      </c>
      <c r="F27" s="0" t="str">
        <f aca="false">IF(F25="","無資料",IF(AND(In!$E$160="Verified",FALSE()),IF(ABS(F25-1)&lt;=tolband,"對得上","偏差"),"證據不足（"&amp;IF(ABS(F25-1)&lt;=tolband,"帶內","帶外")&amp;"）"))</f>
        <v>證據不足（帶內）</v>
      </c>
      <c r="G27" s="0" t="str">
        <f aca="false">IF(G25="","無資料",IF(AND(In!$E$160="Verified",FALSE()),IF(ABS(G25-1)&lt;=tolband,"對得上","偏差"),"證據不足（"&amp;IF(ABS(G25-1)&lt;=tolband,"帶內","帶外")&amp;"）"))</f>
        <v>無資料</v>
      </c>
      <c r="H27" s="0" t="str">
        <f aca="false">IF(H25="","無資料",IF(AND(In!$E$160="Verified",FALSE()),IF(ABS(H25-1)&lt;=tolband,"對得上","偏差"),"證據不足（"&amp;IF(ABS(H25-1)&lt;=tolband,"帶內","帶外")&amp;"）"))</f>
        <v>無資料</v>
      </c>
      <c r="I27" s="0" t="str">
        <f aca="false">IF(I25="","無資料",IF(AND(In!$E$160="Verified",FALSE()),IF(ABS(I25-1)&lt;=tolband,"對得上","偏差"),"證據不足（"&amp;IF(ABS(I25-1)&lt;=tolband,"帶內","帶外")&amp;"）"))</f>
        <v>無資料</v>
      </c>
      <c r="J27" s="0" t="str">
        <f aca="false">IF(J25="","無資料",IF(AND(In!$E$160="Verified",FALSE()),IF(ABS(J25-1)&lt;=tolband,"對得上","偏差"),"證據不足（"&amp;IF(ABS(J25-1)&lt;=tolband,"帶內","帶外")&amp;"）"))</f>
        <v>無資料</v>
      </c>
      <c r="K27" s="0" t="str">
        <f aca="false">IF(K25="","無資料",IF(AND(In!$E$160="Verified",FALSE()),IF(ABS(K25-1)&lt;=tolband,"對得上","偏差"),"證據不足（"&amp;IF(ABS(K25-1)&lt;=tolband,"帶內","帶外")&amp;"）"))</f>
        <v>無資料</v>
      </c>
      <c r="L27" s="0" t="str">
        <f aca="false">IF(L25="","無資料",IF(AND(In!$E$160="Verified",FALSE()),IF(ABS(L25-1)&lt;=tolband,"對得上","偏差"),"證據不足（"&amp;IF(ABS(L25-1)&lt;=tolband,"帶內","帶外")&amp;"）"))</f>
        <v>無資料</v>
      </c>
      <c r="M27" s="0" t="str">
        <f aca="false">IF(M25="","無資料",IF(AND(In!$E$160="Verified",FALSE()),IF(ABS(M25-1)&lt;=tolband,"對得上","偏差"),"證據不足（"&amp;IF(ABS(M25-1)&lt;=tolband,"帶內","帶外")&amp;"）"))</f>
        <v>無資料</v>
      </c>
      <c r="N27" s="5" t="s">
        <v>1577</v>
      </c>
    </row>
    <row r="28" customFormat="false" ht="17.15" hidden="false" customHeight="false" outlineLevel="0" collapsed="false">
      <c r="A28" s="5" t="s">
        <v>1578</v>
      </c>
      <c r="D28" s="29" t="str">
        <f aca="false">IF(OR(D24="",N(D24)=0),"",D$7/D24)</f>
        <v/>
      </c>
      <c r="E28" s="29" t="str">
        <f aca="false">IF(OR(E24="",N(E24)=0),"",E$7/E24)</f>
        <v/>
      </c>
      <c r="F28" s="29" t="n">
        <f aca="false">IF(OR(F24="",N(F24)=0),"",F$7/F24)</f>
        <v>0.658212</v>
      </c>
      <c r="G28" s="29" t="str">
        <f aca="false">IF(OR(G24="",N(G24)=0),"",G$7/G24)</f>
        <v/>
      </c>
      <c r="H28" s="29" t="str">
        <f aca="false">IF(OR(H24="",N(H24)=0),"",H$7/H24)</f>
        <v/>
      </c>
      <c r="I28" s="29" t="str">
        <f aca="false">IF(OR(I24="",N(I24)=0),"",I$7/I24)</f>
        <v/>
      </c>
      <c r="J28" s="29" t="str">
        <f aca="false">IF(OR(J24="",N(J24)=0),"",J$7/J24)</f>
        <v/>
      </c>
      <c r="K28" s="29" t="str">
        <f aca="false">IF(OR(K24="",N(K24)=0),"",K$7/K24)</f>
        <v/>
      </c>
      <c r="L28" s="29" t="str">
        <f aca="false">IF(OR(L24="",N(L24)=0),"",L$7/L24)</f>
        <v/>
      </c>
      <c r="M28" s="29" t="str">
        <f aca="false">IF(OR(M24="",N(M24)=0),"",M$7/M24)</f>
        <v/>
      </c>
    </row>
    <row r="29" customFormat="false" ht="17.15" hidden="false" customHeight="false" outlineLevel="0" collapsed="false">
      <c r="A29" s="5" t="s">
        <v>1579</v>
      </c>
      <c r="D29" s="0" t="str">
        <f aca="false">IF(OR(D24="",N(D24)=0),"",TEXT(D$8/D24,"0.00")&amp;"–"&amp;TEXT(D$9/D24,"0.00"))</f>
        <v/>
      </c>
      <c r="E29" s="0" t="str">
        <f aca="false">IF(OR(E24="",N(E24)=0),"",TEXT(E$8/E24,"0.00")&amp;"–"&amp;TEXT(E$9/E24,"0.00"))</f>
        <v/>
      </c>
      <c r="F29" s="0" t="str">
        <f aca="false">IF(OR(F24="",N(F24)=0),"",TEXT(F$8/F24,"0.00")&amp;"–"&amp;TEXT(F$9/F24,"0.00"))</f>
        <v>0.48–0.79</v>
      </c>
      <c r="G29" s="0" t="str">
        <f aca="false">IF(OR(G24="",N(G24)=0),"",TEXT(G$8/G24,"0.00")&amp;"–"&amp;TEXT(G$9/G24,"0.00"))</f>
        <v/>
      </c>
      <c r="H29" s="0" t="str">
        <f aca="false">IF(OR(H24="",N(H24)=0),"",TEXT(H$8/H24,"0.00")&amp;"–"&amp;TEXT(H$9/H24,"0.00"))</f>
        <v/>
      </c>
      <c r="I29" s="0" t="str">
        <f aca="false">IF(OR(I24="",N(I24)=0),"",TEXT(I$8/I24,"0.00")&amp;"–"&amp;TEXT(I$9/I24,"0.00"))</f>
        <v/>
      </c>
      <c r="J29" s="0" t="str">
        <f aca="false">IF(OR(J24="",N(J24)=0),"",TEXT(J$8/J24,"0.00")&amp;"–"&amp;TEXT(J$9/J24,"0.00"))</f>
        <v/>
      </c>
      <c r="K29" s="0" t="str">
        <f aca="false">IF(OR(K24="",N(K24)=0),"",TEXT(K$8/K24,"0.00")&amp;"–"&amp;TEXT(K$9/K24,"0.00"))</f>
        <v/>
      </c>
      <c r="L29" s="0" t="str">
        <f aca="false">IF(OR(L24="",N(L24)=0),"",TEXT(L$8/L24,"0.00")&amp;"–"&amp;TEXT(L$9/L24,"0.00"))</f>
        <v/>
      </c>
      <c r="M29" s="0" t="str">
        <f aca="false">IF(OR(M24="",N(M24)=0),"",TEXT(M$8/M24,"0.00")&amp;"–"&amp;TEXT(M$9/M24,"0.00"))</f>
        <v/>
      </c>
    </row>
    <row r="30" customFormat="false" ht="17.15" hidden="false" customHeight="false" outlineLevel="0" collapsed="false">
      <c r="A30" s="5" t="s">
        <v>1580</v>
      </c>
      <c r="D30" s="0" t="str">
        <f aca="false">IF(D28="","無資料",IF(AND(In!$E$160="Verified",FALSE()),IF(ABS(D28-1)&lt;=tolband,"對得上","偏差"),"證據不足（"&amp;IF(ABS(D28-1)&lt;=tolband,"帶內","帶外")&amp;"）"))</f>
        <v>無資料</v>
      </c>
      <c r="E30" s="0" t="str">
        <f aca="false">IF(E28="","無資料",IF(AND(In!$E$160="Verified",FALSE()),IF(ABS(E28-1)&lt;=tolband,"對得上","偏差"),"證據不足（"&amp;IF(ABS(E28-1)&lt;=tolband,"帶內","帶外")&amp;"）"))</f>
        <v>無資料</v>
      </c>
      <c r="F30" s="0" t="str">
        <f aca="false">IF(F28="","無資料",IF(AND(In!$E$160="Verified",FALSE()),IF(ABS(F28-1)&lt;=tolband,"對得上","偏差"),"證據不足（"&amp;IF(ABS(F28-1)&lt;=tolband,"帶內","帶外")&amp;"）"))</f>
        <v>證據不足（帶外）</v>
      </c>
      <c r="G30" s="0" t="str">
        <f aca="false">IF(G28="","無資料",IF(AND(In!$E$160="Verified",FALSE()),IF(ABS(G28-1)&lt;=tolband,"對得上","偏差"),"證據不足（"&amp;IF(ABS(G28-1)&lt;=tolband,"帶內","帶外")&amp;"）"))</f>
        <v>無資料</v>
      </c>
      <c r="H30" s="0" t="str">
        <f aca="false">IF(H28="","無資料",IF(AND(In!$E$160="Verified",FALSE()),IF(ABS(H28-1)&lt;=tolband,"對得上","偏差"),"證據不足（"&amp;IF(ABS(H28-1)&lt;=tolband,"帶內","帶外")&amp;"）"))</f>
        <v>無資料</v>
      </c>
      <c r="I30" s="0" t="str">
        <f aca="false">IF(I28="","無資料",IF(AND(In!$E$160="Verified",FALSE()),IF(ABS(I28-1)&lt;=tolband,"對得上","偏差"),"證據不足（"&amp;IF(ABS(I28-1)&lt;=tolband,"帶內","帶外")&amp;"）"))</f>
        <v>無資料</v>
      </c>
      <c r="J30" s="0" t="str">
        <f aca="false">IF(J28="","無資料",IF(AND(In!$E$160="Verified",FALSE()),IF(ABS(J28-1)&lt;=tolband,"對得上","偏差"),"證據不足（"&amp;IF(ABS(J28-1)&lt;=tolband,"帶內","帶外")&amp;"）"))</f>
        <v>無資料</v>
      </c>
      <c r="K30" s="0" t="str">
        <f aca="false">IF(K28="","無資料",IF(AND(In!$E$160="Verified",FALSE()),IF(ABS(K28-1)&lt;=tolband,"對得上","偏差"),"證據不足（"&amp;IF(ABS(K28-1)&lt;=tolband,"帶內","帶外")&amp;"）"))</f>
        <v>無資料</v>
      </c>
      <c r="L30" s="0" t="str">
        <f aca="false">IF(L28="","無資料",IF(AND(In!$E$160="Verified",FALSE()),IF(ABS(L28-1)&lt;=tolband,"對得上","偏差"),"證據不足（"&amp;IF(ABS(L28-1)&lt;=tolband,"帶內","帶外")&amp;"）"))</f>
        <v>無資料</v>
      </c>
      <c r="M30" s="0" t="str">
        <f aca="false">IF(M28="","無資料",IF(AND(In!$E$160="Verified",FALSE()),IF(ABS(M28-1)&lt;=tolband,"對得上","偏差"),"證據不足（"&amp;IF(ABS(M28-1)&lt;=tolband,"帶內","帶外")&amp;"）"))</f>
        <v>無資料</v>
      </c>
      <c r="N30" s="5" t="s">
        <v>1577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4" style="0" width="13"/>
    <col collapsed="false" customWidth="true" hidden="false" outlineLevel="0" max="12" min="12" style="0" width="50"/>
    <col collapsed="false" customWidth="true" hidden="false" outlineLevel="0" max="13" min="13" style="0" width="13"/>
    <col collapsed="false" customWidth="true" hidden="false" outlineLevel="0" max="14" min="14" style="0" width="70"/>
  </cols>
  <sheetData>
    <row r="1" customFormat="false" ht="17.15" hidden="false" customHeight="false" outlineLevel="0" collapsed="false">
      <c r="A1" s="0" t="s">
        <v>1582</v>
      </c>
    </row>
    <row r="2" customFormat="false" ht="17.15" hidden="false" customHeight="false" outlineLevel="0" collapsed="false">
      <c r="A2" s="0" t="s">
        <v>1583</v>
      </c>
    </row>
    <row r="3" customFormat="false" ht="15" hidden="false" customHeight="false" outlineLevel="0" collapsed="false">
      <c r="A3" s="6" t="s">
        <v>15</v>
      </c>
      <c r="B3" s="6" t="s">
        <v>1332</v>
      </c>
      <c r="C3" s="6" t="s">
        <v>17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6" t="s">
        <v>1584</v>
      </c>
    </row>
    <row r="4" customFormat="false" ht="17.15" hidden="false" customHeight="false" outlineLevel="0" collapsed="false">
      <c r="A4" s="21" t="s">
        <v>1585</v>
      </c>
    </row>
    <row r="5" customFormat="false" ht="17.15" hidden="false" customHeight="false" outlineLevel="0" collapsed="false">
      <c r="A5" s="0" t="s">
        <v>1586</v>
      </c>
      <c r="D5" s="29" t="n">
        <f aca="false">MAX(0,1-lag_bldg/12)</f>
        <v>0</v>
      </c>
    </row>
    <row r="6" customFormat="false" ht="17.15" hidden="false" customHeight="false" outlineLevel="0" collapsed="false">
      <c r="A6" s="0" t="s">
        <v>1587</v>
      </c>
      <c r="D6" s="29" t="n">
        <f aca="false">MAX(0,MIN(lag_bldg/12,2-lag_bldg/12))</f>
        <v>0.5</v>
      </c>
    </row>
    <row r="7" customFormat="false" ht="17.15" hidden="false" customHeight="false" outlineLevel="0" collapsed="false">
      <c r="A7" s="0" t="s">
        <v>1588</v>
      </c>
      <c r="D7" s="29" t="n">
        <f aca="false">MAX(0,MIN(1,lag_bldg/12-1))</f>
        <v>0.5</v>
      </c>
    </row>
    <row r="8" customFormat="false" ht="17.15" hidden="false" customHeight="false" outlineLevel="0" collapsed="false">
      <c r="A8" s="0" t="s">
        <v>1589</v>
      </c>
      <c r="D8" s="29" t="n">
        <f aca="false">Players!D5*TK_CapexIT_H100+Players!D6*TK_CapexIT_GB200+Players!D7*TK_CapexIT_GB300+Players!D8*TK_CapexIT_VR200+Players!D9*TK_CapexIT_RU</f>
        <v>27.510214</v>
      </c>
      <c r="E8" s="29" t="n">
        <f aca="false">Players!E5*TK_CapexIT_H100+Players!E6*TK_CapexIT_GB200+Players!E7*TK_CapexIT_GB300+Players!E8*TK_CapexIT_VR200+Players!E9*TK_CapexIT_RU</f>
        <v>27.510214</v>
      </c>
      <c r="F8" s="29" t="n">
        <f aca="false">Players!F5*TK_CapexIT_H100+Players!F6*TK_CapexIT_GB200+Players!F7*TK_CapexIT_GB300+Players!F8*TK_CapexIT_VR200+Players!F9*TK_CapexIT_RU</f>
        <v>26.009088</v>
      </c>
      <c r="G8" s="29" t="n">
        <f aca="false">Players!G5*TK_CapexIT_H100+Players!G6*TK_CapexIT_GB200+Players!G7*TK_CapexIT_GB300+Players!G8*TK_CapexIT_VR200+Players!G9*TK_CapexIT_RU</f>
        <v>33.41403216</v>
      </c>
      <c r="H8" s="29" t="n">
        <f aca="false">Players!H5*TK_CapexIT_H100+Players!H6*TK_CapexIT_GB200+Players!H7*TK_CapexIT_GB300+Players!H8*TK_CapexIT_VR200+Players!H9*TK_CapexIT_RU</f>
        <v>38.3403893327246</v>
      </c>
      <c r="I8" s="29" t="n">
        <f aca="false">Players!I5*TK_CapexIT_H100+Players!I6*TK_CapexIT_GB200+Players!I7*TK_CapexIT_GB300+Players!I8*TK_CapexIT_VR200+Players!I9*TK_CapexIT_RU</f>
        <v>41.3326208898258</v>
      </c>
      <c r="J8" s="29" t="n">
        <f aca="false">Players!J5*TK_CapexIT_H100+Players!J6*TK_CapexIT_GB200+Players!J7*TK_CapexIT_GB300+Players!J8*TK_CapexIT_VR200+Players!J9*TK_CapexIT_RU</f>
        <v>41.3326208898258</v>
      </c>
      <c r="K8" s="29" t="n">
        <f aca="false">Players!K5*TK_CapexIT_H100+Players!K6*TK_CapexIT_GB200+Players!K7*TK_CapexIT_GB300+Players!K8*TK_CapexIT_VR200+Players!K9*TK_CapexIT_RU</f>
        <v>41.3326208898258</v>
      </c>
      <c r="L8" s="29" t="n">
        <f aca="false">Players!L5*TK_CapexIT_H100+Players!L6*TK_CapexIT_GB200+Players!L7*TK_CapexIT_GB300+Players!L8*TK_CapexIT_VR200+Players!L9*TK_CapexIT_RU</f>
        <v>41.3326208898258</v>
      </c>
      <c r="M8" s="29" t="n">
        <f aca="false">Players!M5*TK_CapexIT_H100+Players!M6*TK_CapexIT_GB200+Players!M7*TK_CapexIT_GB300+Players!M8*TK_CapexIT_VR200+Players!M9*TK_CapexIT_RU</f>
        <v>41.3326208898258</v>
      </c>
    </row>
    <row r="9" customFormat="false" ht="17.15" hidden="false" customHeight="false" outlineLevel="0" collapsed="false">
      <c r="A9" s="0" t="s">
        <v>1590</v>
      </c>
      <c r="D9" s="29" t="n">
        <f aca="false">Players!D5*TK_CapexFacility_H100+Players!D6*TK_CapexFacility_GB200+Players!D7*TK_CapexFacility_GB300+Players!D8*TK_CapexFacility_VR200+Players!D9*TK_CapexFacility_RU</f>
        <v>12.67</v>
      </c>
      <c r="E9" s="29" t="n">
        <f aca="false">Players!E5*TK_CapexFacility_H100+Players!E6*TK_CapexFacility_GB200+Players!E7*TK_CapexFacility_GB300+Players!E8*TK_CapexFacility_VR200+Players!E9*TK_CapexFacility_RU</f>
        <v>12.67</v>
      </c>
      <c r="F9" s="29" t="n">
        <f aca="false">Players!F5*TK_CapexFacility_H100+Players!F6*TK_CapexFacility_GB200+Players!F7*TK_CapexFacility_GB300+Players!F8*TK_CapexFacility_VR200+Players!F9*TK_CapexFacility_RU</f>
        <v>12.67</v>
      </c>
      <c r="G9" s="29" t="n">
        <f aca="false">Players!G5*TK_CapexFacility_H100+Players!G6*TK_CapexFacility_GB200+Players!G7*TK_CapexFacility_GB300+Players!G8*TK_CapexFacility_VR200+Players!G9*TK_CapexFacility_RU</f>
        <v>12.67</v>
      </c>
      <c r="H9" s="29" t="n">
        <f aca="false">Players!H5*TK_CapexFacility_H100+Players!H6*TK_CapexFacility_GB200+Players!H7*TK_CapexFacility_GB300+Players!H8*TK_CapexFacility_VR200+Players!H9*TK_CapexFacility_RU</f>
        <v>12.67</v>
      </c>
      <c r="I9" s="29" t="n">
        <f aca="false">Players!I5*TK_CapexFacility_H100+Players!I6*TK_CapexFacility_GB200+Players!I7*TK_CapexFacility_GB300+Players!I8*TK_CapexFacility_VR200+Players!I9*TK_CapexFacility_RU</f>
        <v>12.67</v>
      </c>
      <c r="J9" s="29" t="n">
        <f aca="false">Players!J5*TK_CapexFacility_H100+Players!J6*TK_CapexFacility_GB200+Players!J7*TK_CapexFacility_GB300+Players!J8*TK_CapexFacility_VR200+Players!J9*TK_CapexFacility_RU</f>
        <v>12.67</v>
      </c>
      <c r="K9" s="29" t="n">
        <f aca="false">Players!K5*TK_CapexFacility_H100+Players!K6*TK_CapexFacility_GB200+Players!K7*TK_CapexFacility_GB300+Players!K8*TK_CapexFacility_VR200+Players!K9*TK_CapexFacility_RU</f>
        <v>12.67</v>
      </c>
      <c r="L9" s="29" t="n">
        <f aca="false">Players!L5*TK_CapexFacility_H100+Players!L6*TK_CapexFacility_GB200+Players!L7*TK_CapexFacility_GB300+Players!L8*TK_CapexFacility_VR200+Players!L9*TK_CapexFacility_RU</f>
        <v>12.67</v>
      </c>
      <c r="M9" s="29" t="n">
        <f aca="false">Players!M5*TK_CapexFacility_H100+Players!M6*TK_CapexFacility_GB200+Players!M7*TK_CapexFacility_GB300+Players!M8*TK_CapexFacility_VR200+Players!M9*TK_CapexFacility_RU</f>
        <v>12.67</v>
      </c>
    </row>
    <row r="11" customFormat="false" ht="17.15" hidden="false" customHeight="false" outlineLevel="0" collapsed="false">
      <c r="A11" s="8" t="s">
        <v>964</v>
      </c>
      <c r="B11" s="20" t="s">
        <v>506</v>
      </c>
      <c r="N11" s="5" t="s">
        <v>1591</v>
      </c>
    </row>
    <row r="12" customFormat="false" ht="17.15" hidden="false" customHeight="false" outlineLevel="0" collapsed="false">
      <c r="A12" s="5" t="s">
        <v>1592</v>
      </c>
      <c r="C12" s="0" t="s">
        <v>390</v>
      </c>
      <c r="D12" s="32" t="n">
        <f aca="false">Players!D36*((1-Players!D38)*D$8+Players!D38*TK_NonNV_Hold_Maia*TK_CapexIT_VR200)</f>
        <v>0</v>
      </c>
      <c r="E12" s="32" t="n">
        <f aca="false">Players!E36*((1-Players!E38)*E$8+Players!E38*TK_NonNV_Hold_Maia*TK_CapexIT_VR200)</f>
        <v>0</v>
      </c>
      <c r="F12" s="32" t="n">
        <f aca="false">Players!F36*((1-Players!F38)*F$8+Players!F38*TK_NonNV_Hold_Maia*TK_CapexIT_VR200)</f>
        <v>51.8661035764096</v>
      </c>
      <c r="G12" s="32" t="n">
        <f aca="false">Players!G36*((1-Players!G38)*G$8+Players!G38*TK_NonNV_Hold_Maia*TK_CapexIT_VR200)</f>
        <v>23.0756060078041</v>
      </c>
      <c r="H12" s="32" t="n">
        <f aca="false">Players!H36*((1-Players!H38)*H$8+Players!H38*TK_NonNV_Hold_Maia*TK_CapexIT_VR200)</f>
        <v>34.3220893294984</v>
      </c>
      <c r="I12" s="32" t="n">
        <f aca="false">Players!I36*((1-Players!I38)*I$8+Players!I38*TK_NonNV_Hold_Maia*TK_CapexIT_VR200)</f>
        <v>53.799899547728</v>
      </c>
      <c r="J12" s="32" t="n">
        <f aca="false">Players!J36*((1-Players!J38)*J$8+Players!J38*TK_NonNV_Hold_Maia*TK_CapexIT_VR200)</f>
        <v>0</v>
      </c>
      <c r="K12" s="32" t="n">
        <f aca="false">Players!K36*((1-Players!K38)*K$8+Players!K38*TK_NonNV_Hold_Maia*TK_CapexIT_VR200)</f>
        <v>0</v>
      </c>
      <c r="L12" s="32" t="n">
        <f aca="false">Players!L36*((1-Players!L38)*L$8+Players!L38*TK_NonNV_Hold_Maia*TK_CapexIT_VR200)</f>
        <v>0</v>
      </c>
      <c r="M12" s="32" t="n">
        <f aca="false">Players!M36*((1-Players!M38)*M$8+Players!M38*TK_NonNV_Hold_Maia*TK_CapexIT_VR200)</f>
        <v>0</v>
      </c>
    </row>
    <row r="13" customFormat="false" ht="15" hidden="false" customHeight="false" outlineLevel="0" collapsed="false">
      <c r="A13" s="5" t="s">
        <v>1593</v>
      </c>
      <c r="C13" s="0" t="s">
        <v>390</v>
      </c>
      <c r="D13" s="32" t="n">
        <f aca="false">Players!D36*((1-Players!D38)*D$9+Players!D38*TK_NonNV_Hold_Maia*TK_CapexFacility_VR200)</f>
        <v>0</v>
      </c>
      <c r="E13" s="32" t="n">
        <f aca="false">Players!E36*((1-Players!E38)*E$9+Players!E38*TK_NonNV_Hold_Maia*TK_CapexFacility_VR200)</f>
        <v>0</v>
      </c>
      <c r="F13" s="32" t="n">
        <f aca="false">Players!F36*((1-Players!F38)*F$9+Players!F38*TK_NonNV_Hold_Maia*TK_CapexFacility_VR200)</f>
        <v>23.8316186978092</v>
      </c>
      <c r="G13" s="32" t="n">
        <f aca="false">Players!G36*((1-Players!G38)*G$9+Players!G38*TK_NonNV_Hold_Maia*TK_CapexFacility_VR200)</f>
        <v>8.6045818997923</v>
      </c>
      <c r="H13" s="32" t="n">
        <f aca="false">Players!H36*((1-Players!H38)*H$9+Players!H38*TK_NonNV_Hold_Maia*TK_CapexFacility_VR200)</f>
        <v>11.3774956910595</v>
      </c>
      <c r="I13" s="32" t="n">
        <f aca="false">Players!I36*((1-Players!I38)*I$9+Players!I38*TK_NonNV_Hold_Maia*TK_CapexFacility_VR200)</f>
        <v>16.7279333431793</v>
      </c>
      <c r="J13" s="32" t="n">
        <f aca="false">Players!J36*((1-Players!J38)*J$9+Players!J38*TK_NonNV_Hold_Maia*TK_CapexFacility_VR200)</f>
        <v>0</v>
      </c>
      <c r="K13" s="32" t="n">
        <f aca="false">Players!K36*((1-Players!K38)*K$9+Players!K38*TK_NonNV_Hold_Maia*TK_CapexFacility_VR200)</f>
        <v>0</v>
      </c>
      <c r="L13" s="32" t="n">
        <f aca="false">Players!L36*((1-Players!L38)*L$9+Players!L38*TK_NonNV_Hold_Maia*TK_CapexFacility_VR200)</f>
        <v>0</v>
      </c>
      <c r="M13" s="32" t="n">
        <f aca="false">Players!M36*((1-Players!M38)*M$9+Players!M38*TK_NonNV_Hold_Maia*TK_CapexFacility_VR200)</f>
        <v>0</v>
      </c>
    </row>
    <row r="14" customFormat="false" ht="17.15" hidden="false" customHeight="false" outlineLevel="0" collapsed="false">
      <c r="A14" s="5" t="s">
        <v>1594</v>
      </c>
      <c r="C14" s="0" t="s">
        <v>390</v>
      </c>
      <c r="D14" s="32" t="n">
        <f aca="false">D13*$D$5+E13*$D$6+F13*$D$7</f>
        <v>11.9158093489046</v>
      </c>
      <c r="E14" s="32" t="n">
        <f aca="false">E13*$D$5+F13*$D$6+G13*$D$7</f>
        <v>16.2181002988008</v>
      </c>
      <c r="F14" s="32" t="n">
        <f aca="false">F13*$D$5+G13*$D$6+H13*$D$7</f>
        <v>9.9910387954259</v>
      </c>
      <c r="G14" s="32" t="n">
        <f aca="false">G13*$D$5+H13*$D$6+I13*$D$7</f>
        <v>14.0527145171194</v>
      </c>
      <c r="H14" s="32" t="n">
        <f aca="false">H13*$D$5+I13*$D$6+J13*$D$7</f>
        <v>8.36396667158966</v>
      </c>
      <c r="I14" s="32" t="n">
        <f aca="false">I13*$D$5+J13*$D$6+K13*$D$7</f>
        <v>0</v>
      </c>
      <c r="J14" s="32" t="n">
        <f aca="false">J13*$D$5+K13*$D$6+L13*$D$7</f>
        <v>0</v>
      </c>
      <c r="K14" s="32" t="n">
        <f aca="false">K13*$D$5+L13*$D$6+M13*$D$7</f>
        <v>0</v>
      </c>
      <c r="L14" s="32" t="n">
        <f aca="false">L13*$D$5+M13*$D$6</f>
        <v>0</v>
      </c>
      <c r="M14" s="32" t="n">
        <f aca="false">M13*$D$5</f>
        <v>0</v>
      </c>
    </row>
    <row r="15" customFormat="false" ht="17.15" hidden="false" customHeight="false" outlineLevel="0" collapsed="false">
      <c r="A15" s="5" t="s">
        <v>1595</v>
      </c>
      <c r="C15" s="0" t="s">
        <v>390</v>
      </c>
      <c r="D15" s="32" t="n">
        <f aca="false">D12+D14</f>
        <v>11.9158093489046</v>
      </c>
      <c r="E15" s="32" t="n">
        <f aca="false">E12+E14</f>
        <v>16.2181002988008</v>
      </c>
      <c r="F15" s="32" t="n">
        <f aca="false">F12+F14</f>
        <v>61.8571423718355</v>
      </c>
      <c r="G15" s="32" t="n">
        <f aca="false">G12+G14</f>
        <v>37.1283205249235</v>
      </c>
      <c r="H15" s="32" t="n">
        <f aca="false">H12+H14</f>
        <v>42.686056001088</v>
      </c>
      <c r="I15" s="32" t="n">
        <f aca="false">I12+I14</f>
        <v>53.799899547728</v>
      </c>
      <c r="J15" s="32" t="n">
        <f aca="false">J12+J14</f>
        <v>0</v>
      </c>
      <c r="K15" s="32" t="n">
        <f aca="false">K12+K14</f>
        <v>0</v>
      </c>
      <c r="L15" s="32" t="n">
        <f aca="false">L12+L14</f>
        <v>0</v>
      </c>
      <c r="M15" s="32" t="n">
        <f aca="false">M12+M14</f>
        <v>0</v>
      </c>
    </row>
    <row r="16" customFormat="false" ht="17.15" hidden="false" customHeight="false" outlineLevel="0" collapsed="false">
      <c r="A16" s="5" t="s">
        <v>1596</v>
      </c>
      <c r="C16" s="0" t="s">
        <v>390</v>
      </c>
      <c r="D16" s="32" t="n">
        <f aca="false">D15*fye_msft/12+N(In!H140)</f>
        <v>5.9579046744523</v>
      </c>
      <c r="E16" s="32" t="n">
        <f aca="false">E15*fye_msft/12+D15*(12-fye_msft)/12+N(In!I140)</f>
        <v>14.0669548238527</v>
      </c>
      <c r="F16" s="32" t="n">
        <f aca="false">F15*fye_msft/12+E15*(12-fye_msft)/12+N(In!J140)</f>
        <v>39.0376213353181</v>
      </c>
      <c r="G16" s="32" t="n">
        <f aca="false">G15*fye_msft/12+F15*(12-fye_msft)/12+N(In!K140)</f>
        <v>49.4927314483795</v>
      </c>
      <c r="H16" s="32" t="n">
        <f aca="false">H15*fye_msft/12+G15*(12-fye_msft)/12+N(In!L140)</f>
        <v>39.9071882630058</v>
      </c>
      <c r="I16" s="32" t="n">
        <f aca="false">I15*fye_msft/12+H15*(12-fye_msft)/12+N(In!M140)</f>
        <v>48.242977774408</v>
      </c>
      <c r="J16" s="32" t="n">
        <f aca="false">J15*fye_msft/12+I15*(12-fye_msft)/12+N(In!N140)</f>
        <v>26.899949773864</v>
      </c>
      <c r="K16" s="32" t="n">
        <f aca="false">K15*fye_msft/12+J15*(12-fye_msft)/12+N(In!O140)</f>
        <v>0</v>
      </c>
      <c r="L16" s="32" t="n">
        <f aca="false">L15*fye_msft/12+K15*(12-fye_msft)/12+N(In!P140)</f>
        <v>0</v>
      </c>
      <c r="M16" s="32" t="n">
        <f aca="false">M15*fye_msft/12+L15*(12-fye_msft)/12+N(In!Q140)</f>
        <v>0</v>
      </c>
    </row>
    <row r="17" customFormat="false" ht="17.15" hidden="false" customHeight="false" outlineLevel="0" collapsed="false">
      <c r="A17" s="5" t="s">
        <v>1597</v>
      </c>
      <c r="C17" s="0" t="s">
        <v>390</v>
      </c>
      <c r="D17" s="19" t="str">
        <f aca="false">IF(In!H124="","",In!H124)</f>
        <v/>
      </c>
      <c r="E17" s="30" t="n">
        <f aca="false">IF(In!I124="","",In!I124)</f>
        <v>44.477</v>
      </c>
      <c r="F17" s="30" t="n">
        <f aca="false">IF(In!J124="","",In!J124)</f>
        <v>64.551</v>
      </c>
      <c r="G17" s="30" t="n">
        <f aca="false">IF(In!K124="","",In!K124)</f>
        <v>115.948</v>
      </c>
      <c r="H17" s="30" t="n">
        <f aca="false">IF(In!L124="","",In!L124)</f>
        <v>192.827</v>
      </c>
      <c r="I17" s="30" t="n">
        <f aca="false">IF(In!M124="","",In!M124)</f>
        <v>216.787</v>
      </c>
      <c r="J17" s="30" t="n">
        <f aca="false">IF(In!N124="","",In!N124)</f>
        <v>251.173</v>
      </c>
      <c r="K17" s="19" t="str">
        <f aca="false">IF(In!O124="","",In!O124)</f>
        <v/>
      </c>
      <c r="L17" s="19" t="str">
        <f aca="false">IF(In!P124="","",In!P124)</f>
        <v/>
      </c>
      <c r="M17" s="19" t="str">
        <f aca="false">IF(In!Q124="","",In!Q124)</f>
        <v/>
      </c>
    </row>
    <row r="18" customFormat="false" ht="17.15" hidden="false" customHeight="false" outlineLevel="0" collapsed="false">
      <c r="A18" s="5" t="s">
        <v>1598</v>
      </c>
      <c r="C18" s="0" t="s">
        <v>36</v>
      </c>
      <c r="D18" s="29" t="str">
        <f aca="false">IF(OR(D17="",N(D17)=0),"",D16/D17)</f>
        <v/>
      </c>
      <c r="E18" s="29" t="n">
        <f aca="false">IF(OR(E17="",N(E17)=0),"",E16/E17)</f>
        <v>0.316274812236722</v>
      </c>
      <c r="F18" s="29" t="n">
        <f aca="false">IF(OR(F17="",N(F17)=0),"",F16/F17)</f>
        <v>0.604756259938934</v>
      </c>
      <c r="G18" s="29" t="n">
        <f aca="false">IF(OR(G17="",N(G17)=0),"",G16/G17)</f>
        <v>0.426852825821743</v>
      </c>
      <c r="H18" s="29" t="n">
        <f aca="false">IF(OR(H17="",N(H17)=0),"",H16/H17)</f>
        <v>0.206958508212054</v>
      </c>
      <c r="I18" s="29" t="n">
        <f aca="false">IF(OR(I17="",N(I17)=0),"",I16/I17)</f>
        <v>0.222536304180638</v>
      </c>
      <c r="J18" s="29" t="n">
        <f aca="false">IF(OR(J17="",N(J17)=0),"",J16/J17)</f>
        <v>0.107097298570563</v>
      </c>
      <c r="K18" s="29" t="str">
        <f aca="false">IF(OR(K17="",N(K17)=0),"",K16/K17)</f>
        <v/>
      </c>
      <c r="L18" s="29" t="str">
        <f aca="false">IF(OR(L17="",N(L17)=0),"",L16/L17)</f>
        <v/>
      </c>
      <c r="M18" s="29" t="str">
        <f aca="false">IF(OR(M17="",N(M17)=0),"",M16/M17)</f>
        <v/>
      </c>
    </row>
    <row r="19" customFormat="false" ht="15" hidden="false" customHeight="false" outlineLevel="0" collapsed="false">
      <c r="A19" s="5" t="s">
        <v>1599</v>
      </c>
      <c r="C19" s="0" t="s">
        <v>35</v>
      </c>
      <c r="D19" s="0" t="str">
        <f aca="false">IF(D18="","無個股值",IF(D16=0,"瓦帳無新增",IF(AND(In!$E$124="Verified",FALSE()),IF(ABS(D18-1)&lt;=tolband,"對得上","偏差"),"證據不足（"&amp;IF(ABS(D18-1)&lt;=tolband,"帶內","帶外")&amp;"）")))</f>
        <v>無個股值</v>
      </c>
      <c r="E19" s="0" t="str">
        <f aca="false">IF(E18="","無個股值",IF(E16=0,"瓦帳無新增",IF(AND(In!$E$124="Verified",FALSE()),IF(ABS(E18-1)&lt;=tolband,"對得上","偏差"),"證據不足（"&amp;IF(ABS(E18-1)&lt;=tolband,"帶內","帶外")&amp;"）")))</f>
        <v>證據不足（帶外）</v>
      </c>
      <c r="F19" s="0" t="str">
        <f aca="false">IF(F18="","無個股值",IF(F16=0,"瓦帳無新增",IF(AND(In!$E$124="Verified",FALSE()),IF(ABS(F18-1)&lt;=tolband,"對得上","偏差"),"證據不足（"&amp;IF(ABS(F18-1)&lt;=tolband,"帶內","帶外")&amp;"）")))</f>
        <v>證據不足（帶外）</v>
      </c>
      <c r="G19" s="0" t="str">
        <f aca="false">IF(G18="","無個股值",IF(G16=0,"瓦帳無新增",IF(AND(In!$E$124="Verified",FALSE()),IF(ABS(G18-1)&lt;=tolband,"對得上","偏差"),"證據不足（"&amp;IF(ABS(G18-1)&lt;=tolband,"帶內","帶外")&amp;"）")))</f>
        <v>證據不足（帶外）</v>
      </c>
      <c r="H19" s="0" t="str">
        <f aca="false">"同源（不對帳）"</f>
        <v>同源（不對帳）</v>
      </c>
      <c r="I19" s="0" t="str">
        <f aca="false">"同源（不對帳）"</f>
        <v>同源（不對帳）</v>
      </c>
      <c r="J19" s="0" t="str">
        <f aca="false">"同源（不對帳）"</f>
        <v>同源（不對帳）</v>
      </c>
      <c r="K19" s="0" t="str">
        <f aca="false">"同源（不對帳）"</f>
        <v>同源（不對帳）</v>
      </c>
      <c r="L19" s="0" t="str">
        <f aca="false">"同源（不對帳）"</f>
        <v>同源（不對帳）</v>
      </c>
      <c r="M19" s="0" t="str">
        <f aca="false">"同源（不對帳）"</f>
        <v>同源（不對帳）</v>
      </c>
    </row>
    <row r="21" customFormat="false" ht="17.15" hidden="false" customHeight="false" outlineLevel="0" collapsed="false">
      <c r="A21" s="8" t="s">
        <v>1000</v>
      </c>
      <c r="B21" s="20" t="s">
        <v>511</v>
      </c>
      <c r="N21" s="20" t="s">
        <v>1600</v>
      </c>
    </row>
    <row r="22" customFormat="false" ht="17.15" hidden="false" customHeight="false" outlineLevel="0" collapsed="false">
      <c r="A22" s="5" t="s">
        <v>1592</v>
      </c>
      <c r="C22" s="0" t="s">
        <v>390</v>
      </c>
      <c r="D22" s="32" t="n">
        <f aca="false">Players!D55*((1-Players!D57)*D$8+Players!D57*TK_NonNV_Hold_TPU*TK_CapexIT_VR200)</f>
        <v>0</v>
      </c>
      <c r="E22" s="32" t="n">
        <f aca="false">Players!E55*((1-Players!E57)*E$8+Players!E57*TK_NonNV_Hold_TPU*TK_CapexIT_VR200)</f>
        <v>35.3819300020025</v>
      </c>
      <c r="F22" s="32" t="n">
        <f aca="false">Players!F55*((1-Players!F57)*F$8+Players!F57*TK_NonNV_Hold_TPU*TK_CapexIT_VR200)</f>
        <v>63.2186407655033</v>
      </c>
      <c r="G22" s="32" t="n">
        <f aca="false">Players!G55*((1-Players!G57)*G$8+Players!G57*TK_NonNV_Hold_TPU*TK_CapexIT_VR200)</f>
        <v>36.2790811922887</v>
      </c>
      <c r="H22" s="32" t="n">
        <f aca="false">Players!H55*((1-Players!H57)*H$8+Players!H57*TK_NonNV_Hold_TPU*TK_CapexIT_VR200)</f>
        <v>0</v>
      </c>
      <c r="I22" s="32" t="n">
        <f aca="false">Players!I55*((1-Players!I57)*I$8+Players!I57*TK_NonNV_Hold_TPU*TK_CapexIT_VR200)</f>
        <v>0</v>
      </c>
      <c r="J22" s="32" t="n">
        <f aca="false">Players!J55*((1-Players!J57)*J$8+Players!J57*TK_NonNV_Hold_TPU*TK_CapexIT_VR200)</f>
        <v>0</v>
      </c>
      <c r="K22" s="32" t="n">
        <f aca="false">Players!K55*((1-Players!K57)*K$8+Players!K57*TK_NonNV_Hold_TPU*TK_CapexIT_VR200)</f>
        <v>0</v>
      </c>
      <c r="L22" s="32" t="n">
        <f aca="false">Players!L55*((1-Players!L57)*L$8+Players!L57*TK_NonNV_Hold_TPU*TK_CapexIT_VR200)</f>
        <v>0</v>
      </c>
      <c r="M22" s="32" t="n">
        <f aca="false">Players!M55*((1-Players!M57)*M$8+Players!M57*TK_NonNV_Hold_TPU*TK_CapexIT_VR200)</f>
        <v>0</v>
      </c>
    </row>
    <row r="23" customFormat="false" ht="15" hidden="false" customHeight="false" outlineLevel="0" collapsed="false">
      <c r="A23" s="5" t="s">
        <v>1593</v>
      </c>
      <c r="C23" s="0" t="s">
        <v>390</v>
      </c>
      <c r="D23" s="32" t="n">
        <f aca="false">Players!D55*((1-Players!D57)*D$9+Players!D57*TK_NonNV_Hold_TPU*TK_CapexFacility_VR200)</f>
        <v>0</v>
      </c>
      <c r="E23" s="32" t="n">
        <f aca="false">Players!E55*((1-Players!E57)*E$9+Players!E57*TK_NonNV_Hold_TPU*TK_CapexFacility_VR200)</f>
        <v>13.0425567722911</v>
      </c>
      <c r="F23" s="32" t="n">
        <f aca="false">Players!F55*((1-Players!F57)*F$9+Players!F57*TK_NonNV_Hold_TPU*TK_CapexFacility_VR200)</f>
        <v>23.6331185836686</v>
      </c>
      <c r="G23" s="32" t="n">
        <f aca="false">Players!G55*((1-Players!G57)*G$9+Players!G57*TK_NonNV_Hold_TPU*TK_CapexFacility_VR200)</f>
        <v>12.6783991048287</v>
      </c>
      <c r="H23" s="32" t="n">
        <f aca="false">Players!H55*((1-Players!H57)*H$9+Players!H57*TK_NonNV_Hold_TPU*TK_CapexFacility_VR200)</f>
        <v>0</v>
      </c>
      <c r="I23" s="32" t="n">
        <f aca="false">Players!I55*((1-Players!I57)*I$9+Players!I57*TK_NonNV_Hold_TPU*TK_CapexFacility_VR200)</f>
        <v>0</v>
      </c>
      <c r="J23" s="32" t="n">
        <f aca="false">Players!J55*((1-Players!J57)*J$9+Players!J57*TK_NonNV_Hold_TPU*TK_CapexFacility_VR200)</f>
        <v>0</v>
      </c>
      <c r="K23" s="32" t="n">
        <f aca="false">Players!K55*((1-Players!K57)*K$9+Players!K57*TK_NonNV_Hold_TPU*TK_CapexFacility_VR200)</f>
        <v>0</v>
      </c>
      <c r="L23" s="32" t="n">
        <f aca="false">Players!L55*((1-Players!L57)*L$9+Players!L57*TK_NonNV_Hold_TPU*TK_CapexFacility_VR200)</f>
        <v>0</v>
      </c>
      <c r="M23" s="32" t="n">
        <f aca="false">Players!M55*((1-Players!M57)*M$9+Players!M57*TK_NonNV_Hold_TPU*TK_CapexFacility_VR200)</f>
        <v>0</v>
      </c>
    </row>
    <row r="24" customFormat="false" ht="17.15" hidden="false" customHeight="false" outlineLevel="0" collapsed="false">
      <c r="A24" s="5" t="s">
        <v>1594</v>
      </c>
      <c r="C24" s="0" t="s">
        <v>390</v>
      </c>
      <c r="D24" s="32" t="n">
        <f aca="false">D23*$D$5+E23*$D$6+F23*$D$7</f>
        <v>18.3378376779798</v>
      </c>
      <c r="E24" s="32" t="n">
        <f aca="false">E23*$D$5+F23*$D$6+G23*$D$7</f>
        <v>18.1557588442486</v>
      </c>
      <c r="F24" s="32" t="n">
        <f aca="false">F23*$D$5+G23*$D$6+H23*$D$7</f>
        <v>6.33919955241433</v>
      </c>
      <c r="G24" s="32" t="n">
        <f aca="false">G23*$D$5+H23*$D$6+I23*$D$7</f>
        <v>0</v>
      </c>
      <c r="H24" s="32" t="n">
        <f aca="false">H23*$D$5+I23*$D$6+J23*$D$7</f>
        <v>0</v>
      </c>
      <c r="I24" s="32" t="n">
        <f aca="false">I23*$D$5+J23*$D$6+K23*$D$7</f>
        <v>0</v>
      </c>
      <c r="J24" s="32" t="n">
        <f aca="false">J23*$D$5+K23*$D$6+L23*$D$7</f>
        <v>0</v>
      </c>
      <c r="K24" s="32" t="n">
        <f aca="false">K23*$D$5+L23*$D$6+M23*$D$7</f>
        <v>0</v>
      </c>
      <c r="L24" s="32" t="n">
        <f aca="false">L23*$D$5+M23*$D$6</f>
        <v>0</v>
      </c>
      <c r="M24" s="32" t="n">
        <f aca="false">M23*$D$5</f>
        <v>0</v>
      </c>
    </row>
    <row r="25" customFormat="false" ht="17.15" hidden="false" customHeight="false" outlineLevel="0" collapsed="false">
      <c r="A25" s="5" t="s">
        <v>1595</v>
      </c>
      <c r="C25" s="0" t="s">
        <v>390</v>
      </c>
      <c r="D25" s="32" t="n">
        <f aca="false">D22+D24</f>
        <v>18.3378376779798</v>
      </c>
      <c r="E25" s="32" t="n">
        <f aca="false">E22+E24</f>
        <v>53.5376888462511</v>
      </c>
      <c r="F25" s="32" t="n">
        <f aca="false">F22+F24</f>
        <v>69.5578403179177</v>
      </c>
      <c r="G25" s="32" t="n">
        <f aca="false">G22+G24</f>
        <v>36.2790811922887</v>
      </c>
      <c r="H25" s="32" t="n">
        <f aca="false">H22+H24</f>
        <v>0</v>
      </c>
      <c r="I25" s="32" t="n">
        <f aca="false">I22+I24</f>
        <v>0</v>
      </c>
      <c r="J25" s="32" t="n">
        <f aca="false">J22+J24</f>
        <v>0</v>
      </c>
      <c r="K25" s="32" t="n">
        <f aca="false">K22+K24</f>
        <v>0</v>
      </c>
      <c r="L25" s="32" t="n">
        <f aca="false">L22+L24</f>
        <v>0</v>
      </c>
      <c r="M25" s="32" t="n">
        <f aca="false">M22+M24</f>
        <v>0</v>
      </c>
    </row>
    <row r="26" customFormat="false" ht="17.15" hidden="false" customHeight="false" outlineLevel="0" collapsed="false">
      <c r="A26" s="5" t="s">
        <v>1596</v>
      </c>
      <c r="C26" s="0" t="s">
        <v>390</v>
      </c>
      <c r="D26" s="32" t="n">
        <f aca="false">D25*fye_googl/12+N(In!H141)</f>
        <v>18.3378376779798</v>
      </c>
      <c r="E26" s="32" t="n">
        <f aca="false">E25*fye_googl/12+D25*(12-fye_googl)/12+N(In!I141)</f>
        <v>53.5376888462511</v>
      </c>
      <c r="F26" s="32" t="n">
        <f aca="false">F25*fye_googl/12+E25*(12-fye_googl)/12+N(In!J141)</f>
        <v>69.5578403179177</v>
      </c>
      <c r="G26" s="32" t="n">
        <f aca="false">G25*fye_googl/12+F25*(12-fye_googl)/12+N(In!K141)</f>
        <v>36.2790811922887</v>
      </c>
      <c r="H26" s="32" t="n">
        <f aca="false">H25*fye_googl/12+G25*(12-fye_googl)/12+N(In!L141)</f>
        <v>0</v>
      </c>
      <c r="I26" s="32" t="n">
        <f aca="false">I25*fye_googl/12+H25*(12-fye_googl)/12+N(In!M141)</f>
        <v>0</v>
      </c>
      <c r="J26" s="32" t="n">
        <f aca="false">J25*fye_googl/12+I25*(12-fye_googl)/12+N(In!N141)</f>
        <v>0</v>
      </c>
      <c r="K26" s="32" t="n">
        <f aca="false">K25*fye_googl/12+J25*(12-fye_googl)/12+N(In!O141)</f>
        <v>0</v>
      </c>
      <c r="L26" s="32" t="n">
        <f aca="false">L25*fye_googl/12+K25*(12-fye_googl)/12+N(In!P141)</f>
        <v>0</v>
      </c>
      <c r="M26" s="32" t="n">
        <f aca="false">M25*fye_googl/12+L25*(12-fye_googl)/12+N(In!Q141)</f>
        <v>0</v>
      </c>
    </row>
    <row r="27" customFormat="false" ht="17.15" hidden="false" customHeight="false" outlineLevel="0" collapsed="false">
      <c r="A27" s="5" t="s">
        <v>1597</v>
      </c>
      <c r="C27" s="0" t="s">
        <v>390</v>
      </c>
      <c r="D27" s="19" t="str">
        <f aca="false">IF(In!H125="","",In!H125)</f>
        <v/>
      </c>
      <c r="E27" s="19" t="str">
        <f aca="false">IF(In!I125="","",In!I125)</f>
        <v/>
      </c>
      <c r="F27" s="30" t="n">
        <f aca="false">IF(In!J125="","",In!J125)</f>
        <v>91.447</v>
      </c>
      <c r="G27" s="30" t="n">
        <f aca="false">IF(In!K125="","",In!K125)</f>
        <v>200</v>
      </c>
      <c r="H27" s="30" t="n">
        <f aca="false">IF(In!L125="","",In!L125)</f>
        <v>300.979</v>
      </c>
      <c r="I27" s="30" t="n">
        <f aca="false">IF(In!M125="","",In!M125)</f>
        <v>339.451</v>
      </c>
      <c r="J27" s="19" t="str">
        <f aca="false">IF(In!N125="","",In!N125)</f>
        <v/>
      </c>
      <c r="K27" s="19" t="str">
        <f aca="false">IF(In!O125="","",In!O125)</f>
        <v/>
      </c>
      <c r="L27" s="19" t="str">
        <f aca="false">IF(In!P125="","",In!P125)</f>
        <v/>
      </c>
      <c r="M27" s="19" t="str">
        <f aca="false">IF(In!Q125="","",In!Q125)</f>
        <v/>
      </c>
    </row>
    <row r="28" customFormat="false" ht="17.15" hidden="false" customHeight="false" outlineLevel="0" collapsed="false">
      <c r="A28" s="5" t="s">
        <v>1598</v>
      </c>
      <c r="C28" s="0" t="s">
        <v>36</v>
      </c>
      <c r="D28" s="29" t="str">
        <f aca="false">IF(OR(D27="",N(D27)=0),"",D26/D27)</f>
        <v/>
      </c>
      <c r="E28" s="29" t="str">
        <f aca="false">IF(OR(E27="",N(E27)=0),"",E26/E27)</f>
        <v/>
      </c>
      <c r="F28" s="29" t="n">
        <f aca="false">IF(OR(F27="",N(F27)=0),"",F26/F27)</f>
        <v>0.760635562871583</v>
      </c>
      <c r="G28" s="29" t="n">
        <f aca="false">IF(OR(G27="",N(G27)=0),"",G26/G27)</f>
        <v>0.181395405961443</v>
      </c>
      <c r="H28" s="29" t="n">
        <f aca="false">IF(OR(H27="",N(H27)=0),"",H26/H27)</f>
        <v>0</v>
      </c>
      <c r="I28" s="29" t="n">
        <f aca="false">IF(OR(I27="",N(I27)=0),"",I26/I27)</f>
        <v>0</v>
      </c>
      <c r="J28" s="29" t="str">
        <f aca="false">IF(OR(J27="",N(J27)=0),"",J26/J27)</f>
        <v/>
      </c>
      <c r="K28" s="29" t="str">
        <f aca="false">IF(OR(K27="",N(K27)=0),"",K26/K27)</f>
        <v/>
      </c>
      <c r="L28" s="29" t="str">
        <f aca="false">IF(OR(L27="",N(L27)=0),"",L26/L27)</f>
        <v/>
      </c>
      <c r="M28" s="29" t="str">
        <f aca="false">IF(OR(M27="",N(M27)=0),"",M26/M27)</f>
        <v/>
      </c>
    </row>
    <row r="29" customFormat="false" ht="15" hidden="false" customHeight="false" outlineLevel="0" collapsed="false">
      <c r="A29" s="5" t="s">
        <v>1599</v>
      </c>
      <c r="C29" s="0" t="s">
        <v>35</v>
      </c>
      <c r="D29" s="0" t="str">
        <f aca="false">IF(D28="","無個股值",IF(D26=0,"瓦帳無新增",IF(AND(In!$E$125="Verified",FALSE()),IF(ABS(D28-1)&lt;=tolband,"對得上","偏差"),"證據不足（"&amp;IF(ABS(D28-1)&lt;=tolband,"帶內","帶外")&amp;"）")))</f>
        <v>無個股值</v>
      </c>
      <c r="E29" s="0" t="str">
        <f aca="false">IF(E28="","無個股值",IF(E26=0,"瓦帳無新增",IF(AND(In!$E$125="Verified",FALSE()),IF(ABS(E28-1)&lt;=tolband,"對得上","偏差"),"證據不足（"&amp;IF(ABS(E28-1)&lt;=tolband,"帶內","帶外")&amp;"）")))</f>
        <v>無個股值</v>
      </c>
      <c r="F29" s="0" t="str">
        <f aca="false">IF(F28="","無個股值",IF(F26=0,"瓦帳無新增",IF(AND(In!$E$125="Verified",FALSE()),IF(ABS(F28-1)&lt;=tolband,"對得上","偏差"),"證據不足（"&amp;IF(ABS(F28-1)&lt;=tolband,"帶內","帶外")&amp;"）")))</f>
        <v>證據不足（帶外）</v>
      </c>
      <c r="G29" s="0" t="str">
        <f aca="false">IF(G28="","無個股值",IF(G26=0,"瓦帳無新增",IF(AND(In!$E$125="Verified",FALSE()),IF(ABS(G28-1)&lt;=tolband,"對得上","偏差"),"證據不足（"&amp;IF(ABS(G28-1)&lt;=tolband,"帶內","帶外")&amp;"）")))</f>
        <v>證據不足（帶外）</v>
      </c>
      <c r="H29" s="0" t="str">
        <f aca="false">"同源（不對帳）"</f>
        <v>同源（不對帳）</v>
      </c>
      <c r="I29" s="0" t="str">
        <f aca="false">"同源（不對帳）"</f>
        <v>同源（不對帳）</v>
      </c>
      <c r="J29" s="0" t="str">
        <f aca="false">"同源（不對帳）"</f>
        <v>同源（不對帳）</v>
      </c>
      <c r="K29" s="0" t="str">
        <f aca="false">"同源（不對帳）"</f>
        <v>同源（不對帳）</v>
      </c>
      <c r="L29" s="0" t="str">
        <f aca="false">"同源（不對帳）"</f>
        <v>同源（不對帳）</v>
      </c>
      <c r="M29" s="0" t="str">
        <f aca="false">"同源（不對帳）"</f>
        <v>同源（不對帳）</v>
      </c>
    </row>
    <row r="31" customFormat="false" ht="17.15" hidden="false" customHeight="false" outlineLevel="0" collapsed="false">
      <c r="A31" s="8" t="s">
        <v>1019</v>
      </c>
      <c r="B31" s="20" t="s">
        <v>519</v>
      </c>
      <c r="N31" s="5" t="s">
        <v>1601</v>
      </c>
    </row>
    <row r="32" customFormat="false" ht="17.15" hidden="false" customHeight="false" outlineLevel="0" collapsed="false">
      <c r="A32" s="5" t="s">
        <v>1592</v>
      </c>
      <c r="C32" s="0" t="s">
        <v>390</v>
      </c>
      <c r="D32" s="32" t="n">
        <f aca="false">Players!D74*((1-Players!D76)*D$8+Players!D76*TK_NonNV_Hold_Trn*TK_CapexIT_VR200)</f>
        <v>0</v>
      </c>
      <c r="E32" s="32" t="n">
        <f aca="false">Players!E74*((1-Players!E76)*E$8+Players!E76*TK_NonNV_Hold_Trn*TK_CapexIT_VR200)</f>
        <v>0</v>
      </c>
      <c r="F32" s="32" t="n">
        <f aca="false">Players!F74*((1-Players!F76)*F$8+Players!F76*TK_NonNV_Hold_Trn*TK_CapexIT_VR200)</f>
        <v>33.2761117394968</v>
      </c>
      <c r="G32" s="32" t="n">
        <f aca="false">Players!G74*((1-Players!G76)*G$8+Players!G76*TK_NonNV_Hold_Trn*TK_CapexIT_VR200)</f>
        <v>13.9065669998304</v>
      </c>
      <c r="H32" s="32" t="n">
        <f aca="false">Players!H74*((1-Players!H76)*H$8+Players!H76*TK_NonNV_Hold_Trn*TK_CapexIT_VR200)</f>
        <v>1.14856869223016</v>
      </c>
      <c r="I32" s="32" t="n">
        <f aca="false">Players!I74*((1-Players!I76)*I$8+Players!I76*TK_NonNV_Hold_Trn*TK_CapexIT_VR200)</f>
        <v>41.8778872445254</v>
      </c>
      <c r="J32" s="32" t="n">
        <f aca="false">Players!J74*((1-Players!J76)*J$8+Players!J76*TK_NonNV_Hold_Trn*TK_CapexIT_VR200)</f>
        <v>1.79808103127464</v>
      </c>
      <c r="K32" s="32" t="n">
        <f aca="false">Players!K74*((1-Players!K76)*K$8+Players!K76*TK_NonNV_Hold_Trn*TK_CapexIT_VR200)</f>
        <v>0</v>
      </c>
      <c r="L32" s="32" t="n">
        <f aca="false">Players!L74*((1-Players!L76)*L$8+Players!L76*TK_NonNV_Hold_Trn*TK_CapexIT_VR200)</f>
        <v>0</v>
      </c>
      <c r="M32" s="32" t="n">
        <f aca="false">Players!M74*((1-Players!M76)*M$8+Players!M76*TK_NonNV_Hold_Trn*TK_CapexIT_VR200)</f>
        <v>0</v>
      </c>
    </row>
    <row r="33" customFormat="false" ht="15" hidden="false" customHeight="false" outlineLevel="0" collapsed="false">
      <c r="A33" s="5" t="s">
        <v>1593</v>
      </c>
      <c r="C33" s="0" t="s">
        <v>390</v>
      </c>
      <c r="D33" s="32" t="n">
        <f aca="false">Players!D74*((1-Players!D76)*D$9+Players!D76*TK_NonNV_Hold_Trn*TK_CapexFacility_VR200)</f>
        <v>0</v>
      </c>
      <c r="E33" s="32" t="n">
        <f aca="false">Players!E74*((1-Players!E76)*E$9+Players!E76*TK_NonNV_Hold_Trn*TK_CapexFacility_VR200)</f>
        <v>0</v>
      </c>
      <c r="F33" s="32" t="n">
        <f aca="false">Players!F74*((1-Players!F76)*F$9+Players!F76*TK_NonNV_Hold_Trn*TK_CapexFacility_VR200)</f>
        <v>13.0068092046039</v>
      </c>
      <c r="G33" s="32" t="n">
        <f aca="false">Players!G74*((1-Players!G76)*G$9+Players!G76*TK_NonNV_Hold_Trn*TK_CapexFacility_VR200)</f>
        <v>4.932366383</v>
      </c>
      <c r="H33" s="32" t="n">
        <f aca="false">Players!H74*((1-Players!H76)*H$9+Players!H76*TK_NonNV_Hold_Trn*TK_CapexFacility_VR200)</f>
        <v>0.383732488999999</v>
      </c>
      <c r="I33" s="32" t="n">
        <f aca="false">Players!I74*((1-Players!I76)*I$9+Players!I76*TK_NonNV_Hold_Trn*TK_CapexFacility_VR200)</f>
        <v>13.514871076</v>
      </c>
      <c r="J33" s="32" t="n">
        <f aca="false">Players!J74*((1-Players!J76)*J$9+Players!J76*TK_NonNV_Hold_Trn*TK_CapexFacility_VR200)</f>
        <v>0.580278398000003</v>
      </c>
      <c r="K33" s="32" t="n">
        <f aca="false">Players!K74*((1-Players!K76)*K$9+Players!K76*TK_NonNV_Hold_Trn*TK_CapexFacility_VR200)</f>
        <v>0</v>
      </c>
      <c r="L33" s="32" t="n">
        <f aca="false">Players!L74*((1-Players!L76)*L$9+Players!L76*TK_NonNV_Hold_Trn*TK_CapexFacility_VR200)</f>
        <v>0</v>
      </c>
      <c r="M33" s="32" t="n">
        <f aca="false">Players!M74*((1-Players!M76)*M$9+Players!M76*TK_NonNV_Hold_Trn*TK_CapexFacility_VR200)</f>
        <v>0</v>
      </c>
    </row>
    <row r="34" customFormat="false" ht="17.15" hidden="false" customHeight="false" outlineLevel="0" collapsed="false">
      <c r="A34" s="5" t="s">
        <v>1594</v>
      </c>
      <c r="C34" s="0" t="s">
        <v>390</v>
      </c>
      <c r="D34" s="32" t="n">
        <f aca="false">D33*$D$5+E33*$D$6+F33*$D$7</f>
        <v>6.50340460230194</v>
      </c>
      <c r="E34" s="32" t="n">
        <f aca="false">E33*$D$5+F33*$D$6+G33*$D$7</f>
        <v>8.96958779380194</v>
      </c>
      <c r="F34" s="32" t="n">
        <f aca="false">F33*$D$5+G33*$D$6+H33*$D$7</f>
        <v>2.658049436</v>
      </c>
      <c r="G34" s="32" t="n">
        <f aca="false">G33*$D$5+H33*$D$6+I33*$D$7</f>
        <v>6.9493017825</v>
      </c>
      <c r="H34" s="32" t="n">
        <f aca="false">H33*$D$5+I33*$D$6+J33*$D$7</f>
        <v>7.047574737</v>
      </c>
      <c r="I34" s="32" t="n">
        <f aca="false">I33*$D$5+J33*$D$6+K33*$D$7</f>
        <v>0.290139199000001</v>
      </c>
      <c r="J34" s="32" t="n">
        <f aca="false">J33*$D$5+K33*$D$6+L33*$D$7</f>
        <v>0</v>
      </c>
      <c r="K34" s="32" t="n">
        <f aca="false">K33*$D$5+L33*$D$6+M33*$D$7</f>
        <v>0</v>
      </c>
      <c r="L34" s="32" t="n">
        <f aca="false">L33*$D$5+M33*$D$6</f>
        <v>0</v>
      </c>
      <c r="M34" s="32" t="n">
        <f aca="false">M33*$D$5</f>
        <v>0</v>
      </c>
    </row>
    <row r="35" customFormat="false" ht="17.15" hidden="false" customHeight="false" outlineLevel="0" collapsed="false">
      <c r="A35" s="5" t="s">
        <v>1595</v>
      </c>
      <c r="C35" s="0" t="s">
        <v>390</v>
      </c>
      <c r="D35" s="32" t="n">
        <f aca="false">D32+D34</f>
        <v>6.50340460230194</v>
      </c>
      <c r="E35" s="32" t="n">
        <f aca="false">E32+E34</f>
        <v>8.96958779380194</v>
      </c>
      <c r="F35" s="32" t="n">
        <f aca="false">F32+F34</f>
        <v>35.9341611754968</v>
      </c>
      <c r="G35" s="32" t="n">
        <f aca="false">G32+G34</f>
        <v>20.8558687823304</v>
      </c>
      <c r="H35" s="32" t="n">
        <f aca="false">H32+H34</f>
        <v>8.19614342923016</v>
      </c>
      <c r="I35" s="32" t="n">
        <f aca="false">I32+I34</f>
        <v>42.1680264435254</v>
      </c>
      <c r="J35" s="32" t="n">
        <f aca="false">J32+J34</f>
        <v>1.79808103127464</v>
      </c>
      <c r="K35" s="32" t="n">
        <f aca="false">K32+K34</f>
        <v>0</v>
      </c>
      <c r="L35" s="32" t="n">
        <f aca="false">L32+L34</f>
        <v>0</v>
      </c>
      <c r="M35" s="32" t="n">
        <f aca="false">M32+M34</f>
        <v>0</v>
      </c>
    </row>
    <row r="36" customFormat="false" ht="17.15" hidden="false" customHeight="false" outlineLevel="0" collapsed="false">
      <c r="A36" s="5" t="s">
        <v>1596</v>
      </c>
      <c r="C36" s="0" t="s">
        <v>390</v>
      </c>
      <c r="D36" s="32" t="n">
        <f aca="false">D35*fye_amzn/12+N(In!H142)</f>
        <v>6.50340460230194</v>
      </c>
      <c r="E36" s="32" t="n">
        <f aca="false">E35*fye_amzn/12+D35*(12-fye_amzn)/12+N(In!I142)</f>
        <v>8.96958779380194</v>
      </c>
      <c r="F36" s="32" t="n">
        <f aca="false">F35*fye_amzn/12+E35*(12-fye_amzn)/12+N(In!J142)</f>
        <v>35.9341611754968</v>
      </c>
      <c r="G36" s="32" t="n">
        <f aca="false">G35*fye_amzn/12+F35*(12-fye_amzn)/12+N(In!K142)</f>
        <v>20.8558687823304</v>
      </c>
      <c r="H36" s="32" t="n">
        <f aca="false">H35*fye_amzn/12+G35*(12-fye_amzn)/12+N(In!L142)</f>
        <v>8.19614342923016</v>
      </c>
      <c r="I36" s="32" t="n">
        <f aca="false">I35*fye_amzn/12+H35*(12-fye_amzn)/12+N(In!M142)</f>
        <v>42.1680264435254</v>
      </c>
      <c r="J36" s="32" t="n">
        <f aca="false">J35*fye_amzn/12+I35*(12-fye_amzn)/12+N(In!N142)</f>
        <v>1.79808103127464</v>
      </c>
      <c r="K36" s="32" t="n">
        <f aca="false">K35*fye_amzn/12+J35*(12-fye_amzn)/12+N(In!O142)</f>
        <v>0</v>
      </c>
      <c r="L36" s="32" t="n">
        <f aca="false">L35*fye_amzn/12+K35*(12-fye_amzn)/12+N(In!P142)</f>
        <v>0</v>
      </c>
      <c r="M36" s="32" t="n">
        <f aca="false">M35*fye_amzn/12+L35*(12-fye_amzn)/12+N(In!Q142)</f>
        <v>0</v>
      </c>
    </row>
    <row r="37" customFormat="false" ht="17.15" hidden="false" customHeight="false" outlineLevel="0" collapsed="false">
      <c r="A37" s="5" t="s">
        <v>1597</v>
      </c>
      <c r="C37" s="0" t="s">
        <v>390</v>
      </c>
      <c r="D37" s="19" t="str">
        <f aca="false">IF(In!H126="","",In!H126)</f>
        <v/>
      </c>
      <c r="E37" s="19" t="str">
        <f aca="false">IF(In!I126="","",In!I126)</f>
        <v/>
      </c>
      <c r="F37" s="30" t="n">
        <f aca="false">IF(In!J126="","",In!J126)</f>
        <v>128.32</v>
      </c>
      <c r="G37" s="30" t="n">
        <f aca="false">IF(In!K126="","",In!K126)</f>
        <v>220</v>
      </c>
      <c r="H37" s="30" t="n">
        <f aca="false">IF(In!L126="","",In!L126)</f>
        <v>275.063</v>
      </c>
      <c r="I37" s="30" t="n">
        <f aca="false">IF(In!M126="","",In!M126)</f>
        <v>292.927</v>
      </c>
      <c r="J37" s="19" t="str">
        <f aca="false">IF(In!N126="","",In!N126)</f>
        <v/>
      </c>
      <c r="K37" s="19" t="str">
        <f aca="false">IF(In!O126="","",In!O126)</f>
        <v/>
      </c>
      <c r="L37" s="19" t="str">
        <f aca="false">IF(In!P126="","",In!P126)</f>
        <v/>
      </c>
      <c r="M37" s="19" t="str">
        <f aca="false">IF(In!Q126="","",In!Q126)</f>
        <v/>
      </c>
    </row>
    <row r="38" customFormat="false" ht="17.15" hidden="false" customHeight="false" outlineLevel="0" collapsed="false">
      <c r="A38" s="5" t="s">
        <v>1598</v>
      </c>
      <c r="C38" s="0" t="s">
        <v>36</v>
      </c>
      <c r="D38" s="29" t="str">
        <f aca="false">IF(OR(D37="",N(D37)=0),"",D36/D37)</f>
        <v/>
      </c>
      <c r="E38" s="29" t="str">
        <f aca="false">IF(OR(E37="",N(E37)=0),"",E36/E37)</f>
        <v/>
      </c>
      <c r="F38" s="29" t="n">
        <f aca="false">IF(OR(F37="",N(F37)=0),"",F36/F37)</f>
        <v>0.280035545320268</v>
      </c>
      <c r="G38" s="29" t="n">
        <f aca="false">IF(OR(G37="",N(G37)=0),"",G36/G37)</f>
        <v>0.0947994035560473</v>
      </c>
      <c r="H38" s="29" t="n">
        <f aca="false">IF(OR(H37="",N(H37)=0),"",H36/H37)</f>
        <v>0.0297973316266825</v>
      </c>
      <c r="I38" s="29" t="n">
        <f aca="false">IF(OR(I37="",N(I37)=0),"",I36/I37)</f>
        <v>0.143954044671626</v>
      </c>
      <c r="J38" s="29" t="str">
        <f aca="false">IF(OR(J37="",N(J37)=0),"",J36/J37)</f>
        <v/>
      </c>
      <c r="K38" s="29" t="str">
        <f aca="false">IF(OR(K37="",N(K37)=0),"",K36/K37)</f>
        <v/>
      </c>
      <c r="L38" s="29" t="str">
        <f aca="false">IF(OR(L37="",N(L37)=0),"",L36/L37)</f>
        <v/>
      </c>
      <c r="M38" s="29" t="str">
        <f aca="false">IF(OR(M37="",N(M37)=0),"",M36/M37)</f>
        <v/>
      </c>
    </row>
    <row r="39" customFormat="false" ht="15" hidden="false" customHeight="false" outlineLevel="0" collapsed="false">
      <c r="A39" s="5" t="s">
        <v>1599</v>
      </c>
      <c r="C39" s="0" t="s">
        <v>35</v>
      </c>
      <c r="D39" s="0" t="str">
        <f aca="false">IF(D38="","無個股值",IF(D36=0,"瓦帳無新增",IF(AND(In!$E$126="Verified",FALSE()),IF(ABS(D38-1)&lt;=tolband,"對得上","偏差"),"證據不足（"&amp;IF(ABS(D38-1)&lt;=tolband,"帶內","帶外")&amp;"）")))</f>
        <v>無個股值</v>
      </c>
      <c r="E39" s="0" t="str">
        <f aca="false">IF(E38="","無個股值",IF(E36=0,"瓦帳無新增",IF(AND(In!$E$126="Verified",FALSE()),IF(ABS(E38-1)&lt;=tolband,"對得上","偏差"),"證據不足（"&amp;IF(ABS(E38-1)&lt;=tolband,"帶內","帶外")&amp;"）")))</f>
        <v>無個股值</v>
      </c>
      <c r="F39" s="0" t="str">
        <f aca="false">IF(F38="","無個股值",IF(F36=0,"瓦帳無新增",IF(AND(In!$E$126="Verified",FALSE()),IF(ABS(F38-1)&lt;=tolband,"對得上","偏差"),"證據不足（"&amp;IF(ABS(F38-1)&lt;=tolband,"帶內","帶外")&amp;"）")))</f>
        <v>證據不足（帶外）</v>
      </c>
      <c r="G39" s="0" t="str">
        <f aca="false">IF(G38="","無個股值",IF(G36=0,"瓦帳無新增",IF(AND(In!$E$126="Verified",FALSE()),IF(ABS(G38-1)&lt;=tolband,"對得上","偏差"),"證據不足（"&amp;IF(ABS(G38-1)&lt;=tolband,"帶內","帶外")&amp;"）")))</f>
        <v>證據不足（帶外）</v>
      </c>
      <c r="H39" s="0" t="str">
        <f aca="false">"同源（不對帳）"</f>
        <v>同源（不對帳）</v>
      </c>
      <c r="I39" s="0" t="str">
        <f aca="false">"同源（不對帳）"</f>
        <v>同源（不對帳）</v>
      </c>
      <c r="J39" s="0" t="str">
        <f aca="false">"同源（不對帳）"</f>
        <v>同源（不對帳）</v>
      </c>
      <c r="K39" s="0" t="str">
        <f aca="false">"同源（不對帳）"</f>
        <v>同源（不對帳）</v>
      </c>
      <c r="L39" s="0" t="str">
        <f aca="false">"同源（不對帳）"</f>
        <v>同源（不對帳）</v>
      </c>
      <c r="M39" s="0" t="str">
        <f aca="false">"同源（不對帳）"</f>
        <v>同源（不對帳）</v>
      </c>
    </row>
    <row r="41" customFormat="false" ht="17.15" hidden="false" customHeight="false" outlineLevel="0" collapsed="false">
      <c r="A41" s="8" t="s">
        <v>1038</v>
      </c>
      <c r="B41" s="20" t="s">
        <v>526</v>
      </c>
      <c r="N41" s="20" t="s">
        <v>1602</v>
      </c>
    </row>
    <row r="42" customFormat="false" ht="17.15" hidden="false" customHeight="false" outlineLevel="0" collapsed="false">
      <c r="A42" s="5" t="s">
        <v>1592</v>
      </c>
      <c r="C42" s="0" t="s">
        <v>390</v>
      </c>
      <c r="D42" s="32" t="n">
        <f aca="false">Players!D93*((1-Players!D95)*D$8+Players!D95*TK_NonNV_Hold_AMD*TK_CapexIT_VR200)</f>
        <v>0</v>
      </c>
      <c r="E42" s="32" t="n">
        <f aca="false">Players!E93*((1-Players!E95)*E$8+Players!E95*TK_NonNV_Hold_AMD*TK_CapexIT_VR200)</f>
        <v>0</v>
      </c>
      <c r="F42" s="32" t="n">
        <f aca="false">Players!F93*((1-Players!F95)*F$8+Players!F95*TK_NonNV_Hold_AMD*TK_CapexIT_VR200)</f>
        <v>41.3585195806367</v>
      </c>
      <c r="G42" s="32" t="n">
        <f aca="false">Players!G93*((1-Players!G95)*G$8+Players!G95*TK_NonNV_Hold_AMD*TK_CapexIT_VR200)</f>
        <v>22.3518748566836</v>
      </c>
      <c r="H42" s="32" t="n">
        <f aca="false">Players!H93*((1-Players!H95)*H$8+Players!H95*TK_NonNV_Hold_AMD*TK_CapexIT_VR200)</f>
        <v>7.02618718546409</v>
      </c>
      <c r="I42" s="32" t="n">
        <f aca="false">Players!I93*((1-Players!I95)*I$8+Players!I95*TK_NonNV_Hold_AMD*TK_CapexIT_VR200)</f>
        <v>108.103580946479</v>
      </c>
      <c r="J42" s="32" t="n">
        <f aca="false">Players!J93*((1-Players!J95)*J$8+Players!J95*TK_NonNV_Hold_AMD*TK_CapexIT_VR200)</f>
        <v>14.2704338894025</v>
      </c>
      <c r="K42" s="32" t="n">
        <f aca="false">Players!K93*((1-Players!K95)*K$8+Players!K95*TK_NonNV_Hold_AMD*TK_CapexIT_VR200)</f>
        <v>0</v>
      </c>
      <c r="L42" s="32" t="n">
        <f aca="false">Players!L93*((1-Players!L95)*L$8+Players!L95*TK_NonNV_Hold_AMD*TK_CapexIT_VR200)</f>
        <v>0</v>
      </c>
      <c r="M42" s="32" t="n">
        <f aca="false">Players!M93*((1-Players!M95)*M$8+Players!M95*TK_NonNV_Hold_AMD*TK_CapexIT_VR200)</f>
        <v>0</v>
      </c>
    </row>
    <row r="43" customFormat="false" ht="15" hidden="false" customHeight="false" outlineLevel="0" collapsed="false">
      <c r="A43" s="5" t="s">
        <v>1593</v>
      </c>
      <c r="C43" s="0" t="s">
        <v>390</v>
      </c>
      <c r="D43" s="32" t="n">
        <f aca="false">Players!D93*((1-Players!D95)*D$9+Players!D95*TK_NonNV_Hold_AMD*TK_CapexFacility_VR200)</f>
        <v>0</v>
      </c>
      <c r="E43" s="32" t="n">
        <f aca="false">Players!E93*((1-Players!E95)*E$9+Players!E95*TK_NonNV_Hold_AMD*TK_CapexFacility_VR200)</f>
        <v>0</v>
      </c>
      <c r="F43" s="32" t="n">
        <f aca="false">Players!F93*((1-Players!F95)*F$9+Players!F95*TK_NonNV_Hold_AMD*TK_CapexFacility_VR200)</f>
        <v>18.4251269789571</v>
      </c>
      <c r="G43" s="32" t="n">
        <f aca="false">Players!G93*((1-Players!G95)*G$9+Players!G95*TK_NonNV_Hold_AMD*TK_CapexFacility_VR200)</f>
        <v>8.25888247472016</v>
      </c>
      <c r="H43" s="32" t="n">
        <f aca="false">Players!H93*((1-Players!H95)*H$9+Players!H95*TK_NonNV_Hold_AMD*TK_CapexFacility_VR200)</f>
        <v>2.33298622288945</v>
      </c>
      <c r="I43" s="32" t="n">
        <f aca="false">Players!I93*((1-Players!I95)*I$9+Players!I95*TK_NonNV_Hold_AMD*TK_CapexFacility_VR200)</f>
        <v>33.8710305191542</v>
      </c>
      <c r="J43" s="32" t="n">
        <f aca="false">Players!J93*((1-Players!J95)*J$9+Players!J95*TK_NonNV_Hold_AMD*TK_CapexFacility_VR200)</f>
        <v>4.4721964109197</v>
      </c>
      <c r="K43" s="32" t="n">
        <f aca="false">Players!K93*((1-Players!K95)*K$9+Players!K95*TK_NonNV_Hold_AMD*TK_CapexFacility_VR200)</f>
        <v>0</v>
      </c>
      <c r="L43" s="32" t="n">
        <f aca="false">Players!L93*((1-Players!L95)*L$9+Players!L95*TK_NonNV_Hold_AMD*TK_CapexFacility_VR200)</f>
        <v>0</v>
      </c>
      <c r="M43" s="32" t="n">
        <f aca="false">Players!M93*((1-Players!M95)*M$9+Players!M95*TK_NonNV_Hold_AMD*TK_CapexFacility_VR200)</f>
        <v>0</v>
      </c>
    </row>
    <row r="44" customFormat="false" ht="17.15" hidden="false" customHeight="false" outlineLevel="0" collapsed="false">
      <c r="A44" s="5" t="s">
        <v>1594</v>
      </c>
      <c r="C44" s="0" t="s">
        <v>390</v>
      </c>
      <c r="D44" s="32" t="n">
        <f aca="false">D43*$D$5+E43*$D$6+F43*$D$7</f>
        <v>9.21256348947853</v>
      </c>
      <c r="E44" s="32" t="n">
        <f aca="false">E43*$D$5+F43*$D$6+G43*$D$7</f>
        <v>13.3420047268386</v>
      </c>
      <c r="F44" s="32" t="n">
        <f aca="false">F43*$D$5+G43*$D$6+H43*$D$7</f>
        <v>5.2959343488048</v>
      </c>
      <c r="G44" s="32" t="n">
        <f aca="false">G43*$D$5+H43*$D$6+I43*$D$7</f>
        <v>18.1020083710218</v>
      </c>
      <c r="H44" s="32" t="n">
        <f aca="false">H43*$D$5+I43*$D$6+J43*$D$7</f>
        <v>19.1716134650369</v>
      </c>
      <c r="I44" s="32" t="n">
        <f aca="false">I43*$D$5+J43*$D$6+K43*$D$7</f>
        <v>2.23609820545985</v>
      </c>
      <c r="J44" s="32" t="n">
        <f aca="false">J43*$D$5+K43*$D$6+L43*$D$7</f>
        <v>0</v>
      </c>
      <c r="K44" s="32" t="n">
        <f aca="false">K43*$D$5+L43*$D$6+M43*$D$7</f>
        <v>0</v>
      </c>
      <c r="L44" s="32" t="n">
        <f aca="false">L43*$D$5+M43*$D$6</f>
        <v>0</v>
      </c>
      <c r="M44" s="32" t="n">
        <f aca="false">M43*$D$5</f>
        <v>0</v>
      </c>
    </row>
    <row r="45" customFormat="false" ht="17.15" hidden="false" customHeight="false" outlineLevel="0" collapsed="false">
      <c r="A45" s="5" t="s">
        <v>1595</v>
      </c>
      <c r="C45" s="0" t="s">
        <v>390</v>
      </c>
      <c r="D45" s="32" t="n">
        <f aca="false">D42+D44</f>
        <v>9.21256348947853</v>
      </c>
      <c r="E45" s="32" t="n">
        <f aca="false">E42+E44</f>
        <v>13.3420047268386</v>
      </c>
      <c r="F45" s="32" t="n">
        <f aca="false">F42+F44</f>
        <v>46.6544539294415</v>
      </c>
      <c r="G45" s="32" t="n">
        <f aca="false">G42+G44</f>
        <v>40.4538832277054</v>
      </c>
      <c r="H45" s="32" t="n">
        <f aca="false">H42+H44</f>
        <v>26.197800650501</v>
      </c>
      <c r="I45" s="32" t="n">
        <f aca="false">I42+I44</f>
        <v>110.339679151939</v>
      </c>
      <c r="J45" s="32" t="n">
        <f aca="false">J42+J44</f>
        <v>14.2704338894025</v>
      </c>
      <c r="K45" s="32" t="n">
        <f aca="false">K42+K44</f>
        <v>0</v>
      </c>
      <c r="L45" s="32" t="n">
        <f aca="false">L42+L44</f>
        <v>0</v>
      </c>
      <c r="M45" s="32" t="n">
        <f aca="false">M42+M44</f>
        <v>0</v>
      </c>
    </row>
    <row r="46" customFormat="false" ht="17.15" hidden="false" customHeight="false" outlineLevel="0" collapsed="false">
      <c r="A46" s="5" t="s">
        <v>1596</v>
      </c>
      <c r="C46" s="0" t="s">
        <v>390</v>
      </c>
      <c r="D46" s="32" t="n">
        <f aca="false">D45*fye_meta/12+N(In!H143)</f>
        <v>9.21256348947853</v>
      </c>
      <c r="E46" s="32" t="n">
        <f aca="false">E45*fye_meta/12+D45*(12-fye_meta)/12+N(In!I143)</f>
        <v>13.3420047268386</v>
      </c>
      <c r="F46" s="32" t="n">
        <f aca="false">F45*fye_meta/12+E45*(12-fye_meta)/12+N(In!J143)</f>
        <v>46.6544539294415</v>
      </c>
      <c r="G46" s="32" t="n">
        <f aca="false">G45*fye_meta/12+F45*(12-fye_meta)/12+N(In!K143)</f>
        <v>40.4538832277054</v>
      </c>
      <c r="H46" s="32" t="n">
        <f aca="false">H45*fye_meta/12+G45*(12-fye_meta)/12+N(In!L143)</f>
        <v>26.197800650501</v>
      </c>
      <c r="I46" s="32" t="n">
        <f aca="false">I45*fye_meta/12+H45*(12-fye_meta)/12+N(In!M143)</f>
        <v>110.339679151939</v>
      </c>
      <c r="J46" s="32" t="n">
        <f aca="false">J45*fye_meta/12+I45*(12-fye_meta)/12+N(In!N143)</f>
        <v>14.2704338894025</v>
      </c>
      <c r="K46" s="32" t="n">
        <f aca="false">K45*fye_meta/12+J45*(12-fye_meta)/12+N(In!O143)</f>
        <v>0</v>
      </c>
      <c r="L46" s="32" t="n">
        <f aca="false">L45*fye_meta/12+K45*(12-fye_meta)/12+N(In!P143)</f>
        <v>0</v>
      </c>
      <c r="M46" s="32" t="n">
        <f aca="false">M45*fye_meta/12+L45*(12-fye_meta)/12+N(In!Q143)</f>
        <v>0</v>
      </c>
    </row>
    <row r="47" customFormat="false" ht="17.15" hidden="false" customHeight="false" outlineLevel="0" collapsed="false">
      <c r="A47" s="5" t="s">
        <v>1597</v>
      </c>
      <c r="C47" s="0" t="s">
        <v>390</v>
      </c>
      <c r="D47" s="19" t="str">
        <f aca="false">IF(In!H127="","",In!H127)</f>
        <v/>
      </c>
      <c r="E47" s="19" t="str">
        <f aca="false">IF(In!I127="","",In!I127)</f>
        <v/>
      </c>
      <c r="F47" s="19" t="str">
        <f aca="false">IF(In!J127="","",In!J127)</f>
        <v/>
      </c>
      <c r="G47" s="30" t="n">
        <f aca="false">IF(In!K127="","",In!K127)</f>
        <v>140</v>
      </c>
      <c r="H47" s="19" t="str">
        <f aca="false">IF(In!L127="","",In!L127)</f>
        <v/>
      </c>
      <c r="I47" s="19" t="str">
        <f aca="false">IF(In!M127="","",In!M127)</f>
        <v/>
      </c>
      <c r="J47" s="19" t="str">
        <f aca="false">IF(In!N127="","",In!N127)</f>
        <v/>
      </c>
      <c r="K47" s="19" t="str">
        <f aca="false">IF(In!O127="","",In!O127)</f>
        <v/>
      </c>
      <c r="L47" s="19" t="str">
        <f aca="false">IF(In!P127="","",In!P127)</f>
        <v/>
      </c>
      <c r="M47" s="19" t="str">
        <f aca="false">IF(In!Q127="","",In!Q127)</f>
        <v/>
      </c>
    </row>
    <row r="48" customFormat="false" ht="17.15" hidden="false" customHeight="false" outlineLevel="0" collapsed="false">
      <c r="A48" s="5" t="s">
        <v>1598</v>
      </c>
      <c r="C48" s="0" t="s">
        <v>36</v>
      </c>
      <c r="D48" s="29" t="str">
        <f aca="false">IF(OR(D47="",N(D47)=0),"",D46/D47)</f>
        <v/>
      </c>
      <c r="E48" s="29" t="str">
        <f aca="false">IF(OR(E47="",N(E47)=0),"",E46/E47)</f>
        <v/>
      </c>
      <c r="F48" s="29" t="str">
        <f aca="false">IF(OR(F47="",N(F47)=0),"",F46/F47)</f>
        <v/>
      </c>
      <c r="G48" s="29" t="n">
        <f aca="false">IF(OR(G47="",N(G47)=0),"",G46/G47)</f>
        <v>0.288956308769324</v>
      </c>
      <c r="H48" s="29" t="str">
        <f aca="false">IF(OR(H47="",N(H47)=0),"",H46/H47)</f>
        <v/>
      </c>
      <c r="I48" s="29" t="str">
        <f aca="false">IF(OR(I47="",N(I47)=0),"",I46/I47)</f>
        <v/>
      </c>
      <c r="J48" s="29" t="str">
        <f aca="false">IF(OR(J47="",N(J47)=0),"",J46/J47)</f>
        <v/>
      </c>
      <c r="K48" s="29" t="str">
        <f aca="false">IF(OR(K47="",N(K47)=0),"",K46/K47)</f>
        <v/>
      </c>
      <c r="L48" s="29" t="str">
        <f aca="false">IF(OR(L47="",N(L47)=0),"",L46/L47)</f>
        <v/>
      </c>
      <c r="M48" s="29" t="str">
        <f aca="false">IF(OR(M47="",N(M47)=0),"",M46/M47)</f>
        <v/>
      </c>
    </row>
    <row r="49" customFormat="false" ht="15" hidden="false" customHeight="false" outlineLevel="0" collapsed="false">
      <c r="A49" s="5" t="s">
        <v>1599</v>
      </c>
      <c r="C49" s="0" t="s">
        <v>35</v>
      </c>
      <c r="D49" s="0" t="str">
        <f aca="false">IF(D48="","無個股值",IF(D46=0,"瓦帳無新增",IF(AND(In!$E$127="Verified",FALSE()),IF(ABS(D48-1)&lt;=tolband,"對得上","偏差"),"證據不足（"&amp;IF(ABS(D48-1)&lt;=tolband,"帶內","帶外")&amp;"）")))</f>
        <v>無個股值</v>
      </c>
      <c r="E49" s="0" t="str">
        <f aca="false">IF(E48="","無個股值",IF(E46=0,"瓦帳無新增",IF(AND(In!$E$127="Verified",FALSE()),IF(ABS(E48-1)&lt;=tolband,"對得上","偏差"),"證據不足（"&amp;IF(ABS(E48-1)&lt;=tolband,"帶內","帶外")&amp;"）")))</f>
        <v>無個股值</v>
      </c>
      <c r="F49" s="0" t="str">
        <f aca="false">IF(F48="","無個股值",IF(F46=0,"瓦帳無新增",IF(AND(In!$E$127="Verified",FALSE()),IF(ABS(F48-1)&lt;=tolband,"對得上","偏差"),"證據不足（"&amp;IF(ABS(F48-1)&lt;=tolband,"帶內","帶外")&amp;"）")))</f>
        <v>無個股值</v>
      </c>
      <c r="G49" s="0" t="str">
        <f aca="false">IF(G48="","無個股值",IF(G46=0,"瓦帳無新增",IF(AND(In!$E$127="Verified",FALSE()),IF(ABS(G48-1)&lt;=tolband,"對得上","偏差"),"證據不足（"&amp;IF(ABS(G48-1)&lt;=tolband,"帶內","帶外")&amp;"）")))</f>
        <v>證據不足（帶外）</v>
      </c>
      <c r="H49" s="0" t="str">
        <f aca="false">"同源（不對帳）"</f>
        <v>同源（不對帳）</v>
      </c>
      <c r="I49" s="0" t="str">
        <f aca="false">"同源（不對帳）"</f>
        <v>同源（不對帳）</v>
      </c>
      <c r="J49" s="0" t="str">
        <f aca="false">"同源（不對帳）"</f>
        <v>同源（不對帳）</v>
      </c>
      <c r="K49" s="0" t="str">
        <f aca="false">"同源（不對帳）"</f>
        <v>同源（不對帳）</v>
      </c>
      <c r="L49" s="0" t="str">
        <f aca="false">"同源（不對帳）"</f>
        <v>同源（不對帳）</v>
      </c>
      <c r="M49" s="0" t="str">
        <f aca="false">"同源（不對帳）"</f>
        <v>同源（不對帳）</v>
      </c>
    </row>
    <row r="51" customFormat="false" ht="17.15" hidden="false" customHeight="false" outlineLevel="0" collapsed="false">
      <c r="A51" s="8" t="s">
        <v>1057</v>
      </c>
      <c r="B51" s="20" t="s">
        <v>530</v>
      </c>
      <c r="N51" s="20" t="s">
        <v>1603</v>
      </c>
    </row>
    <row r="52" customFormat="false" ht="17.15" hidden="false" customHeight="false" outlineLevel="0" collapsed="false">
      <c r="A52" s="5" t="s">
        <v>1592</v>
      </c>
      <c r="C52" s="0" t="s">
        <v>390</v>
      </c>
      <c r="D52" s="32" t="n">
        <f aca="false">Players!D112*((1-Players!D114)*D$8+Players!D114*TK_NonNV_Hold_AMD*TK_CapexIT_VR200)</f>
        <v>0</v>
      </c>
      <c r="E52" s="32" t="n">
        <f aca="false">Players!E112*((1-Players!E114)*E$8+Players!E114*TK_NonNV_Hold_AMD*TK_CapexIT_VR200)</f>
        <v>0</v>
      </c>
      <c r="F52" s="32" t="n">
        <f aca="false">Players!F112*((1-Players!F114)*F$8+Players!F114*TK_NonNV_Hold_AMD*TK_CapexIT_VR200)</f>
        <v>22.3890023195964</v>
      </c>
      <c r="G52" s="32" t="n">
        <f aca="false">Players!G112*((1-Players!G114)*G$8+Players!G114*TK_NonNV_Hold_AMD*TK_CapexIT_VR200)</f>
        <v>51.1226394558641</v>
      </c>
      <c r="H52" s="32" t="n">
        <f aca="false">Players!H112*((1-Players!H114)*H$8+Players!H114*TK_NonNV_Hold_AMD*TK_CapexIT_VR200)</f>
        <v>6.09912082071535</v>
      </c>
      <c r="I52" s="32" t="n">
        <f aca="false">Players!I112*((1-Players!I114)*I$8+Players!I114*TK_NonNV_Hold_AMD*TK_CapexIT_VR200)</f>
        <v>216.097221663471</v>
      </c>
      <c r="J52" s="32" t="n">
        <f aca="false">Players!J112*((1-Players!J114)*J$8+Players!J114*TK_NonNV_Hold_AMD*TK_CapexIT_VR200)</f>
        <v>0</v>
      </c>
      <c r="K52" s="32" t="n">
        <f aca="false">Players!K112*((1-Players!K114)*K$8+Players!K114*TK_NonNV_Hold_AMD*TK_CapexIT_VR200)</f>
        <v>0</v>
      </c>
      <c r="L52" s="32" t="n">
        <f aca="false">Players!L112*((1-Players!L114)*L$8+Players!L114*TK_NonNV_Hold_AMD*TK_CapexIT_VR200)</f>
        <v>0</v>
      </c>
      <c r="M52" s="32" t="n">
        <f aca="false">Players!M112*((1-Players!M114)*M$8+Players!M114*TK_NonNV_Hold_AMD*TK_CapexIT_VR200)</f>
        <v>0</v>
      </c>
    </row>
    <row r="53" customFormat="false" ht="15" hidden="false" customHeight="false" outlineLevel="0" collapsed="false">
      <c r="A53" s="5" t="s">
        <v>1593</v>
      </c>
      <c r="C53" s="0" t="s">
        <v>390</v>
      </c>
      <c r="D53" s="32" t="n">
        <f aca="false">Players!D112*((1-Players!D114)*D$9+Players!D114*TK_NonNV_Hold_AMD*TK_CapexFacility_VR200)</f>
        <v>0</v>
      </c>
      <c r="E53" s="32" t="n">
        <f aca="false">Players!E112*((1-Players!E114)*E$9+Players!E114*TK_NonNV_Hold_AMD*TK_CapexFacility_VR200)</f>
        <v>0</v>
      </c>
      <c r="F53" s="32" t="n">
        <f aca="false">Players!F112*((1-Players!F114)*F$9+Players!F114*TK_NonNV_Hold_AMD*TK_CapexFacility_VR200)</f>
        <v>9.97424992126318</v>
      </c>
      <c r="G53" s="32" t="n">
        <f aca="false">Players!G112*((1-Players!G114)*G$9+Players!G114*TK_NonNV_Hold_AMD*TK_CapexFacility_VR200)</f>
        <v>18.8895058589335</v>
      </c>
      <c r="H53" s="32" t="n">
        <f aca="false">Players!H112*((1-Players!H114)*H$9+Players!H114*TK_NonNV_Hold_AMD*TK_CapexFacility_VR200)</f>
        <v>2.02516165181376</v>
      </c>
      <c r="I53" s="32" t="n">
        <f aca="false">Players!I112*((1-Players!I114)*I$9+Players!I114*TK_NonNV_Hold_AMD*TK_CapexFacility_VR200)</f>
        <v>67.7076145487878</v>
      </c>
      <c r="J53" s="32" t="n">
        <f aca="false">Players!J112*((1-Players!J114)*J$9+Players!J114*TK_NonNV_Hold_AMD*TK_CapexFacility_VR200)</f>
        <v>0</v>
      </c>
      <c r="K53" s="32" t="n">
        <f aca="false">Players!K112*((1-Players!K114)*K$9+Players!K114*TK_NonNV_Hold_AMD*TK_CapexFacility_VR200)</f>
        <v>0</v>
      </c>
      <c r="L53" s="32" t="n">
        <f aca="false">Players!L112*((1-Players!L114)*L$9+Players!L114*TK_NonNV_Hold_AMD*TK_CapexFacility_VR200)</f>
        <v>0</v>
      </c>
      <c r="M53" s="32" t="n">
        <f aca="false">Players!M112*((1-Players!M114)*M$9+Players!M114*TK_NonNV_Hold_AMD*TK_CapexFacility_VR200)</f>
        <v>0</v>
      </c>
    </row>
    <row r="54" customFormat="false" ht="17.15" hidden="false" customHeight="false" outlineLevel="0" collapsed="false">
      <c r="A54" s="5" t="s">
        <v>1594</v>
      </c>
      <c r="C54" s="0" t="s">
        <v>390</v>
      </c>
      <c r="D54" s="32" t="n">
        <f aca="false">D53*$D$5+E53*$D$6+F53*$D$7</f>
        <v>4.98712496063159</v>
      </c>
      <c r="E54" s="32" t="n">
        <f aca="false">E53*$D$5+F53*$D$6+G53*$D$7</f>
        <v>14.4318778900984</v>
      </c>
      <c r="F54" s="32" t="n">
        <f aca="false">F53*$D$5+G53*$D$6+H53*$D$7</f>
        <v>10.4573337553737</v>
      </c>
      <c r="G54" s="32" t="n">
        <f aca="false">G53*$D$5+H53*$D$6+I53*$D$7</f>
        <v>34.8663881003008</v>
      </c>
      <c r="H54" s="32" t="n">
        <f aca="false">H53*$D$5+I53*$D$6+J53*$D$7</f>
        <v>33.8538072743939</v>
      </c>
      <c r="I54" s="32" t="n">
        <f aca="false">I53*$D$5+J53*$D$6+K53*$D$7</f>
        <v>0</v>
      </c>
      <c r="J54" s="32" t="n">
        <f aca="false">J53*$D$5+K53*$D$6+L53*$D$7</f>
        <v>0</v>
      </c>
      <c r="K54" s="32" t="n">
        <f aca="false">K53*$D$5+L53*$D$6+M53*$D$7</f>
        <v>0</v>
      </c>
      <c r="L54" s="32" t="n">
        <f aca="false">L53*$D$5+M53*$D$6</f>
        <v>0</v>
      </c>
      <c r="M54" s="32" t="n">
        <f aca="false">M53*$D$5</f>
        <v>0</v>
      </c>
    </row>
    <row r="55" customFormat="false" ht="17.15" hidden="false" customHeight="false" outlineLevel="0" collapsed="false">
      <c r="A55" s="5" t="s">
        <v>1595</v>
      </c>
      <c r="C55" s="0" t="s">
        <v>390</v>
      </c>
      <c r="D55" s="32" t="n">
        <f aca="false">D52+D54</f>
        <v>4.98712496063159</v>
      </c>
      <c r="E55" s="32" t="n">
        <f aca="false">E52+E54</f>
        <v>14.4318778900984</v>
      </c>
      <c r="F55" s="32" t="n">
        <f aca="false">F52+F54</f>
        <v>32.84633607497</v>
      </c>
      <c r="G55" s="32" t="n">
        <f aca="false">G52+G54</f>
        <v>85.9890275561649</v>
      </c>
      <c r="H55" s="32" t="n">
        <f aca="false">H52+H54</f>
        <v>39.9529280951093</v>
      </c>
      <c r="I55" s="32" t="n">
        <f aca="false">I52+I54</f>
        <v>216.097221663471</v>
      </c>
      <c r="J55" s="32" t="n">
        <f aca="false">J52+J54</f>
        <v>0</v>
      </c>
      <c r="K55" s="32" t="n">
        <f aca="false">K52+K54</f>
        <v>0</v>
      </c>
      <c r="L55" s="32" t="n">
        <f aca="false">L52+L54</f>
        <v>0</v>
      </c>
      <c r="M55" s="32" t="n">
        <f aca="false">M52+M54</f>
        <v>0</v>
      </c>
    </row>
    <row r="56" customFormat="false" ht="17.15" hidden="false" customHeight="false" outlineLevel="0" collapsed="false">
      <c r="A56" s="5" t="s">
        <v>1596</v>
      </c>
      <c r="C56" s="0" t="s">
        <v>390</v>
      </c>
      <c r="D56" s="32" t="n">
        <f aca="false">D55*fye_orcl/12+N(In!H144)</f>
        <v>2.0779687335965</v>
      </c>
      <c r="E56" s="32" t="n">
        <f aca="false">E55*fye_orcl/12+D55*(12-fye_orcl)/12+N(In!I144)</f>
        <v>8.92243868124275</v>
      </c>
      <c r="F56" s="32" t="n">
        <f aca="false">F55*fye_orcl/12+E55*(12-fye_orcl)/12+N(In!J144)</f>
        <v>22.1045688004616</v>
      </c>
      <c r="G56" s="32" t="n">
        <f aca="false">G55*fye_orcl/12+F55*(12-fye_orcl)/12+N(In!K144)</f>
        <v>54.9891241921346</v>
      </c>
      <c r="H56" s="32" t="n">
        <f aca="false">H55*fye_orcl/12+G55*(12-fye_orcl)/12+N(In!L144)</f>
        <v>66.8073194473917</v>
      </c>
      <c r="I56" s="32" t="n">
        <f aca="false">I55*fye_orcl/12+H55*(12-fye_orcl)/12+N(In!M144)</f>
        <v>113.346383748594</v>
      </c>
      <c r="J56" s="32" t="n">
        <f aca="false">J55*fye_orcl/12+I55*(12-fye_orcl)/12+N(In!N144)</f>
        <v>126.056712637025</v>
      </c>
      <c r="K56" s="32" t="n">
        <f aca="false">K55*fye_orcl/12+J55*(12-fye_orcl)/12+N(In!O144)</f>
        <v>0</v>
      </c>
      <c r="L56" s="32" t="n">
        <f aca="false">L55*fye_orcl/12+K55*(12-fye_orcl)/12+N(In!P144)</f>
        <v>0</v>
      </c>
      <c r="M56" s="32" t="n">
        <f aca="false">M55*fye_orcl/12+L55*(12-fye_orcl)/12+N(In!Q144)</f>
        <v>0</v>
      </c>
    </row>
    <row r="57" customFormat="false" ht="17.15" hidden="false" customHeight="false" outlineLevel="0" collapsed="false">
      <c r="A57" s="5" t="s">
        <v>1597</v>
      </c>
      <c r="C57" s="0" t="s">
        <v>390</v>
      </c>
      <c r="D57" s="19" t="str">
        <f aca="false">IF(In!H128="","",In!H128)</f>
        <v/>
      </c>
      <c r="E57" s="19" t="str">
        <f aca="false">IF(In!I128="","",In!I128)</f>
        <v/>
      </c>
      <c r="F57" s="30" t="n">
        <f aca="false">IF(In!J128="","",In!J128)</f>
        <v>21.215</v>
      </c>
      <c r="G57" s="30" t="n">
        <f aca="false">IF(In!K128="","",In!K128)</f>
        <v>55.663</v>
      </c>
      <c r="H57" s="30" t="n">
        <f aca="false">IF(In!L128="","",In!L128)</f>
        <v>92.5</v>
      </c>
      <c r="I57" s="30" t="n">
        <f aca="false">IF(In!M128="","",In!M128)</f>
        <v>100.962</v>
      </c>
      <c r="J57" s="30" t="n">
        <f aca="false">IF(In!N128="","",In!N128)</f>
        <v>84.848</v>
      </c>
      <c r="K57" s="19" t="str">
        <f aca="false">IF(In!O128="","",In!O128)</f>
        <v/>
      </c>
      <c r="L57" s="19" t="str">
        <f aca="false">IF(In!P128="","",In!P128)</f>
        <v/>
      </c>
      <c r="M57" s="19" t="str">
        <f aca="false">IF(In!Q128="","",In!Q128)</f>
        <v/>
      </c>
    </row>
    <row r="58" customFormat="false" ht="17.15" hidden="false" customHeight="false" outlineLevel="0" collapsed="false">
      <c r="A58" s="5" t="s">
        <v>1598</v>
      </c>
      <c r="C58" s="0" t="s">
        <v>36</v>
      </c>
      <c r="D58" s="29" t="str">
        <f aca="false">IF(OR(D57="",N(D57)=0),"",D56/D57)</f>
        <v/>
      </c>
      <c r="E58" s="29" t="str">
        <f aca="false">IF(OR(E57="",N(E57)=0),"",E56/E57)</f>
        <v/>
      </c>
      <c r="F58" s="29" t="n">
        <f aca="false">IF(OR(F57="",N(F57)=0),"",F56/F57)</f>
        <v>1.04193112422633</v>
      </c>
      <c r="G58" s="29" t="n">
        <f aca="false">IF(OR(G57="",N(G57)=0),"",G56/G57)</f>
        <v>0.987893649140984</v>
      </c>
      <c r="H58" s="29" t="n">
        <f aca="false">IF(OR(H57="",N(H57)=0),"",H56/H57)</f>
        <v>0.722241291323154</v>
      </c>
      <c r="I58" s="29" t="n">
        <f aca="false">IF(OR(I57="",N(I57)=0),"",I56/I57)</f>
        <v>1.12266381161817</v>
      </c>
      <c r="J58" s="29" t="n">
        <f aca="false">IF(OR(J57="",N(J57)=0),"",J56/J57)</f>
        <v>1.48567688851859</v>
      </c>
      <c r="K58" s="29" t="str">
        <f aca="false">IF(OR(K57="",N(K57)=0),"",K56/K57)</f>
        <v/>
      </c>
      <c r="L58" s="29" t="str">
        <f aca="false">IF(OR(L57="",N(L57)=0),"",L56/L57)</f>
        <v/>
      </c>
      <c r="M58" s="29" t="str">
        <f aca="false">IF(OR(M57="",N(M57)=0),"",M56/M57)</f>
        <v/>
      </c>
    </row>
    <row r="59" customFormat="false" ht="15" hidden="false" customHeight="false" outlineLevel="0" collapsed="false">
      <c r="A59" s="5" t="s">
        <v>1599</v>
      </c>
      <c r="C59" s="0" t="s">
        <v>35</v>
      </c>
      <c r="D59" s="0" t="str">
        <f aca="false">IF(D58="","無個股值",IF(D56=0,"瓦帳無新增",IF(AND(In!$E$128="Verified",FALSE()),IF(ABS(D58-1)&lt;=tolband,"對得上","偏差"),"證據不足（"&amp;IF(ABS(D58-1)&lt;=tolband,"帶內","帶外")&amp;"）")))</f>
        <v>無個股值</v>
      </c>
      <c r="E59" s="0" t="str">
        <f aca="false">IF(E58="","無個股值",IF(E56=0,"瓦帳無新增",IF(AND(In!$E$128="Verified",FALSE()),IF(ABS(E58-1)&lt;=tolband,"對得上","偏差"),"證據不足（"&amp;IF(ABS(E58-1)&lt;=tolband,"帶內","帶外")&amp;"）")))</f>
        <v>無個股值</v>
      </c>
      <c r="F59" s="0" t="str">
        <f aca="false">IF(F58="","無個股值",IF(F56=0,"瓦帳無新增",IF(AND(In!$E$128="Verified",FALSE()),IF(ABS(F58-1)&lt;=tolband,"對得上","偏差"),"證據不足（"&amp;IF(ABS(F58-1)&lt;=tolband,"帶內","帶外")&amp;"）")))</f>
        <v>證據不足（帶內）</v>
      </c>
      <c r="G59" s="0" t="str">
        <f aca="false">IF(G58="","無個股值",IF(G56=0,"瓦帳無新增",IF(AND(In!$E$128="Verified",FALSE()),IF(ABS(G58-1)&lt;=tolband,"對得上","偏差"),"證據不足（"&amp;IF(ABS(G58-1)&lt;=tolband,"帶內","帶外")&amp;"）")))</f>
        <v>證據不足（帶內）</v>
      </c>
      <c r="H59" s="0" t="str">
        <f aca="false">"同源（不對帳）"</f>
        <v>同源（不對帳）</v>
      </c>
      <c r="I59" s="0" t="str">
        <f aca="false">"同源（不對帳）"</f>
        <v>同源（不對帳）</v>
      </c>
      <c r="J59" s="0" t="str">
        <f aca="false">"同源（不對帳）"</f>
        <v>同源（不對帳）</v>
      </c>
      <c r="K59" s="0" t="str">
        <f aca="false">"同源（不對帳）"</f>
        <v>同源（不對帳）</v>
      </c>
      <c r="L59" s="0" t="str">
        <f aca="false">"同源（不對帳）"</f>
        <v>同源（不對帳）</v>
      </c>
      <c r="M59" s="0" t="str">
        <f aca="false">"同源（不對帳）"</f>
        <v>同源（不對帳）</v>
      </c>
    </row>
    <row r="61" customFormat="false" ht="17.15" hidden="false" customHeight="false" outlineLevel="0" collapsed="false">
      <c r="A61" s="8" t="s">
        <v>1076</v>
      </c>
      <c r="B61" s="20" t="s">
        <v>620</v>
      </c>
      <c r="N61" s="5" t="s">
        <v>1604</v>
      </c>
    </row>
    <row r="62" customFormat="false" ht="17.15" hidden="false" customHeight="false" outlineLevel="0" collapsed="false">
      <c r="A62" s="5" t="s">
        <v>1592</v>
      </c>
      <c r="C62" s="0" t="s">
        <v>390</v>
      </c>
      <c r="D62" s="32" t="n">
        <f aca="false">Players!D131*((1-Players!D133)*D$8+Players!D133*TK_NonNV_Hold_AMD*TK_CapexIT_VR200)</f>
        <v>0</v>
      </c>
      <c r="E62" s="32" t="n">
        <f aca="false">Players!E131*((1-Players!E133)*E$8+Players!E133*TK_NonNV_Hold_AMD*TK_CapexIT_VR200)</f>
        <v>7.97796206</v>
      </c>
      <c r="F62" s="32" t="n">
        <f aca="false">Players!F131*((1-Players!F133)*F$8+Players!F133*TK_NonNV_Hold_AMD*TK_CapexIT_VR200)</f>
        <v>12.74445312</v>
      </c>
      <c r="G62" s="32" t="n">
        <f aca="false">Players!G131*((1-Players!G133)*G$8+Players!G133*TK_NonNV_Hold_AMD*TK_CapexIT_VR200)</f>
        <v>33.41403216</v>
      </c>
      <c r="H62" s="32" t="n">
        <f aca="false">Players!H131*((1-Players!H133)*H$8+Players!H133*TK_NonNV_Hold_AMD*TK_CapexIT_VR200)</f>
        <v>58.9483485990641</v>
      </c>
      <c r="I62" s="32" t="n">
        <f aca="false">Players!I131*((1-Players!I133)*I$8+Players!I133*TK_NonNV_Hold_AMD*TK_CapexIT_VR200)</f>
        <v>63.5489046181072</v>
      </c>
      <c r="J62" s="32" t="n">
        <f aca="false">Players!J131*((1-Players!J133)*J$8+Players!J133*TK_NonNV_Hold_AMD*TK_CapexIT_VR200)</f>
        <v>63.5489046181072</v>
      </c>
      <c r="K62" s="32" t="n">
        <f aca="false">Players!K131*((1-Players!K133)*K$8+Players!K133*TK_NonNV_Hold_AMD*TK_CapexIT_VR200)</f>
        <v>63.5489046181072</v>
      </c>
      <c r="L62" s="32" t="n">
        <f aca="false">Players!L131*((1-Players!L133)*L$8+Players!L133*TK_NonNV_Hold_AMD*TK_CapexIT_VR200)</f>
        <v>0</v>
      </c>
      <c r="M62" s="32" t="n">
        <f aca="false">Players!M131*((1-Players!M133)*M$8+Players!M133*TK_NonNV_Hold_AMD*TK_CapexIT_VR200)</f>
        <v>0</v>
      </c>
    </row>
    <row r="63" customFormat="false" ht="15" hidden="false" customHeight="false" outlineLevel="0" collapsed="false">
      <c r="A63" s="5" t="s">
        <v>1593</v>
      </c>
      <c r="C63" s="0" t="s">
        <v>390</v>
      </c>
      <c r="D63" s="32" t="n">
        <f aca="false">Players!D131*((1-Players!D133)*D$9+Players!D133*TK_NonNV_Hold_AMD*TK_CapexFacility_VR200)</f>
        <v>0</v>
      </c>
      <c r="E63" s="32" t="n">
        <f aca="false">Players!E131*((1-Players!E133)*E$9+Players!E133*TK_NonNV_Hold_AMD*TK_CapexFacility_VR200)</f>
        <v>3.6743</v>
      </c>
      <c r="F63" s="32" t="n">
        <f aca="false">Players!F131*((1-Players!F133)*F$9+Players!F133*TK_NonNV_Hold_AMD*TK_CapexFacility_VR200)</f>
        <v>6.2083</v>
      </c>
      <c r="G63" s="32" t="n">
        <f aca="false">Players!G131*((1-Players!G133)*G$9+Players!G133*TK_NonNV_Hold_AMD*TK_CapexFacility_VR200)</f>
        <v>12.67</v>
      </c>
      <c r="H63" s="32" t="n">
        <f aca="false">Players!H131*((1-Players!H133)*H$9+Players!H133*TK_NonNV_Hold_AMD*TK_CapexFacility_VR200)</f>
        <v>19.480125</v>
      </c>
      <c r="I63" s="32" t="n">
        <f aca="false">Players!I131*((1-Players!I133)*I$9+Players!I133*TK_NonNV_Hold_AMD*TK_CapexFacility_VR200)</f>
        <v>19.480125</v>
      </c>
      <c r="J63" s="32" t="n">
        <f aca="false">Players!J131*((1-Players!J133)*J$9+Players!J133*TK_NonNV_Hold_AMD*TK_CapexFacility_VR200)</f>
        <v>19.480125</v>
      </c>
      <c r="K63" s="32" t="n">
        <f aca="false">Players!K131*((1-Players!K133)*K$9+Players!K133*TK_NonNV_Hold_AMD*TK_CapexFacility_VR200)</f>
        <v>19.480125</v>
      </c>
      <c r="L63" s="32" t="n">
        <f aca="false">Players!L131*((1-Players!L133)*L$9+Players!L133*TK_NonNV_Hold_AMD*TK_CapexFacility_VR200)</f>
        <v>0</v>
      </c>
      <c r="M63" s="32" t="n">
        <f aca="false">Players!M131*((1-Players!M133)*M$9+Players!M133*TK_NonNV_Hold_AMD*TK_CapexFacility_VR200)</f>
        <v>0</v>
      </c>
    </row>
    <row r="64" customFormat="false" ht="17.15" hidden="false" customHeight="false" outlineLevel="0" collapsed="false">
      <c r="A64" s="5" t="s">
        <v>1594</v>
      </c>
      <c r="C64" s="0" t="s">
        <v>390</v>
      </c>
      <c r="D64" s="32" t="n">
        <f aca="false">D63*$D$5+E63*$D$6+F63*$D$7</f>
        <v>4.9413</v>
      </c>
      <c r="E64" s="32" t="n">
        <f aca="false">E63*$D$5+F63*$D$6+G63*$D$7</f>
        <v>9.43915</v>
      </c>
      <c r="F64" s="32" t="n">
        <f aca="false">F63*$D$5+G63*$D$6+H63*$D$7</f>
        <v>16.0750625</v>
      </c>
      <c r="G64" s="32" t="n">
        <f aca="false">G63*$D$5+H63*$D$6+I63*$D$7</f>
        <v>19.480125</v>
      </c>
      <c r="H64" s="32" t="n">
        <f aca="false">H63*$D$5+I63*$D$6+J63*$D$7</f>
        <v>19.480125</v>
      </c>
      <c r="I64" s="32" t="n">
        <f aca="false">I63*$D$5+J63*$D$6+K63*$D$7</f>
        <v>19.480125</v>
      </c>
      <c r="J64" s="32" t="n">
        <f aca="false">J63*$D$5+K63*$D$6+L63*$D$7</f>
        <v>9.7400625</v>
      </c>
      <c r="K64" s="32" t="n">
        <f aca="false">K63*$D$5+L63*$D$6+M63*$D$7</f>
        <v>0</v>
      </c>
      <c r="L64" s="32" t="n">
        <f aca="false">L63*$D$5+M63*$D$6</f>
        <v>0</v>
      </c>
      <c r="M64" s="32" t="n">
        <f aca="false">M63*$D$5</f>
        <v>0</v>
      </c>
    </row>
    <row r="65" customFormat="false" ht="17.15" hidden="false" customHeight="false" outlineLevel="0" collapsed="false">
      <c r="A65" s="5" t="s">
        <v>1595</v>
      </c>
      <c r="C65" s="0" t="s">
        <v>390</v>
      </c>
      <c r="D65" s="32" t="n">
        <f aca="false">D62+D64</f>
        <v>4.9413</v>
      </c>
      <c r="E65" s="32" t="n">
        <f aca="false">E62+E64</f>
        <v>17.41711206</v>
      </c>
      <c r="F65" s="32" t="n">
        <f aca="false">F62+F64</f>
        <v>28.81951562</v>
      </c>
      <c r="G65" s="32" t="n">
        <f aca="false">G62+G64</f>
        <v>52.89415716</v>
      </c>
      <c r="H65" s="32" t="n">
        <f aca="false">H62+H64</f>
        <v>78.4284735990641</v>
      </c>
      <c r="I65" s="32" t="n">
        <f aca="false">I62+I64</f>
        <v>83.0290296181072</v>
      </c>
      <c r="J65" s="32" t="n">
        <f aca="false">J62+J64</f>
        <v>73.2889671181072</v>
      </c>
      <c r="K65" s="32" t="n">
        <f aca="false">K62+K64</f>
        <v>63.5489046181072</v>
      </c>
      <c r="L65" s="32" t="n">
        <f aca="false">L62+L64</f>
        <v>0</v>
      </c>
      <c r="M65" s="32" t="n">
        <f aca="false">M62+M64</f>
        <v>0</v>
      </c>
    </row>
    <row r="66" customFormat="false" ht="17.15" hidden="false" customHeight="false" outlineLevel="0" collapsed="false">
      <c r="A66" s="5" t="s">
        <v>1596</v>
      </c>
      <c r="C66" s="0" t="s">
        <v>390</v>
      </c>
      <c r="D66" s="32" t="n">
        <f aca="false">D65*fye_crwv/12+N(In!H145)</f>
        <v>4.9413</v>
      </c>
      <c r="E66" s="32" t="n">
        <f aca="false">E65*fye_crwv/12+D65*(12-fye_crwv)/12+N(In!I145)</f>
        <v>17.41711206</v>
      </c>
      <c r="F66" s="32" t="n">
        <f aca="false">F65*fye_crwv/12+E65*(12-fye_crwv)/12+N(In!J145)</f>
        <v>28.81951562</v>
      </c>
      <c r="G66" s="32" t="n">
        <f aca="false">G65*fye_crwv/12+F65*(12-fye_crwv)/12+N(In!K145)</f>
        <v>52.89415716</v>
      </c>
      <c r="H66" s="32" t="n">
        <f aca="false">H65*fye_crwv/12+G65*(12-fye_crwv)/12+N(In!L145)</f>
        <v>78.4284735990641</v>
      </c>
      <c r="I66" s="32" t="n">
        <f aca="false">I65*fye_crwv/12+H65*(12-fye_crwv)/12+N(In!M145)</f>
        <v>83.0290296181072</v>
      </c>
      <c r="J66" s="32" t="n">
        <f aca="false">J65*fye_crwv/12+I65*(12-fye_crwv)/12+N(In!N145)</f>
        <v>73.2889671181072</v>
      </c>
      <c r="K66" s="32" t="n">
        <f aca="false">K65*fye_crwv/12+J65*(12-fye_crwv)/12+N(In!O145)</f>
        <v>63.5489046181072</v>
      </c>
      <c r="L66" s="32" t="n">
        <f aca="false">L65*fye_crwv/12+K65*(12-fye_crwv)/12+N(In!P145)</f>
        <v>0</v>
      </c>
      <c r="M66" s="32" t="n">
        <f aca="false">M65*fye_crwv/12+L65*(12-fye_crwv)/12+N(In!Q145)</f>
        <v>0</v>
      </c>
    </row>
    <row r="67" customFormat="false" ht="17.15" hidden="false" customHeight="false" outlineLevel="0" collapsed="false">
      <c r="A67" s="5" t="s">
        <v>1597</v>
      </c>
      <c r="C67" s="0" t="s">
        <v>390</v>
      </c>
      <c r="D67" s="19" t="str">
        <f aca="false">IF(In!H129="","",In!H129)</f>
        <v/>
      </c>
      <c r="E67" s="19" t="str">
        <f aca="false">IF(In!I129="","",In!I129)</f>
        <v/>
      </c>
      <c r="F67" s="19" t="str">
        <f aca="false">IF(In!J129="","",In!J129)</f>
        <v/>
      </c>
      <c r="G67" s="30" t="n">
        <f aca="false">IF(In!K129="","",In!K129)</f>
        <v>37</v>
      </c>
      <c r="H67" s="30" t="n">
        <f aca="false">IF(In!L129="","",In!L129)</f>
        <v>46.476</v>
      </c>
      <c r="I67" s="30" t="n">
        <f aca="false">IF(In!M129="","",In!M129)</f>
        <v>50.129</v>
      </c>
      <c r="J67" s="19" t="str">
        <f aca="false">IF(In!N129="","",In!N129)</f>
        <v/>
      </c>
      <c r="K67" s="19" t="str">
        <f aca="false">IF(In!O129="","",In!O129)</f>
        <v/>
      </c>
      <c r="L67" s="19" t="str">
        <f aca="false">IF(In!P129="","",In!P129)</f>
        <v/>
      </c>
      <c r="M67" s="19" t="str">
        <f aca="false">IF(In!Q129="","",In!Q129)</f>
        <v/>
      </c>
    </row>
    <row r="68" customFormat="false" ht="17.15" hidden="false" customHeight="false" outlineLevel="0" collapsed="false">
      <c r="A68" s="5" t="s">
        <v>1598</v>
      </c>
      <c r="C68" s="0" t="s">
        <v>36</v>
      </c>
      <c r="D68" s="29" t="str">
        <f aca="false">IF(OR(D67="",N(D67)=0),"",D66/D67)</f>
        <v/>
      </c>
      <c r="E68" s="29" t="str">
        <f aca="false">IF(OR(E67="",N(E67)=0),"",E66/E67)</f>
        <v/>
      </c>
      <c r="F68" s="29" t="str">
        <f aca="false">IF(OR(F67="",N(F67)=0),"",F66/F67)</f>
        <v/>
      </c>
      <c r="G68" s="29" t="n">
        <f aca="false">IF(OR(G67="",N(G67)=0),"",G66/G67)</f>
        <v>1.42957181513514</v>
      </c>
      <c r="H68" s="29" t="n">
        <f aca="false">IF(OR(H67="",N(H67)=0),"",H66/H67)</f>
        <v>1.68750481106515</v>
      </c>
      <c r="I68" s="29" t="n">
        <f aca="false">IF(OR(I67="",N(I67)=0),"",I66/I67)</f>
        <v>1.65630731947789</v>
      </c>
      <c r="J68" s="29" t="str">
        <f aca="false">IF(OR(J67="",N(J67)=0),"",J66/J67)</f>
        <v/>
      </c>
      <c r="K68" s="29" t="str">
        <f aca="false">IF(OR(K67="",N(K67)=0),"",K66/K67)</f>
        <v/>
      </c>
      <c r="L68" s="29" t="str">
        <f aca="false">IF(OR(L67="",N(L67)=0),"",L66/L67)</f>
        <v/>
      </c>
      <c r="M68" s="29" t="str">
        <f aca="false">IF(OR(M67="",N(M67)=0),"",M66/M67)</f>
        <v/>
      </c>
    </row>
    <row r="69" customFormat="false" ht="15" hidden="false" customHeight="false" outlineLevel="0" collapsed="false">
      <c r="A69" s="5" t="s">
        <v>1599</v>
      </c>
      <c r="C69" s="0" t="s">
        <v>35</v>
      </c>
      <c r="D69" s="0" t="str">
        <f aca="false">IF(D68="","無個股值",IF(D66=0,"瓦帳無新增",IF(AND(In!$E$129="Verified",FALSE()),IF(ABS(D68-1)&lt;=tolband,"對得上","偏差"),"證據不足（"&amp;IF(ABS(D68-1)&lt;=tolband,"帶內","帶外")&amp;"）")))</f>
        <v>無個股值</v>
      </c>
      <c r="E69" s="0" t="str">
        <f aca="false">IF(E68="","無個股值",IF(E66=0,"瓦帳無新增",IF(AND(In!$E$129="Verified",FALSE()),IF(ABS(E68-1)&lt;=tolband,"對得上","偏差"),"證據不足（"&amp;IF(ABS(E68-1)&lt;=tolband,"帶內","帶外")&amp;"）")))</f>
        <v>無個股值</v>
      </c>
      <c r="F69" s="0" t="str">
        <f aca="false">IF(F68="","無個股值",IF(F66=0,"瓦帳無新增",IF(AND(In!$E$129="Verified",FALSE()),IF(ABS(F68-1)&lt;=tolband,"對得上","偏差"),"證據不足（"&amp;IF(ABS(F68-1)&lt;=tolband,"帶內","帶外")&amp;"）")))</f>
        <v>無個股值</v>
      </c>
      <c r="G69" s="0" t="str">
        <f aca="false">IF(G68="","無個股值",IF(G66=0,"瓦帳無新增",IF(AND(In!$E$129="Verified",FALSE()),IF(ABS(G68-1)&lt;=tolband,"對得上","偏差"),"證據不足（"&amp;IF(ABS(G68-1)&lt;=tolband,"帶內","帶外")&amp;"）")))</f>
        <v>證據不足（帶外）</v>
      </c>
      <c r="H69" s="0" t="str">
        <f aca="false">"同源（不對帳）"</f>
        <v>同源（不對帳）</v>
      </c>
      <c r="I69" s="0" t="str">
        <f aca="false">"同源（不對帳）"</f>
        <v>同源（不對帳）</v>
      </c>
      <c r="J69" s="0" t="str">
        <f aca="false">"同源（不對帳）"</f>
        <v>同源（不對帳）</v>
      </c>
      <c r="K69" s="0" t="str">
        <f aca="false">"同源（不對帳）"</f>
        <v>同源（不對帳）</v>
      </c>
      <c r="L69" s="0" t="str">
        <f aca="false">"同源（不對帳）"</f>
        <v>同源（不對帳）</v>
      </c>
      <c r="M69" s="0" t="str">
        <f aca="false">"同源（不對帳）"</f>
        <v>同源（不對帳）</v>
      </c>
    </row>
    <row r="71" customFormat="false" ht="17.15" hidden="false" customHeight="false" outlineLevel="0" collapsed="false">
      <c r="A71" s="8" t="s">
        <v>1095</v>
      </c>
      <c r="B71" s="20" t="s">
        <v>651</v>
      </c>
      <c r="N71" s="5" t="s">
        <v>1605</v>
      </c>
    </row>
    <row r="72" customFormat="false" ht="17.15" hidden="false" customHeight="false" outlineLevel="0" collapsed="false">
      <c r="A72" s="5" t="s">
        <v>1592</v>
      </c>
      <c r="C72" s="0" t="s">
        <v>390</v>
      </c>
      <c r="D72" s="32" t="n">
        <f aca="false">Players!D150*((1-Players!D152)*D$8+Players!D152*TK_NonNV_Hold_AMD*TK_CapexIT_VR200)</f>
        <v>0</v>
      </c>
      <c r="E72" s="32" t="n">
        <f aca="false">Players!E150*((1-Players!E152)*E$8+Players!E152*TK_NonNV_Hold_AMD*TK_CapexIT_VR200)</f>
        <v>0</v>
      </c>
      <c r="F72" s="32" t="n">
        <f aca="false">Players!F150*((1-Players!F152)*F$8+Players!F152*TK_NonNV_Hold_AMD*TK_CapexIT_VR200)</f>
        <v>0</v>
      </c>
      <c r="G72" s="32" t="n">
        <f aca="false">Players!G150*((1-Players!G152)*G$8+Players!G152*TK_NonNV_Hold_AMD*TK_CapexIT_VR200)</f>
        <v>24.3922434768</v>
      </c>
      <c r="H72" s="32" t="n">
        <f aca="false">Players!H150*((1-Players!H152)*H$8+Players!H152*TK_NonNV_Hold_AMD*TK_CapexIT_VR200)</f>
        <v>0</v>
      </c>
      <c r="I72" s="32" t="n">
        <f aca="false">Players!I150*((1-Players!I152)*I$8+Players!I152*TK_NonNV_Hold_AMD*TK_CapexIT_VR200)</f>
        <v>0</v>
      </c>
      <c r="J72" s="32" t="n">
        <f aca="false">Players!J150*((1-Players!J152)*J$8+Players!J152*TK_NonNV_Hold_AMD*TK_CapexIT_VR200)</f>
        <v>0</v>
      </c>
      <c r="K72" s="32" t="n">
        <f aca="false">Players!K150*((1-Players!K152)*K$8+Players!K152*TK_NonNV_Hold_AMD*TK_CapexIT_VR200)</f>
        <v>0</v>
      </c>
      <c r="L72" s="32" t="n">
        <f aca="false">Players!L150*((1-Players!L152)*L$8+Players!L152*TK_NonNV_Hold_AMD*TK_CapexIT_VR200)</f>
        <v>0</v>
      </c>
      <c r="M72" s="32" t="n">
        <f aca="false">Players!M150*((1-Players!M152)*M$8+Players!M152*TK_NonNV_Hold_AMD*TK_CapexIT_VR200)</f>
        <v>0</v>
      </c>
    </row>
    <row r="73" customFormat="false" ht="15" hidden="false" customHeight="false" outlineLevel="0" collapsed="false">
      <c r="A73" s="5" t="s">
        <v>1593</v>
      </c>
      <c r="C73" s="0" t="s">
        <v>390</v>
      </c>
      <c r="D73" s="32" t="n">
        <f aca="false">Players!D150*((1-Players!D152)*D$9+Players!D152*TK_NonNV_Hold_AMD*TK_CapexFacility_VR200)</f>
        <v>0</v>
      </c>
      <c r="E73" s="32" t="n">
        <f aca="false">Players!E150*((1-Players!E152)*E$9+Players!E152*TK_NonNV_Hold_AMD*TK_CapexFacility_VR200)</f>
        <v>0</v>
      </c>
      <c r="F73" s="32" t="n">
        <f aca="false">Players!F150*((1-Players!F152)*F$9+Players!F152*TK_NonNV_Hold_AMD*TK_CapexFacility_VR200)</f>
        <v>0</v>
      </c>
      <c r="G73" s="32" t="n">
        <f aca="false">Players!G150*((1-Players!G152)*G$9+Players!G152*TK_NonNV_Hold_AMD*TK_CapexFacility_VR200)</f>
        <v>9.2491</v>
      </c>
      <c r="H73" s="32" t="n">
        <f aca="false">Players!H150*((1-Players!H152)*H$9+Players!H152*TK_NonNV_Hold_AMD*TK_CapexFacility_VR200)</f>
        <v>0</v>
      </c>
      <c r="I73" s="32" t="n">
        <f aca="false">Players!I150*((1-Players!I152)*I$9+Players!I152*TK_NonNV_Hold_AMD*TK_CapexFacility_VR200)</f>
        <v>0</v>
      </c>
      <c r="J73" s="32" t="n">
        <f aca="false">Players!J150*((1-Players!J152)*J$9+Players!J152*TK_NonNV_Hold_AMD*TK_CapexFacility_VR200)</f>
        <v>0</v>
      </c>
      <c r="K73" s="32" t="n">
        <f aca="false">Players!K150*((1-Players!K152)*K$9+Players!K152*TK_NonNV_Hold_AMD*TK_CapexFacility_VR200)</f>
        <v>0</v>
      </c>
      <c r="L73" s="32" t="n">
        <f aca="false">Players!L150*((1-Players!L152)*L$9+Players!L152*TK_NonNV_Hold_AMD*TK_CapexFacility_VR200)</f>
        <v>0</v>
      </c>
      <c r="M73" s="32" t="n">
        <f aca="false">Players!M150*((1-Players!M152)*M$9+Players!M152*TK_NonNV_Hold_AMD*TK_CapexFacility_VR200)</f>
        <v>0</v>
      </c>
    </row>
    <row r="74" customFormat="false" ht="17.15" hidden="false" customHeight="false" outlineLevel="0" collapsed="false">
      <c r="A74" s="5" t="s">
        <v>1594</v>
      </c>
      <c r="C74" s="0" t="s">
        <v>390</v>
      </c>
      <c r="D74" s="32" t="n">
        <f aca="false">D73*$D$5+E73*$D$6+F73*$D$7</f>
        <v>0</v>
      </c>
      <c r="E74" s="32" t="n">
        <f aca="false">E73*$D$5+F73*$D$6+G73*$D$7</f>
        <v>4.62455</v>
      </c>
      <c r="F74" s="32" t="n">
        <f aca="false">F73*$D$5+G73*$D$6+H73*$D$7</f>
        <v>4.62455</v>
      </c>
      <c r="G74" s="32" t="n">
        <f aca="false">G73*$D$5+H73*$D$6+I73*$D$7</f>
        <v>0</v>
      </c>
      <c r="H74" s="32" t="n">
        <f aca="false">H73*$D$5+I73*$D$6+J73*$D$7</f>
        <v>0</v>
      </c>
      <c r="I74" s="32" t="n">
        <f aca="false">I73*$D$5+J73*$D$6+K73*$D$7</f>
        <v>0</v>
      </c>
      <c r="J74" s="32" t="n">
        <f aca="false">J73*$D$5+K73*$D$6+L73*$D$7</f>
        <v>0</v>
      </c>
      <c r="K74" s="32" t="n">
        <f aca="false">K73*$D$5+L73*$D$6+M73*$D$7</f>
        <v>0</v>
      </c>
      <c r="L74" s="32" t="n">
        <f aca="false">L73*$D$5+M73*$D$6</f>
        <v>0</v>
      </c>
      <c r="M74" s="32" t="n">
        <f aca="false">M73*$D$5</f>
        <v>0</v>
      </c>
    </row>
    <row r="75" customFormat="false" ht="17.15" hidden="false" customHeight="false" outlineLevel="0" collapsed="false">
      <c r="A75" s="5" t="s">
        <v>1595</v>
      </c>
      <c r="C75" s="0" t="s">
        <v>390</v>
      </c>
      <c r="D75" s="32" t="n">
        <f aca="false">D72+D74</f>
        <v>0</v>
      </c>
      <c r="E75" s="32" t="n">
        <f aca="false">E72+E74</f>
        <v>4.62455</v>
      </c>
      <c r="F75" s="32" t="n">
        <f aca="false">F72+F74</f>
        <v>4.62455</v>
      </c>
      <c r="G75" s="32" t="n">
        <f aca="false">G72+G74</f>
        <v>24.3922434768</v>
      </c>
      <c r="H75" s="32" t="n">
        <f aca="false">H72+H74</f>
        <v>0</v>
      </c>
      <c r="I75" s="32" t="n">
        <f aca="false">I72+I74</f>
        <v>0</v>
      </c>
      <c r="J75" s="32" t="n">
        <f aca="false">J72+J74</f>
        <v>0</v>
      </c>
      <c r="K75" s="32" t="n">
        <f aca="false">K72+K74</f>
        <v>0</v>
      </c>
      <c r="L75" s="32" t="n">
        <f aca="false">L72+L74</f>
        <v>0</v>
      </c>
      <c r="M75" s="32" t="n">
        <f aca="false">M72+M74</f>
        <v>0</v>
      </c>
    </row>
    <row r="76" customFormat="false" ht="17.15" hidden="false" customHeight="false" outlineLevel="0" collapsed="false">
      <c r="A76" s="5" t="s">
        <v>1596</v>
      </c>
      <c r="C76" s="0" t="s">
        <v>390</v>
      </c>
      <c r="D76" s="32" t="n">
        <f aca="false">D75*fye_nbis/12+N(In!H146)</f>
        <v>0</v>
      </c>
      <c r="E76" s="32" t="n">
        <f aca="false">E75*fye_nbis/12+D75*(12-fye_nbis)/12+N(In!I146)</f>
        <v>4.62455</v>
      </c>
      <c r="F76" s="32" t="n">
        <f aca="false">F75*fye_nbis/12+E75*(12-fye_nbis)/12+N(In!J146)</f>
        <v>4.62455</v>
      </c>
      <c r="G76" s="32" t="n">
        <f aca="false">G75*fye_nbis/12+F75*(12-fye_nbis)/12+N(In!K146)</f>
        <v>24.3922434768</v>
      </c>
      <c r="H76" s="32" t="n">
        <f aca="false">H75*fye_nbis/12+G75*(12-fye_nbis)/12+N(In!L146)</f>
        <v>0</v>
      </c>
      <c r="I76" s="32" t="n">
        <f aca="false">I75*fye_nbis/12+H75*(12-fye_nbis)/12+N(In!M146)</f>
        <v>0</v>
      </c>
      <c r="J76" s="32" t="n">
        <f aca="false">J75*fye_nbis/12+I75*(12-fye_nbis)/12+N(In!N146)</f>
        <v>0</v>
      </c>
      <c r="K76" s="32" t="n">
        <f aca="false">K75*fye_nbis/12+J75*(12-fye_nbis)/12+N(In!O146)</f>
        <v>0</v>
      </c>
      <c r="L76" s="32" t="n">
        <f aca="false">L75*fye_nbis/12+K75*(12-fye_nbis)/12+N(In!P146)</f>
        <v>0</v>
      </c>
      <c r="M76" s="32" t="n">
        <f aca="false">M75*fye_nbis/12+L75*(12-fye_nbis)/12+N(In!Q146)</f>
        <v>0</v>
      </c>
    </row>
    <row r="77" customFormat="false" ht="17.15" hidden="false" customHeight="false" outlineLevel="0" collapsed="false">
      <c r="A77" s="5" t="s">
        <v>1597</v>
      </c>
      <c r="C77" s="0" t="s">
        <v>390</v>
      </c>
      <c r="D77" s="19" t="str">
        <f aca="false">IF(In!H130="","",In!H130)</f>
        <v/>
      </c>
      <c r="E77" s="19" t="str">
        <f aca="false">IF(In!I130="","",In!I130)</f>
        <v/>
      </c>
      <c r="F77" s="30" t="n">
        <f aca="false">IF(In!J130="","",In!J130)</f>
        <v>4.066</v>
      </c>
      <c r="G77" s="30" t="n">
        <f aca="false">IF(In!K130="","",In!K130)</f>
        <v>22.5</v>
      </c>
      <c r="H77" s="30" t="n">
        <f aca="false">IF(In!L130="","",In!L130)</f>
        <v>27.243</v>
      </c>
      <c r="I77" s="30" t="n">
        <f aca="false">IF(In!M130="","",In!M130)</f>
        <v>38.39</v>
      </c>
      <c r="J77" s="19" t="str">
        <f aca="false">IF(In!N130="","",In!N130)</f>
        <v/>
      </c>
      <c r="K77" s="19" t="str">
        <f aca="false">IF(In!O130="","",In!O130)</f>
        <v/>
      </c>
      <c r="L77" s="19" t="str">
        <f aca="false">IF(In!P130="","",In!P130)</f>
        <v/>
      </c>
      <c r="M77" s="19" t="str">
        <f aca="false">IF(In!Q130="","",In!Q130)</f>
        <v/>
      </c>
    </row>
    <row r="78" customFormat="false" ht="17.15" hidden="false" customHeight="false" outlineLevel="0" collapsed="false">
      <c r="A78" s="5" t="s">
        <v>1598</v>
      </c>
      <c r="C78" s="0" t="s">
        <v>36</v>
      </c>
      <c r="D78" s="29" t="str">
        <f aca="false">IF(OR(D77="",N(D77)=0),"",D76/D77)</f>
        <v/>
      </c>
      <c r="E78" s="29" t="str">
        <f aca="false">IF(OR(E77="",N(E77)=0),"",E76/E77)</f>
        <v/>
      </c>
      <c r="F78" s="29" t="n">
        <f aca="false">IF(OR(F77="",N(F77)=0),"",F76/F77)</f>
        <v>1.13737088047221</v>
      </c>
      <c r="G78" s="29" t="n">
        <f aca="false">IF(OR(G77="",N(G77)=0),"",G76/G77)</f>
        <v>1.08409971008</v>
      </c>
      <c r="H78" s="29" t="n">
        <f aca="false">IF(OR(H77="",N(H77)=0),"",H76/H77)</f>
        <v>0</v>
      </c>
      <c r="I78" s="29" t="n">
        <f aca="false">IF(OR(I77="",N(I77)=0),"",I76/I77)</f>
        <v>0</v>
      </c>
      <c r="J78" s="29" t="str">
        <f aca="false">IF(OR(J77="",N(J77)=0),"",J76/J77)</f>
        <v/>
      </c>
      <c r="K78" s="29" t="str">
        <f aca="false">IF(OR(K77="",N(K77)=0),"",K76/K77)</f>
        <v/>
      </c>
      <c r="L78" s="29" t="str">
        <f aca="false">IF(OR(L77="",N(L77)=0),"",L76/L77)</f>
        <v/>
      </c>
      <c r="M78" s="29" t="str">
        <f aca="false">IF(OR(M77="",N(M77)=0),"",M76/M77)</f>
        <v/>
      </c>
    </row>
    <row r="79" customFormat="false" ht="15" hidden="false" customHeight="false" outlineLevel="0" collapsed="false">
      <c r="A79" s="5" t="s">
        <v>1599</v>
      </c>
      <c r="C79" s="0" t="s">
        <v>35</v>
      </c>
      <c r="D79" s="0" t="str">
        <f aca="false">IF(D78="","無個股值",IF(D76=0,"瓦帳無新增",IF(AND(In!$E$130="Verified",FALSE()),IF(ABS(D78-1)&lt;=tolband,"對得上","偏差"),"證據不足（"&amp;IF(ABS(D78-1)&lt;=tolband,"帶內","帶外")&amp;"）")))</f>
        <v>無個股值</v>
      </c>
      <c r="E79" s="0" t="str">
        <f aca="false">IF(E78="","無個股值",IF(E76=0,"瓦帳無新增",IF(AND(In!$E$130="Verified",FALSE()),IF(ABS(E78-1)&lt;=tolband,"對得上","偏差"),"證據不足（"&amp;IF(ABS(E78-1)&lt;=tolband,"帶內","帶外")&amp;"）")))</f>
        <v>無個股值</v>
      </c>
      <c r="F79" s="0" t="str">
        <f aca="false">IF(F78="","無個股值",IF(F76=0,"瓦帳無新增",IF(AND(In!$E$130="Verified",FALSE()),IF(ABS(F78-1)&lt;=tolband,"對得上","偏差"),"證據不足（"&amp;IF(ABS(F78-1)&lt;=tolband,"帶內","帶外")&amp;"）")))</f>
        <v>證據不足（帶內）</v>
      </c>
      <c r="G79" s="0" t="str">
        <f aca="false">IF(G78="","無個股值",IF(G76=0,"瓦帳無新增",IF(AND(In!$E$130="Verified",FALSE()),IF(ABS(G78-1)&lt;=tolband,"對得上","偏差"),"證據不足（"&amp;IF(ABS(G78-1)&lt;=tolband,"帶內","帶外")&amp;"）")))</f>
        <v>證據不足（帶內）</v>
      </c>
      <c r="H79" s="0" t="str">
        <f aca="false">"同源（不對帳）"</f>
        <v>同源（不對帳）</v>
      </c>
      <c r="I79" s="0" t="str">
        <f aca="false">"同源（不對帳）"</f>
        <v>同源（不對帳）</v>
      </c>
      <c r="J79" s="0" t="str">
        <f aca="false">"同源（不對帳）"</f>
        <v>同源（不對帳）</v>
      </c>
      <c r="K79" s="0" t="str">
        <f aca="false">"同源（不對帳）"</f>
        <v>同源（不對帳）</v>
      </c>
      <c r="L79" s="0" t="str">
        <f aca="false">"同源（不對帳）"</f>
        <v>同源（不對帳）</v>
      </c>
      <c r="M79" s="0" t="str">
        <f aca="false">"同源（不對帳）"</f>
        <v>同源（不對帳）</v>
      </c>
    </row>
    <row r="81" customFormat="false" ht="17.15" hidden="false" customHeight="false" outlineLevel="0" collapsed="false">
      <c r="A81" s="8" t="s">
        <v>1114</v>
      </c>
      <c r="B81" s="20" t="s">
        <v>1115</v>
      </c>
      <c r="N81" s="5" t="s">
        <v>1606</v>
      </c>
    </row>
    <row r="82" customFormat="false" ht="17.15" hidden="false" customHeight="false" outlineLevel="0" collapsed="false">
      <c r="A82" s="5" t="s">
        <v>1592</v>
      </c>
      <c r="C82" s="0" t="s">
        <v>390</v>
      </c>
      <c r="D82" s="32" t="n">
        <f aca="false">Players!D169*((1-Players!D171)*D$8+Players!D171*TK_NonNV_Hold_AMD*TK_CapexIT_VR200)</f>
        <v>0</v>
      </c>
      <c r="E82" s="32" t="n">
        <f aca="false">Players!E169*((1-Players!E171)*E$8+Players!E171*TK_NonNV_Hold_AMD*TK_CapexIT_VR200)</f>
        <v>0</v>
      </c>
      <c r="F82" s="32" t="n">
        <f aca="false">Players!F169*((1-Players!F171)*F$8+Players!F171*TK_NonNV_Hold_AMD*TK_CapexIT_VR200)</f>
        <v>0</v>
      </c>
      <c r="G82" s="32" t="n">
        <f aca="false">Players!G169*((1-Players!G171)*G$8+Players!G171*TK_NonNV_Hold_AMD*TK_CapexIT_VR200)</f>
        <v>0.30319892781984</v>
      </c>
      <c r="H82" s="32" t="n">
        <f aca="false">Players!H169*((1-Players!H171)*H$8+Players!H171*TK_NonNV_Hold_AMD*TK_CapexIT_VR200)</f>
        <v>0.0756839285427982</v>
      </c>
      <c r="I82" s="32" t="n">
        <f aca="false">Players!I169*((1-Players!I171)*I$8+Players!I171*TK_NonNV_Hold_AMD*TK_CapexIT_VR200)</f>
        <v>0</v>
      </c>
      <c r="J82" s="32" t="n">
        <f aca="false">Players!J169*((1-Players!J171)*J$8+Players!J171*TK_NonNV_Hold_AMD*TK_CapexIT_VR200)</f>
        <v>0</v>
      </c>
      <c r="K82" s="32" t="n">
        <f aca="false">Players!K169*((1-Players!K171)*K$8+Players!K171*TK_NonNV_Hold_AMD*TK_CapexIT_VR200)</f>
        <v>0</v>
      </c>
      <c r="L82" s="32" t="n">
        <f aca="false">Players!L169*((1-Players!L171)*L$8+Players!L171*TK_NonNV_Hold_AMD*TK_CapexIT_VR200)</f>
        <v>0</v>
      </c>
      <c r="M82" s="32" t="n">
        <f aca="false">Players!M169*((1-Players!M171)*M$8+Players!M171*TK_NonNV_Hold_AMD*TK_CapexIT_VR200)</f>
        <v>0</v>
      </c>
    </row>
    <row r="83" customFormat="false" ht="15" hidden="false" customHeight="false" outlineLevel="0" collapsed="false">
      <c r="A83" s="5" t="s">
        <v>1593</v>
      </c>
      <c r="C83" s="0" t="s">
        <v>390</v>
      </c>
      <c r="D83" s="32" t="n">
        <f aca="false">Players!D169*((1-Players!D171)*D$9+Players!D171*TK_NonNV_Hold_AMD*TK_CapexFacility_VR200)</f>
        <v>0</v>
      </c>
      <c r="E83" s="32" t="n">
        <f aca="false">Players!E169*((1-Players!E171)*E$9+Players!E171*TK_NonNV_Hold_AMD*TK_CapexFacility_VR200)</f>
        <v>0</v>
      </c>
      <c r="F83" s="32" t="n">
        <f aca="false">Players!F169*((1-Players!F171)*F$9+Players!F171*TK_NonNV_Hold_AMD*TK_CapexFacility_VR200)</f>
        <v>0</v>
      </c>
      <c r="G83" s="32" t="n">
        <f aca="false">Players!G169*((1-Players!G171)*G$9+Players!G171*TK_NonNV_Hold_AMD*TK_CapexFacility_VR200)</f>
        <v>0.11496758</v>
      </c>
      <c r="H83" s="32" t="n">
        <f aca="false">Players!H169*((1-Players!H171)*H$9+Players!H171*TK_NonNV_Hold_AMD*TK_CapexFacility_VR200)</f>
        <v>0.02501058</v>
      </c>
      <c r="I83" s="32" t="n">
        <f aca="false">Players!I169*((1-Players!I171)*I$9+Players!I171*TK_NonNV_Hold_AMD*TK_CapexFacility_VR200)</f>
        <v>0</v>
      </c>
      <c r="J83" s="32" t="n">
        <f aca="false">Players!J169*((1-Players!J171)*J$9+Players!J171*TK_NonNV_Hold_AMD*TK_CapexFacility_VR200)</f>
        <v>0</v>
      </c>
      <c r="K83" s="32" t="n">
        <f aca="false">Players!K169*((1-Players!K171)*K$9+Players!K171*TK_NonNV_Hold_AMD*TK_CapexFacility_VR200)</f>
        <v>0</v>
      </c>
      <c r="L83" s="32" t="n">
        <f aca="false">Players!L169*((1-Players!L171)*L$9+Players!L171*TK_NonNV_Hold_AMD*TK_CapexFacility_VR200)</f>
        <v>0</v>
      </c>
      <c r="M83" s="32" t="n">
        <f aca="false">Players!M169*((1-Players!M171)*M$9+Players!M171*TK_NonNV_Hold_AMD*TK_CapexFacility_VR200)</f>
        <v>0</v>
      </c>
    </row>
    <row r="84" customFormat="false" ht="17.15" hidden="false" customHeight="false" outlineLevel="0" collapsed="false">
      <c r="A84" s="5" t="s">
        <v>1594</v>
      </c>
      <c r="C84" s="0" t="s">
        <v>390</v>
      </c>
      <c r="D84" s="32" t="n">
        <f aca="false">D83*$D$5+E83*$D$6+F83*$D$7</f>
        <v>0</v>
      </c>
      <c r="E84" s="32" t="n">
        <f aca="false">E83*$D$5+F83*$D$6+G83*$D$7</f>
        <v>0.05748379</v>
      </c>
      <c r="F84" s="32" t="n">
        <f aca="false">F83*$D$5+G83*$D$6+H83*$D$7</f>
        <v>0.06998908</v>
      </c>
      <c r="G84" s="32" t="n">
        <f aca="false">G83*$D$5+H83*$D$6+I83*$D$7</f>
        <v>0.01250529</v>
      </c>
      <c r="H84" s="32" t="n">
        <f aca="false">H83*$D$5+I83*$D$6+J83*$D$7</f>
        <v>0</v>
      </c>
      <c r="I84" s="32" t="n">
        <f aca="false">I83*$D$5+J83*$D$6+K83*$D$7</f>
        <v>0</v>
      </c>
      <c r="J84" s="32" t="n">
        <f aca="false">J83*$D$5+K83*$D$6+L83*$D$7</f>
        <v>0</v>
      </c>
      <c r="K84" s="32" t="n">
        <f aca="false">K83*$D$5+L83*$D$6+M83*$D$7</f>
        <v>0</v>
      </c>
      <c r="L84" s="32" t="n">
        <f aca="false">L83*$D$5+M83*$D$6</f>
        <v>0</v>
      </c>
      <c r="M84" s="32" t="n">
        <f aca="false">M83*$D$5</f>
        <v>0</v>
      </c>
    </row>
    <row r="85" customFormat="false" ht="17.15" hidden="false" customHeight="false" outlineLevel="0" collapsed="false">
      <c r="A85" s="5" t="s">
        <v>1595</v>
      </c>
      <c r="C85" s="0" t="s">
        <v>390</v>
      </c>
      <c r="D85" s="32" t="n">
        <f aca="false">D82+D84</f>
        <v>0</v>
      </c>
      <c r="E85" s="32" t="n">
        <f aca="false">E82+E84</f>
        <v>0.05748379</v>
      </c>
      <c r="F85" s="32" t="n">
        <f aca="false">F82+F84</f>
        <v>0.06998908</v>
      </c>
      <c r="G85" s="32" t="n">
        <f aca="false">G82+G84</f>
        <v>0.31570421781984</v>
      </c>
      <c r="H85" s="32" t="n">
        <f aca="false">H82+H84</f>
        <v>0.0756839285427982</v>
      </c>
      <c r="I85" s="32" t="n">
        <f aca="false">I82+I84</f>
        <v>0</v>
      </c>
      <c r="J85" s="32" t="n">
        <f aca="false">J82+J84</f>
        <v>0</v>
      </c>
      <c r="K85" s="32" t="n">
        <f aca="false">K82+K84</f>
        <v>0</v>
      </c>
      <c r="L85" s="32" t="n">
        <f aca="false">L82+L84</f>
        <v>0</v>
      </c>
      <c r="M85" s="32" t="n">
        <f aca="false">M82+M84</f>
        <v>0</v>
      </c>
    </row>
    <row r="86" customFormat="false" ht="17.15" hidden="false" customHeight="false" outlineLevel="0" collapsed="false">
      <c r="A86" s="5" t="s">
        <v>1596</v>
      </c>
      <c r="C86" s="0" t="s">
        <v>390</v>
      </c>
      <c r="D86" s="32" t="n">
        <f aca="false">D85*fye_wyfi/12+N(In!H147)</f>
        <v>0</v>
      </c>
      <c r="E86" s="32" t="n">
        <f aca="false">E85*fye_wyfi/12+D85*(12-fye_wyfi)/12+N(In!I147)</f>
        <v>0.05748379</v>
      </c>
      <c r="F86" s="32" t="n">
        <f aca="false">F85*fye_wyfi/12+E85*(12-fye_wyfi)/12+N(In!J147)</f>
        <v>0.06998908</v>
      </c>
      <c r="G86" s="32" t="n">
        <f aca="false">G85*fye_wyfi/12+F85*(12-fye_wyfi)/12+N(In!K147)</f>
        <v>0.31570421781984</v>
      </c>
      <c r="H86" s="32" t="n">
        <f aca="false">H85*fye_wyfi/12+G85*(12-fye_wyfi)/12+N(In!L147)</f>
        <v>0.0756839285427982</v>
      </c>
      <c r="I86" s="32" t="n">
        <f aca="false">I85*fye_wyfi/12+H85*(12-fye_wyfi)/12+N(In!M147)</f>
        <v>0</v>
      </c>
      <c r="J86" s="32" t="n">
        <f aca="false">J85*fye_wyfi/12+I85*(12-fye_wyfi)/12+N(In!N147)</f>
        <v>0</v>
      </c>
      <c r="K86" s="32" t="n">
        <f aca="false">K85*fye_wyfi/12+J85*(12-fye_wyfi)/12+N(In!O147)</f>
        <v>0</v>
      </c>
      <c r="L86" s="32" t="n">
        <f aca="false">L85*fye_wyfi/12+K85*(12-fye_wyfi)/12+N(In!P147)</f>
        <v>0</v>
      </c>
      <c r="M86" s="32" t="n">
        <f aca="false">M85*fye_wyfi/12+L85*(12-fye_wyfi)/12+N(In!Q147)</f>
        <v>0</v>
      </c>
    </row>
    <row r="87" customFormat="false" ht="17.15" hidden="false" customHeight="false" outlineLevel="0" collapsed="false">
      <c r="A87" s="5" t="s">
        <v>1597</v>
      </c>
      <c r="C87" s="0" t="s">
        <v>390</v>
      </c>
      <c r="D87" s="19" t="str">
        <f aca="false">IF(In!H131="","",In!H131)</f>
        <v/>
      </c>
      <c r="E87" s="19" t="str">
        <f aca="false">IF(In!I131="","",In!I131)</f>
        <v/>
      </c>
      <c r="F87" s="19" t="str">
        <f aca="false">IF(In!J131="","",In!J131)</f>
        <v/>
      </c>
      <c r="G87" s="19" t="str">
        <f aca="false">IF(In!K131="","",In!K131)</f>
        <v/>
      </c>
      <c r="H87" s="19" t="str">
        <f aca="false">IF(In!L131="","",In!L131)</f>
        <v/>
      </c>
      <c r="I87" s="19" t="str">
        <f aca="false">IF(In!M131="","",In!M131)</f>
        <v/>
      </c>
      <c r="J87" s="19" t="str">
        <f aca="false">IF(In!N131="","",In!N131)</f>
        <v/>
      </c>
      <c r="K87" s="19" t="str">
        <f aca="false">IF(In!O131="","",In!O131)</f>
        <v/>
      </c>
      <c r="L87" s="19" t="str">
        <f aca="false">IF(In!P131="","",In!P131)</f>
        <v/>
      </c>
      <c r="M87" s="19" t="str">
        <f aca="false">IF(In!Q131="","",In!Q131)</f>
        <v/>
      </c>
    </row>
    <row r="88" customFormat="false" ht="17.15" hidden="false" customHeight="false" outlineLevel="0" collapsed="false">
      <c r="A88" s="5" t="s">
        <v>1598</v>
      </c>
      <c r="C88" s="0" t="s">
        <v>36</v>
      </c>
      <c r="D88" s="29" t="str">
        <f aca="false">IF(OR(D87="",N(D87)=0),"",D86/D87)</f>
        <v/>
      </c>
      <c r="E88" s="29" t="str">
        <f aca="false">IF(OR(E87="",N(E87)=0),"",E86/E87)</f>
        <v/>
      </c>
      <c r="F88" s="29" t="str">
        <f aca="false">IF(OR(F87="",N(F87)=0),"",F86/F87)</f>
        <v/>
      </c>
      <c r="G88" s="29" t="str">
        <f aca="false">IF(OR(G87="",N(G87)=0),"",G86/G87)</f>
        <v/>
      </c>
      <c r="H88" s="29" t="str">
        <f aca="false">IF(OR(H87="",N(H87)=0),"",H86/H87)</f>
        <v/>
      </c>
      <c r="I88" s="29" t="str">
        <f aca="false">IF(OR(I87="",N(I87)=0),"",I86/I87)</f>
        <v/>
      </c>
      <c r="J88" s="29" t="str">
        <f aca="false">IF(OR(J87="",N(J87)=0),"",J86/J87)</f>
        <v/>
      </c>
      <c r="K88" s="29" t="str">
        <f aca="false">IF(OR(K87="",N(K87)=0),"",K86/K87)</f>
        <v/>
      </c>
      <c r="L88" s="29" t="str">
        <f aca="false">IF(OR(L87="",N(L87)=0),"",L86/L87)</f>
        <v/>
      </c>
      <c r="M88" s="29" t="str">
        <f aca="false">IF(OR(M87="",N(M87)=0),"",M86/M87)</f>
        <v/>
      </c>
    </row>
    <row r="89" customFormat="false" ht="15" hidden="false" customHeight="false" outlineLevel="0" collapsed="false">
      <c r="A89" s="5" t="s">
        <v>1599</v>
      </c>
      <c r="C89" s="0" t="s">
        <v>35</v>
      </c>
      <c r="D89" s="0" t="str">
        <f aca="false">IF(D88="","無個股值",IF(D86=0,"瓦帳無新增",IF(AND(In!$E$131="Verified",FALSE()),IF(ABS(D88-1)&lt;=tolband,"對得上","偏差"),"證據不足（"&amp;IF(ABS(D88-1)&lt;=tolband,"帶內","帶外")&amp;"）")))</f>
        <v>無個股值</v>
      </c>
      <c r="E89" s="0" t="str">
        <f aca="false">IF(E88="","無個股值",IF(E86=0,"瓦帳無新增",IF(AND(In!$E$131="Verified",FALSE()),IF(ABS(E88-1)&lt;=tolband,"對得上","偏差"),"證據不足（"&amp;IF(ABS(E88-1)&lt;=tolband,"帶內","帶外")&amp;"）")))</f>
        <v>無個股值</v>
      </c>
      <c r="F89" s="0" t="str">
        <f aca="false">IF(F88="","無個股值",IF(F86=0,"瓦帳無新增",IF(AND(In!$E$131="Verified",FALSE()),IF(ABS(F88-1)&lt;=tolband,"對得上","偏差"),"證據不足（"&amp;IF(ABS(F88-1)&lt;=tolband,"帶內","帶外")&amp;"）")))</f>
        <v>無個股值</v>
      </c>
      <c r="G89" s="0" t="str">
        <f aca="false">IF(G88="","無個股值",IF(G86=0,"瓦帳無新增",IF(AND(In!$E$131="Verified",FALSE()),IF(ABS(G88-1)&lt;=tolband,"對得上","偏差"),"證據不足（"&amp;IF(ABS(G88-1)&lt;=tolband,"帶內","帶外")&amp;"）")))</f>
        <v>無個股值</v>
      </c>
      <c r="H89" s="0" t="str">
        <f aca="false">IF(H88="","無個股值",IF(H86=0,"瓦帳無新增",IF(AND(In!$E$131="Verified",FALSE()),IF(ABS(H88-1)&lt;=tolband,"對得上","偏差"),"證據不足（"&amp;IF(ABS(H88-1)&lt;=tolband,"帶內","帶外")&amp;"）")))</f>
        <v>無個股值</v>
      </c>
      <c r="I89" s="0" t="str">
        <f aca="false">IF(I88="","無個股值",IF(I86=0,"瓦帳無新增",IF(AND(In!$E$131="Verified",FALSE()),IF(ABS(I88-1)&lt;=tolband,"對得上","偏差"),"證據不足（"&amp;IF(ABS(I88-1)&lt;=tolband,"帶內","帶外")&amp;"）")))</f>
        <v>無個股值</v>
      </c>
      <c r="J89" s="0" t="str">
        <f aca="false">IF(J88="","無個股值",IF(J86=0,"瓦帳無新增",IF(AND(In!$E$131="Verified",FALSE()),IF(ABS(J88-1)&lt;=tolband,"對得上","偏差"),"證據不足（"&amp;IF(ABS(J88-1)&lt;=tolband,"帶內","帶外")&amp;"）")))</f>
        <v>無個股值</v>
      </c>
      <c r="K89" s="0" t="str">
        <f aca="false">IF(K88="","無個股值",IF(K86=0,"瓦帳無新增",IF(AND(In!$E$131="Verified",FALSE()),IF(ABS(K88-1)&lt;=tolband,"對得上","偏差"),"證據不足（"&amp;IF(ABS(K88-1)&lt;=tolband,"帶內","帶外")&amp;"）")))</f>
        <v>無個股值</v>
      </c>
      <c r="L89" s="0" t="str">
        <f aca="false">IF(L88="","無個股值",IF(L86=0,"瓦帳無新增",IF(AND(In!$E$131="Verified",FALSE()),IF(ABS(L88-1)&lt;=tolband,"對得上","偏差"),"證據不足（"&amp;IF(ABS(L88-1)&lt;=tolband,"帶內","帶外")&amp;"）")))</f>
        <v>無個股值</v>
      </c>
      <c r="M89" s="0" t="str">
        <f aca="false">IF(M88="","無個股值",IF(M86=0,"瓦帳無新增",IF(AND(In!$E$131="Verified",FALSE()),IF(ABS(M88-1)&lt;=tolband,"對得上","偏差"),"證據不足（"&amp;IF(ABS(M88-1)&lt;=tolband,"帶內","帶外")&amp;"）")))</f>
        <v>無個股值</v>
      </c>
    </row>
    <row r="91" customFormat="false" ht="17.15" hidden="false" customHeight="false" outlineLevel="0" collapsed="false">
      <c r="A91" s="8" t="s">
        <v>1134</v>
      </c>
      <c r="B91" s="20" t="s">
        <v>535</v>
      </c>
      <c r="N91" s="20" t="s">
        <v>1607</v>
      </c>
    </row>
    <row r="92" customFormat="false" ht="17.15" hidden="false" customHeight="false" outlineLevel="0" collapsed="false">
      <c r="A92" s="5" t="s">
        <v>1592</v>
      </c>
      <c r="C92" s="0" t="s">
        <v>390</v>
      </c>
      <c r="D92" s="32" t="n">
        <f aca="false">Players!D188*((1-Players!D190)*D$8+Players!D190*TK_NonNV_Hold_AMD*TK_CapexIT_VR200)</f>
        <v>0</v>
      </c>
      <c r="E92" s="32" t="n">
        <f aca="false">Players!E188*((1-Players!E190)*E$8+Players!E190*TK_NonNV_Hold_AMD*TK_CapexIT_VR200)</f>
        <v>0</v>
      </c>
      <c r="F92" s="32" t="n">
        <f aca="false">Players!F188*((1-Players!F190)*F$8+Players!F190*TK_NonNV_Hold_AMD*TK_CapexIT_VR200)</f>
        <v>0</v>
      </c>
      <c r="G92" s="32" t="n">
        <f aca="false">Players!G188*((1-Players!G190)*G$8+Players!G190*TK_NonNV_Hold_AMD*TK_CapexIT_VR200)</f>
        <v>47.788748795232</v>
      </c>
      <c r="H92" s="32" t="n">
        <f aca="false">Players!H188*((1-Players!H190)*H$8+Players!H190*TK_NonNV_Hold_AMD*TK_CapexIT_VR200)</f>
        <v>22.4291277596439</v>
      </c>
      <c r="I92" s="32" t="n">
        <f aca="false">Players!I188*((1-Players!I190)*I$8+Players!I190*TK_NonNV_Hold_AMD*TK_CapexIT_VR200)</f>
        <v>0</v>
      </c>
      <c r="J92" s="32" t="n">
        <f aca="false">Players!J188*((1-Players!J190)*J$8+Players!J190*TK_NonNV_Hold_AMD*TK_CapexIT_VR200)</f>
        <v>0</v>
      </c>
      <c r="K92" s="32" t="n">
        <f aca="false">Players!K188*((1-Players!K190)*K$8+Players!K190*TK_NonNV_Hold_AMD*TK_CapexIT_VR200)</f>
        <v>0</v>
      </c>
      <c r="L92" s="32" t="n">
        <f aca="false">Players!L188*((1-Players!L190)*L$8+Players!L190*TK_NonNV_Hold_AMD*TK_CapexIT_VR200)</f>
        <v>0</v>
      </c>
      <c r="M92" s="32" t="n">
        <f aca="false">Players!M188*((1-Players!M190)*M$8+Players!M190*TK_NonNV_Hold_AMD*TK_CapexIT_VR200)</f>
        <v>0</v>
      </c>
    </row>
    <row r="93" customFormat="false" ht="15" hidden="false" customHeight="false" outlineLevel="0" collapsed="false">
      <c r="A93" s="5" t="s">
        <v>1593</v>
      </c>
      <c r="C93" s="0" t="s">
        <v>390</v>
      </c>
      <c r="D93" s="32" t="n">
        <f aca="false">Players!D188*((1-Players!D190)*D$9+Players!D190*TK_NonNV_Hold_AMD*TK_CapexFacility_VR200)</f>
        <v>0</v>
      </c>
      <c r="E93" s="32" t="n">
        <f aca="false">Players!E188*((1-Players!E190)*E$9+Players!E190*TK_NonNV_Hold_AMD*TK_CapexFacility_VR200)</f>
        <v>0</v>
      </c>
      <c r="F93" s="32" t="n">
        <f aca="false">Players!F188*((1-Players!F190)*F$9+Players!F190*TK_NonNV_Hold_AMD*TK_CapexFacility_VR200)</f>
        <v>0</v>
      </c>
      <c r="G93" s="32" t="n">
        <f aca="false">Players!G188*((1-Players!G190)*G$9+Players!G190*TK_NonNV_Hold_AMD*TK_CapexFacility_VR200)</f>
        <v>18.120634</v>
      </c>
      <c r="H93" s="32" t="n">
        <f aca="false">Players!H188*((1-Players!H190)*H$9+Players!H190*TK_NonNV_Hold_AMD*TK_CapexFacility_VR200)</f>
        <v>7.41195</v>
      </c>
      <c r="I93" s="32" t="n">
        <f aca="false">Players!I188*((1-Players!I190)*I$9+Players!I190*TK_NonNV_Hold_AMD*TK_CapexFacility_VR200)</f>
        <v>0</v>
      </c>
      <c r="J93" s="32" t="n">
        <f aca="false">Players!J188*((1-Players!J190)*J$9+Players!J190*TK_NonNV_Hold_AMD*TK_CapexFacility_VR200)</f>
        <v>0</v>
      </c>
      <c r="K93" s="32" t="n">
        <f aca="false">Players!K188*((1-Players!K190)*K$9+Players!K190*TK_NonNV_Hold_AMD*TK_CapexFacility_VR200)</f>
        <v>0</v>
      </c>
      <c r="L93" s="32" t="n">
        <f aca="false">Players!L188*((1-Players!L190)*L$9+Players!L190*TK_NonNV_Hold_AMD*TK_CapexFacility_VR200)</f>
        <v>0</v>
      </c>
      <c r="M93" s="32" t="n">
        <f aca="false">Players!M188*((1-Players!M190)*M$9+Players!M190*TK_NonNV_Hold_AMD*TK_CapexFacility_VR200)</f>
        <v>0</v>
      </c>
    </row>
    <row r="94" customFormat="false" ht="17.15" hidden="false" customHeight="false" outlineLevel="0" collapsed="false">
      <c r="A94" s="5" t="s">
        <v>1594</v>
      </c>
      <c r="C94" s="0" t="s">
        <v>390</v>
      </c>
      <c r="D94" s="32" t="n">
        <f aca="false">D93*$D$5+E93*$D$6+F93*$D$7</f>
        <v>0</v>
      </c>
      <c r="E94" s="32" t="n">
        <f aca="false">E93*$D$5+F93*$D$6+G93*$D$7</f>
        <v>9.060317</v>
      </c>
      <c r="F94" s="32" t="n">
        <f aca="false">F93*$D$5+G93*$D$6+H93*$D$7</f>
        <v>12.766292</v>
      </c>
      <c r="G94" s="32" t="n">
        <f aca="false">G93*$D$5+H93*$D$6+I93*$D$7</f>
        <v>3.705975</v>
      </c>
      <c r="H94" s="32" t="n">
        <f aca="false">H93*$D$5+I93*$D$6+J93*$D$7</f>
        <v>0</v>
      </c>
      <c r="I94" s="32" t="n">
        <f aca="false">I93*$D$5+J93*$D$6+K93*$D$7</f>
        <v>0</v>
      </c>
      <c r="J94" s="32" t="n">
        <f aca="false">J93*$D$5+K93*$D$6+L93*$D$7</f>
        <v>0</v>
      </c>
      <c r="K94" s="32" t="n">
        <f aca="false">K93*$D$5+L93*$D$6+M93*$D$7</f>
        <v>0</v>
      </c>
      <c r="L94" s="32" t="n">
        <f aca="false">L93*$D$5+M93*$D$6</f>
        <v>0</v>
      </c>
      <c r="M94" s="32" t="n">
        <f aca="false">M93*$D$5</f>
        <v>0</v>
      </c>
    </row>
    <row r="95" customFormat="false" ht="17.15" hidden="false" customHeight="false" outlineLevel="0" collapsed="false">
      <c r="A95" s="5" t="s">
        <v>1595</v>
      </c>
      <c r="C95" s="0" t="s">
        <v>390</v>
      </c>
      <c r="D95" s="32" t="n">
        <f aca="false">D92+D94</f>
        <v>0</v>
      </c>
      <c r="E95" s="32" t="n">
        <f aca="false">E92+E94</f>
        <v>9.060317</v>
      </c>
      <c r="F95" s="32" t="n">
        <f aca="false">F92+F94</f>
        <v>12.766292</v>
      </c>
      <c r="G95" s="32" t="n">
        <f aca="false">G92+G94</f>
        <v>51.494723795232</v>
      </c>
      <c r="H95" s="32" t="n">
        <f aca="false">H92+H94</f>
        <v>22.4291277596439</v>
      </c>
      <c r="I95" s="32" t="n">
        <f aca="false">I92+I94</f>
        <v>0</v>
      </c>
      <c r="J95" s="32" t="n">
        <f aca="false">J92+J94</f>
        <v>0</v>
      </c>
      <c r="K95" s="32" t="n">
        <f aca="false">K92+K94</f>
        <v>0</v>
      </c>
      <c r="L95" s="32" t="n">
        <f aca="false">L92+L94</f>
        <v>0</v>
      </c>
      <c r="M95" s="32" t="n">
        <f aca="false">M92+M94</f>
        <v>0</v>
      </c>
    </row>
    <row r="96" customFormat="false" ht="17.15" hidden="false" customHeight="false" outlineLevel="0" collapsed="false">
      <c r="A96" s="5" t="s">
        <v>1596</v>
      </c>
      <c r="C96" s="0" t="s">
        <v>390</v>
      </c>
      <c r="D96" s="32" t="n">
        <f aca="false">D95*12/12+N(In!H148)</f>
        <v>0</v>
      </c>
      <c r="E96" s="32" t="n">
        <f aca="false">E95*12/12+D95*(12-12)/12+N(In!I148)</f>
        <v>9.060317</v>
      </c>
      <c r="F96" s="32" t="n">
        <f aca="false">F95*12/12+E95*(12-12)/12+N(In!J148)</f>
        <v>12.766292</v>
      </c>
      <c r="G96" s="32" t="n">
        <f aca="false">G95*12/12+F95*(12-12)/12+N(In!K148)</f>
        <v>51.494723795232</v>
      </c>
      <c r="H96" s="32" t="n">
        <f aca="false">H95*12/12+G95*(12-12)/12+N(In!L148)</f>
        <v>22.4291277596439</v>
      </c>
      <c r="I96" s="32" t="n">
        <f aca="false">I95*12/12+H95*(12-12)/12+N(In!M148)</f>
        <v>0</v>
      </c>
      <c r="J96" s="32" t="n">
        <f aca="false">J95*12/12+I95*(12-12)/12+N(In!N148)</f>
        <v>0</v>
      </c>
      <c r="K96" s="32" t="n">
        <f aca="false">K95*12/12+J95*(12-12)/12+N(In!O148)</f>
        <v>0</v>
      </c>
      <c r="L96" s="32" t="n">
        <f aca="false">L95*12/12+K95*(12-12)/12+N(In!P148)</f>
        <v>0</v>
      </c>
      <c r="M96" s="32" t="n">
        <f aca="false">M95*12/12+L95*(12-12)/12+N(In!Q148)</f>
        <v>0</v>
      </c>
    </row>
    <row r="97" customFormat="false" ht="17.15" hidden="false" customHeight="false" outlineLevel="0" collapsed="false">
      <c r="A97" s="5" t="s">
        <v>1597</v>
      </c>
      <c r="C97" s="0" t="s">
        <v>390</v>
      </c>
      <c r="D97" s="19" t="str">
        <f aca="false">IF(In!H132="","",In!H132)</f>
        <v/>
      </c>
      <c r="E97" s="19" t="str">
        <f aca="false">IF(In!I132="","",In!I132)</f>
        <v/>
      </c>
      <c r="F97" s="19" t="str">
        <f aca="false">IF(In!J132="","",In!J132)</f>
        <v/>
      </c>
      <c r="G97" s="19" t="str">
        <f aca="false">IF(In!K132="","",In!K132)</f>
        <v/>
      </c>
      <c r="H97" s="19" t="str">
        <f aca="false">IF(In!L132="","",In!L132)</f>
        <v/>
      </c>
      <c r="I97" s="19" t="str">
        <f aca="false">IF(In!M132="","",In!M132)</f>
        <v/>
      </c>
      <c r="J97" s="19" t="str">
        <f aca="false">IF(In!N132="","",In!N132)</f>
        <v/>
      </c>
      <c r="K97" s="19" t="str">
        <f aca="false">IF(In!O132="","",In!O132)</f>
        <v/>
      </c>
      <c r="L97" s="19" t="str">
        <f aca="false">IF(In!P132="","",In!P132)</f>
        <v/>
      </c>
      <c r="M97" s="19" t="str">
        <f aca="false">IF(In!Q132="","",In!Q132)</f>
        <v/>
      </c>
    </row>
    <row r="98" customFormat="false" ht="17.15" hidden="false" customHeight="false" outlineLevel="0" collapsed="false">
      <c r="A98" s="5" t="s">
        <v>1598</v>
      </c>
      <c r="C98" s="0" t="s">
        <v>36</v>
      </c>
      <c r="D98" s="29" t="str">
        <f aca="false">IF(OR(D97="",N(D97)=0),"",D96/D97)</f>
        <v/>
      </c>
      <c r="E98" s="29" t="str">
        <f aca="false">IF(OR(E97="",N(E97)=0),"",E96/E97)</f>
        <v/>
      </c>
      <c r="F98" s="29" t="str">
        <f aca="false">IF(OR(F97="",N(F97)=0),"",F96/F97)</f>
        <v/>
      </c>
      <c r="G98" s="29" t="str">
        <f aca="false">IF(OR(G97="",N(G97)=0),"",G96/G97)</f>
        <v/>
      </c>
      <c r="H98" s="29" t="str">
        <f aca="false">IF(OR(H97="",N(H97)=0),"",H96/H97)</f>
        <v/>
      </c>
      <c r="I98" s="29" t="str">
        <f aca="false">IF(OR(I97="",N(I97)=0),"",I96/I97)</f>
        <v/>
      </c>
      <c r="J98" s="29" t="str">
        <f aca="false">IF(OR(J97="",N(J97)=0),"",J96/J97)</f>
        <v/>
      </c>
      <c r="K98" s="29" t="str">
        <f aca="false">IF(OR(K97="",N(K97)=0),"",K96/K97)</f>
        <v/>
      </c>
      <c r="L98" s="29" t="str">
        <f aca="false">IF(OR(L97="",N(L97)=0),"",L96/L97)</f>
        <v/>
      </c>
      <c r="M98" s="29" t="str">
        <f aca="false">IF(OR(M97="",N(M97)=0),"",M96/M97)</f>
        <v/>
      </c>
    </row>
    <row r="99" customFormat="false" ht="15" hidden="false" customHeight="false" outlineLevel="0" collapsed="false">
      <c r="A99" s="5" t="s">
        <v>1599</v>
      </c>
      <c r="C99" s="0" t="s">
        <v>35</v>
      </c>
      <c r="D99" s="0" t="str">
        <f aca="false">IF(D98="","無個股值",IF(D96=0,"瓦帳無新增",IF(AND(In!$E$132="Verified",FALSE()),IF(ABS(D98-1)&lt;=tolband,"對得上","偏差"),"證據不足（"&amp;IF(ABS(D98-1)&lt;=tolband,"帶內","帶外")&amp;"）")))</f>
        <v>無個股值</v>
      </c>
      <c r="E99" s="0" t="str">
        <f aca="false">IF(E98="","無個股值",IF(E96=0,"瓦帳無新增",IF(AND(In!$E$132="Verified",FALSE()),IF(ABS(E98-1)&lt;=tolband,"對得上","偏差"),"證據不足（"&amp;IF(ABS(E98-1)&lt;=tolband,"帶內","帶外")&amp;"）")))</f>
        <v>無個股值</v>
      </c>
      <c r="F99" s="0" t="str">
        <f aca="false">IF(F98="","無個股值",IF(F96=0,"瓦帳無新增",IF(AND(In!$E$132="Verified",FALSE()),IF(ABS(F98-1)&lt;=tolband,"對得上","偏差"),"證據不足（"&amp;IF(ABS(F98-1)&lt;=tolband,"帶內","帶外")&amp;"）")))</f>
        <v>無個股值</v>
      </c>
      <c r="G99" s="0" t="str">
        <f aca="false">IF(G98="","無個股值",IF(G96=0,"瓦帳無新增",IF(AND(In!$E$132="Verified",FALSE()),IF(ABS(G98-1)&lt;=tolband,"對得上","偏差"),"證據不足（"&amp;IF(ABS(G98-1)&lt;=tolband,"帶內","帶外")&amp;"）")))</f>
        <v>無個股值</v>
      </c>
      <c r="H99" s="0" t="str">
        <f aca="false">IF(H98="","無個股值",IF(H96=0,"瓦帳無新增",IF(AND(In!$E$132="Verified",FALSE()),IF(ABS(H98-1)&lt;=tolband,"對得上","偏差"),"證據不足（"&amp;IF(ABS(H98-1)&lt;=tolband,"帶內","帶外")&amp;"）")))</f>
        <v>無個股值</v>
      </c>
      <c r="I99" s="0" t="str">
        <f aca="false">IF(I98="","無個股值",IF(I96=0,"瓦帳無新增",IF(AND(In!$E$132="Verified",FALSE()),IF(ABS(I98-1)&lt;=tolband,"對得上","偏差"),"證據不足（"&amp;IF(ABS(I98-1)&lt;=tolband,"帶內","帶外")&amp;"）")))</f>
        <v>無個股值</v>
      </c>
      <c r="J99" s="0" t="str">
        <f aca="false">IF(J98="","無個股值",IF(J96=0,"瓦帳無新增",IF(AND(In!$E$132="Verified",FALSE()),IF(ABS(J98-1)&lt;=tolband,"對得上","偏差"),"證據不足（"&amp;IF(ABS(J98-1)&lt;=tolband,"帶內","帶外")&amp;"）")))</f>
        <v>無個股值</v>
      </c>
      <c r="K99" s="0" t="str">
        <f aca="false">IF(K98="","無個股值",IF(K96=0,"瓦帳無新增",IF(AND(In!$E$132="Verified",FALSE()),IF(ABS(K98-1)&lt;=tolband,"對得上","偏差"),"證據不足（"&amp;IF(ABS(K98-1)&lt;=tolband,"帶內","帶外")&amp;"）")))</f>
        <v>無個股值</v>
      </c>
      <c r="L99" s="0" t="str">
        <f aca="false">IF(L98="","無個股值",IF(L96=0,"瓦帳無新增",IF(AND(In!$E$132="Verified",FALSE()),IF(ABS(L98-1)&lt;=tolband,"對得上","偏差"),"證據不足（"&amp;IF(ABS(L98-1)&lt;=tolband,"帶內","帶外")&amp;"）")))</f>
        <v>無個股值</v>
      </c>
      <c r="M99" s="0" t="str">
        <f aca="false">IF(M98="","無個股值",IF(M96=0,"瓦帳無新增",IF(AND(In!$E$132="Verified",FALSE()),IF(ABS(M98-1)&lt;=tolband,"對得上","偏差"),"證據不足（"&amp;IF(ABS(M98-1)&lt;=tolband,"帶內","帶外")&amp;"）")))</f>
        <v>無個股值</v>
      </c>
    </row>
    <row r="101" customFormat="false" ht="17.15" hidden="false" customHeight="false" outlineLevel="0" collapsed="false">
      <c r="A101" s="8" t="s">
        <v>1153</v>
      </c>
      <c r="B101" s="20" t="s">
        <v>531</v>
      </c>
      <c r="N101" s="5" t="s">
        <v>1608</v>
      </c>
    </row>
    <row r="102" customFormat="false" ht="17.15" hidden="false" customHeight="false" outlineLevel="0" collapsed="false">
      <c r="A102" s="5" t="s">
        <v>1592</v>
      </c>
      <c r="C102" s="0" t="s">
        <v>390</v>
      </c>
      <c r="D102" s="32" t="n">
        <f aca="false">Players!D207*((1-Players!D209)*D$8+Players!D209*TK_NonNV_Hold_OAI*TK_CapexIT_VR200)</f>
        <v>0</v>
      </c>
      <c r="E102" s="32" t="n">
        <f aca="false">Players!E207*((1-Players!E209)*E$8+Players!E209*TK_NonNV_Hold_OAI*TK_CapexIT_VR200)</f>
        <v>0</v>
      </c>
      <c r="F102" s="32" t="n">
        <f aca="false">Players!F207*((1-Players!F209)*F$8+Players!F209*TK_NonNV_Hold_OAI*TK_CapexIT_VR200)</f>
        <v>0</v>
      </c>
      <c r="G102" s="32" t="n">
        <f aca="false">Players!G207*((1-Players!G209)*G$8+Players!G209*TK_NonNV_Hold_OAI*TK_CapexIT_VR200)</f>
        <v>0</v>
      </c>
      <c r="H102" s="32" t="n">
        <f aca="false">Players!H207*((1-Players!H209)*H$8+Players!H209*TK_NonNV_Hold_OAI*TK_CapexIT_VR200)</f>
        <v>11.1130957747227</v>
      </c>
      <c r="I102" s="32" t="n">
        <f aca="false">Players!I207*((1-Players!I209)*I$8+Players!I209*TK_NonNV_Hold_OAI*TK_CapexIT_VR200)</f>
        <v>47.6781834780054</v>
      </c>
      <c r="J102" s="32" t="n">
        <f aca="false">Players!J207*((1-Players!J209)*J$8+Players!J209*TK_NonNV_Hold_OAI*TK_CapexIT_VR200)</f>
        <v>43.9685832847277</v>
      </c>
      <c r="K102" s="32" t="n">
        <f aca="false">Players!K207*((1-Players!K209)*K$8+Players!K209*TK_NonNV_Hold_OAI*TK_CapexIT_VR200)</f>
        <v>43.9685832847277</v>
      </c>
      <c r="L102" s="32" t="n">
        <f aca="false">Players!L207*((1-Players!L209)*L$8+Players!L209*TK_NonNV_Hold_OAI*TK_CapexIT_VR200)</f>
        <v>44.0068501109111</v>
      </c>
      <c r="M102" s="32" t="n">
        <f aca="false">Players!M207*((1-Players!M209)*M$8+Players!M209*TK_NonNV_Hold_OAI*TK_CapexIT_VR200)</f>
        <v>0</v>
      </c>
    </row>
    <row r="103" customFormat="false" ht="15" hidden="false" customHeight="false" outlineLevel="0" collapsed="false">
      <c r="A103" s="5" t="s">
        <v>1593</v>
      </c>
      <c r="C103" s="0" t="s">
        <v>390</v>
      </c>
      <c r="D103" s="32" t="n">
        <f aca="false">Players!D207*((1-Players!D209)*D$9+Players!D209*TK_NonNV_Hold_OAI*TK_CapexFacility_VR200)</f>
        <v>0</v>
      </c>
      <c r="E103" s="32" t="n">
        <f aca="false">Players!E207*((1-Players!E209)*E$9+Players!E209*TK_NonNV_Hold_OAI*TK_CapexFacility_VR200)</f>
        <v>0</v>
      </c>
      <c r="F103" s="32" t="n">
        <f aca="false">Players!F207*((1-Players!F209)*F$9+Players!F209*TK_NonNV_Hold_OAI*TK_CapexFacility_VR200)</f>
        <v>0</v>
      </c>
      <c r="G103" s="32" t="n">
        <f aca="false">Players!G207*((1-Players!G209)*G$9+Players!G209*TK_NonNV_Hold_OAI*TK_CapexFacility_VR200)</f>
        <v>0</v>
      </c>
      <c r="H103" s="32" t="n">
        <f aca="false">Players!H207*((1-Players!H209)*H$9+Players!H209*TK_NonNV_Hold_OAI*TK_CapexFacility_VR200)</f>
        <v>3.68921164340243</v>
      </c>
      <c r="I103" s="32" t="n">
        <f aca="false">Players!I207*((1-Players!I209)*I$9+Players!I209*TK_NonNV_Hold_OAI*TK_CapexFacility_VR200)</f>
        <v>14.9235403308672</v>
      </c>
      <c r="J103" s="32" t="n">
        <f aca="false">Players!J207*((1-Players!J209)*J$9+Players!J209*TK_NonNV_Hold_OAI*TK_CapexFacility_VR200)</f>
        <v>13.7653381019809</v>
      </c>
      <c r="K103" s="32" t="n">
        <f aca="false">Players!K207*((1-Players!K209)*K$9+Players!K209*TK_NonNV_Hold_OAI*TK_CapexFacility_VR200)</f>
        <v>13.7653381019809</v>
      </c>
      <c r="L103" s="32" t="n">
        <f aca="false">Players!L207*((1-Players!L209)*L$9+Players!L209*TK_NonNV_Hold_OAI*TK_CapexFacility_VR200)</f>
        <v>13.7773183788321</v>
      </c>
      <c r="M103" s="32" t="n">
        <f aca="false">Players!M207*((1-Players!M209)*M$9+Players!M209*TK_NonNV_Hold_OAI*TK_CapexFacility_VR200)</f>
        <v>0</v>
      </c>
    </row>
    <row r="104" customFormat="false" ht="17.15" hidden="false" customHeight="false" outlineLevel="0" collapsed="false">
      <c r="A104" s="5" t="s">
        <v>1594</v>
      </c>
      <c r="C104" s="0" t="s">
        <v>390</v>
      </c>
      <c r="D104" s="32" t="n">
        <f aca="false">D103*$D$5+E103*$D$6+F103*$D$7</f>
        <v>0</v>
      </c>
      <c r="E104" s="32" t="n">
        <f aca="false">E103*$D$5+F103*$D$6+G103*$D$7</f>
        <v>0</v>
      </c>
      <c r="F104" s="32" t="n">
        <f aca="false">F103*$D$5+G103*$D$6+H103*$D$7</f>
        <v>1.84460582170122</v>
      </c>
      <c r="G104" s="32" t="n">
        <f aca="false">G103*$D$5+H103*$D$6+I103*$D$7</f>
        <v>9.3063759871348</v>
      </c>
      <c r="H104" s="32" t="n">
        <f aca="false">H103*$D$5+I103*$D$6+J103*$D$7</f>
        <v>14.344439216424</v>
      </c>
      <c r="I104" s="32" t="n">
        <f aca="false">I103*$D$5+J103*$D$6+K103*$D$7</f>
        <v>13.7653381019809</v>
      </c>
      <c r="J104" s="32" t="n">
        <f aca="false">J103*$D$5+K103*$D$6+L103*$D$7</f>
        <v>13.7713282404065</v>
      </c>
      <c r="K104" s="32" t="n">
        <f aca="false">K103*$D$5+L103*$D$6+M103*$D$7</f>
        <v>6.88865918941603</v>
      </c>
      <c r="L104" s="32" t="n">
        <f aca="false">L103*$D$5+M103*$D$6</f>
        <v>0</v>
      </c>
      <c r="M104" s="32" t="n">
        <f aca="false">M103*$D$5</f>
        <v>0</v>
      </c>
    </row>
    <row r="105" customFormat="false" ht="17.15" hidden="false" customHeight="false" outlineLevel="0" collapsed="false">
      <c r="A105" s="5" t="s">
        <v>1595</v>
      </c>
      <c r="C105" s="0" t="s">
        <v>390</v>
      </c>
      <c r="D105" s="32" t="n">
        <f aca="false">D102+D104</f>
        <v>0</v>
      </c>
      <c r="E105" s="32" t="n">
        <f aca="false">E102+E104</f>
        <v>0</v>
      </c>
      <c r="F105" s="32" t="n">
        <f aca="false">F102+F104</f>
        <v>1.84460582170122</v>
      </c>
      <c r="G105" s="32" t="n">
        <f aca="false">G102+G104</f>
        <v>9.3063759871348</v>
      </c>
      <c r="H105" s="32" t="n">
        <f aca="false">H102+H104</f>
        <v>25.4575349911467</v>
      </c>
      <c r="I105" s="32" t="n">
        <f aca="false">I102+I104</f>
        <v>61.4435215799864</v>
      </c>
      <c r="J105" s="32" t="n">
        <f aca="false">J102+J104</f>
        <v>57.7399115251342</v>
      </c>
      <c r="K105" s="32" t="n">
        <f aca="false">K102+K104</f>
        <v>50.8572424741437</v>
      </c>
      <c r="L105" s="32" t="n">
        <f aca="false">L102+L104</f>
        <v>44.0068501109111</v>
      </c>
      <c r="M105" s="32" t="n">
        <f aca="false">M102+M104</f>
        <v>0</v>
      </c>
    </row>
    <row r="106" customFormat="false" ht="17.15" hidden="false" customHeight="false" outlineLevel="0" collapsed="false">
      <c r="A106" s="5" t="s">
        <v>1596</v>
      </c>
      <c r="C106" s="0" t="s">
        <v>390</v>
      </c>
      <c r="D106" s="32" t="n">
        <f aca="false">D105*12/12+N(In!H149)</f>
        <v>0</v>
      </c>
      <c r="E106" s="32" t="n">
        <f aca="false">E105*12/12+D105*(12-12)/12+N(In!I149)</f>
        <v>0</v>
      </c>
      <c r="F106" s="32" t="n">
        <f aca="false">F105*12/12+E105*(12-12)/12+N(In!J149)</f>
        <v>1.84460582170122</v>
      </c>
      <c r="G106" s="32" t="n">
        <f aca="false">G105*12/12+F105*(12-12)/12+N(In!K149)</f>
        <v>9.3063759871348</v>
      </c>
      <c r="H106" s="32" t="n">
        <f aca="false">H105*12/12+G105*(12-12)/12+N(In!L149)</f>
        <v>25.4575349911467</v>
      </c>
      <c r="I106" s="32" t="n">
        <f aca="false">I105*12/12+H105*(12-12)/12+N(In!M149)</f>
        <v>61.4435215799864</v>
      </c>
      <c r="J106" s="32" t="n">
        <f aca="false">J105*12/12+I105*(12-12)/12+N(In!N149)</f>
        <v>57.7399115251342</v>
      </c>
      <c r="K106" s="32" t="n">
        <f aca="false">K105*12/12+J105*(12-12)/12+N(In!O149)</f>
        <v>50.8572424741437</v>
      </c>
      <c r="L106" s="32" t="n">
        <f aca="false">L105*12/12+K105*(12-12)/12+N(In!P149)</f>
        <v>44.0068501109111</v>
      </c>
      <c r="M106" s="32" t="n">
        <f aca="false">M105*12/12+L105*(12-12)/12+N(In!Q149)</f>
        <v>0</v>
      </c>
    </row>
    <row r="107" customFormat="false" ht="17.15" hidden="false" customHeight="false" outlineLevel="0" collapsed="false">
      <c r="A107" s="5" t="s">
        <v>1597</v>
      </c>
      <c r="C107" s="0" t="s">
        <v>390</v>
      </c>
      <c r="D107" s="19" t="str">
        <f aca="false">IF(In!H133="","",In!H133)</f>
        <v/>
      </c>
      <c r="E107" s="19" t="str">
        <f aca="false">IF(In!I133="","",In!I133)</f>
        <v/>
      </c>
      <c r="F107" s="19" t="str">
        <f aca="false">IF(In!J133="","",In!J133)</f>
        <v/>
      </c>
      <c r="G107" s="19" t="str">
        <f aca="false">IF(In!K133="","",In!K133)</f>
        <v/>
      </c>
      <c r="H107" s="19" t="str">
        <f aca="false">IF(In!L133="","",In!L133)</f>
        <v/>
      </c>
      <c r="I107" s="19" t="str">
        <f aca="false">IF(In!M133="","",In!M133)</f>
        <v/>
      </c>
      <c r="J107" s="19" t="str">
        <f aca="false">IF(In!N133="","",In!N133)</f>
        <v/>
      </c>
      <c r="K107" s="19" t="str">
        <f aca="false">IF(In!O133="","",In!O133)</f>
        <v/>
      </c>
      <c r="L107" s="19" t="str">
        <f aca="false">IF(In!P133="","",In!P133)</f>
        <v/>
      </c>
      <c r="M107" s="19" t="str">
        <f aca="false">IF(In!Q133="","",In!Q133)</f>
        <v/>
      </c>
    </row>
    <row r="108" customFormat="false" ht="17.15" hidden="false" customHeight="false" outlineLevel="0" collapsed="false">
      <c r="A108" s="5" t="s">
        <v>1598</v>
      </c>
      <c r="C108" s="0" t="s">
        <v>36</v>
      </c>
      <c r="D108" s="29" t="str">
        <f aca="false">IF(OR(D107="",N(D107)=0),"",D106/D107)</f>
        <v/>
      </c>
      <c r="E108" s="29" t="str">
        <f aca="false">IF(OR(E107="",N(E107)=0),"",E106/E107)</f>
        <v/>
      </c>
      <c r="F108" s="29" t="str">
        <f aca="false">IF(OR(F107="",N(F107)=0),"",F106/F107)</f>
        <v/>
      </c>
      <c r="G108" s="29" t="str">
        <f aca="false">IF(OR(G107="",N(G107)=0),"",G106/G107)</f>
        <v/>
      </c>
      <c r="H108" s="29" t="str">
        <f aca="false">IF(OR(H107="",N(H107)=0),"",H106/H107)</f>
        <v/>
      </c>
      <c r="I108" s="29" t="str">
        <f aca="false">IF(OR(I107="",N(I107)=0),"",I106/I107)</f>
        <v/>
      </c>
      <c r="J108" s="29" t="str">
        <f aca="false">IF(OR(J107="",N(J107)=0),"",J106/J107)</f>
        <v/>
      </c>
      <c r="K108" s="29" t="str">
        <f aca="false">IF(OR(K107="",N(K107)=0),"",K106/K107)</f>
        <v/>
      </c>
      <c r="L108" s="29" t="str">
        <f aca="false">IF(OR(L107="",N(L107)=0),"",L106/L107)</f>
        <v/>
      </c>
      <c r="M108" s="29" t="str">
        <f aca="false">IF(OR(M107="",N(M107)=0),"",M106/M107)</f>
        <v/>
      </c>
    </row>
    <row r="109" customFormat="false" ht="15" hidden="false" customHeight="false" outlineLevel="0" collapsed="false">
      <c r="A109" s="5" t="s">
        <v>1599</v>
      </c>
      <c r="C109" s="0" t="s">
        <v>35</v>
      </c>
      <c r="D109" s="0" t="str">
        <f aca="false">IF(D108="","無個股值",IF(D106=0,"瓦帳無新增",IF(AND(In!$E$133="Verified",FALSE()),IF(ABS(D108-1)&lt;=tolband,"對得上","偏差"),"證據不足（"&amp;IF(ABS(D108-1)&lt;=tolband,"帶內","帶外")&amp;"）")))</f>
        <v>無個股值</v>
      </c>
      <c r="E109" s="0" t="str">
        <f aca="false">IF(E108="","無個股值",IF(E106=0,"瓦帳無新增",IF(AND(In!$E$133="Verified",FALSE()),IF(ABS(E108-1)&lt;=tolband,"對得上","偏差"),"證據不足（"&amp;IF(ABS(E108-1)&lt;=tolband,"帶內","帶外")&amp;"）")))</f>
        <v>無個股值</v>
      </c>
      <c r="F109" s="0" t="str">
        <f aca="false">IF(F108="","無個股值",IF(F106=0,"瓦帳無新增",IF(AND(In!$E$133="Verified",FALSE()),IF(ABS(F108-1)&lt;=tolband,"對得上","偏差"),"證據不足（"&amp;IF(ABS(F108-1)&lt;=tolband,"帶內","帶外")&amp;"）")))</f>
        <v>無個股值</v>
      </c>
      <c r="G109" s="0" t="str">
        <f aca="false">IF(G108="","無個股值",IF(G106=0,"瓦帳無新增",IF(AND(In!$E$133="Verified",FALSE()),IF(ABS(G108-1)&lt;=tolband,"對得上","偏差"),"證據不足（"&amp;IF(ABS(G108-1)&lt;=tolband,"帶內","帶外")&amp;"）")))</f>
        <v>無個股值</v>
      </c>
      <c r="H109" s="0" t="str">
        <f aca="false">IF(H108="","無個股值",IF(H106=0,"瓦帳無新增",IF(AND(In!$E$133="Verified",FALSE()),IF(ABS(H108-1)&lt;=tolband,"對得上","偏差"),"證據不足（"&amp;IF(ABS(H108-1)&lt;=tolband,"帶內","帶外")&amp;"）")))</f>
        <v>無個股值</v>
      </c>
      <c r="I109" s="0" t="str">
        <f aca="false">IF(I108="","無個股值",IF(I106=0,"瓦帳無新增",IF(AND(In!$E$133="Verified",FALSE()),IF(ABS(I108-1)&lt;=tolband,"對得上","偏差"),"證據不足（"&amp;IF(ABS(I108-1)&lt;=tolband,"帶內","帶外")&amp;"）")))</f>
        <v>無個股值</v>
      </c>
      <c r="J109" s="0" t="str">
        <f aca="false">IF(J108="","無個股值",IF(J106=0,"瓦帳無新增",IF(AND(In!$E$133="Verified",FALSE()),IF(ABS(J108-1)&lt;=tolband,"對得上","偏差"),"證據不足（"&amp;IF(ABS(J108-1)&lt;=tolband,"帶內","帶外")&amp;"）")))</f>
        <v>無個股值</v>
      </c>
      <c r="K109" s="0" t="str">
        <f aca="false">IF(K108="","無個股值",IF(K106=0,"瓦帳無新增",IF(AND(In!$E$133="Verified",FALSE()),IF(ABS(K108-1)&lt;=tolband,"對得上","偏差"),"證據不足（"&amp;IF(ABS(K108-1)&lt;=tolband,"帶內","帶外")&amp;"）")))</f>
        <v>無個股值</v>
      </c>
      <c r="L109" s="0" t="str">
        <f aca="false">IF(L108="","無個股值",IF(L106=0,"瓦帳無新增",IF(AND(In!$E$133="Verified",FALSE()),IF(ABS(L108-1)&lt;=tolband,"對得上","偏差"),"證據不足（"&amp;IF(ABS(L108-1)&lt;=tolband,"帶內","帶外")&amp;"）")))</f>
        <v>無個股值</v>
      </c>
      <c r="M109" s="0" t="str">
        <f aca="false">IF(M108="","無個股值",IF(M106=0,"瓦帳無新增",IF(AND(In!$E$133="Verified",FALSE()),IF(ABS(M108-1)&lt;=tolband,"對得上","偏差"),"證據不足（"&amp;IF(ABS(M108-1)&lt;=tolband,"帶內","帶外")&amp;"）")))</f>
        <v>無個股值</v>
      </c>
    </row>
    <row r="111" customFormat="false" ht="17.15" hidden="false" customHeight="false" outlineLevel="0" collapsed="false">
      <c r="A111" s="8" t="s">
        <v>1172</v>
      </c>
      <c r="B111" s="20" t="s">
        <v>515</v>
      </c>
      <c r="N111" s="5" t="s">
        <v>1608</v>
      </c>
    </row>
    <row r="112" customFormat="false" ht="17.15" hidden="false" customHeight="false" outlineLevel="0" collapsed="false">
      <c r="A112" s="5" t="s">
        <v>1592</v>
      </c>
      <c r="C112" s="0" t="s">
        <v>390</v>
      </c>
      <c r="D112" s="32" t="n">
        <f aca="false">Players!D226*((1-Players!D228)*D$8+Players!D228*TK_NonNV_Hold_TPU*TK_CapexIT_VR200)</f>
        <v>0</v>
      </c>
      <c r="E112" s="32" t="n">
        <f aca="false">Players!E226*((1-Players!E228)*E$8+Players!E228*TK_NonNV_Hold_TPU*TK_CapexIT_VR200)</f>
        <v>0</v>
      </c>
      <c r="F112" s="32" t="n">
        <f aca="false">Players!F226*((1-Players!F228)*F$8+Players!F228*TK_NonNV_Hold_TPU*TK_CapexIT_VR200)</f>
        <v>0</v>
      </c>
      <c r="G112" s="32" t="n">
        <f aca="false">Players!G226*((1-Players!G228)*G$8+Players!G228*TK_NonNV_Hold_TPU*TK_CapexIT_VR200)</f>
        <v>0</v>
      </c>
      <c r="H112" s="32" t="n">
        <f aca="false">Players!H226*((1-Players!H228)*H$8+Players!H228*TK_NonNV_Hold_TPU*TK_CapexIT_VR200)</f>
        <v>0</v>
      </c>
      <c r="I112" s="32" t="n">
        <f aca="false">Players!I226*((1-Players!I228)*I$8+Players!I228*TK_NonNV_Hold_TPU*TK_CapexIT_VR200)</f>
        <v>0</v>
      </c>
      <c r="J112" s="32" t="n">
        <f aca="false">Players!J226*((1-Players!J228)*J$8+Players!J228*TK_NonNV_Hold_TPU*TK_CapexIT_VR200)</f>
        <v>0</v>
      </c>
      <c r="K112" s="32" t="n">
        <f aca="false">Players!K226*((1-Players!K228)*K$8+Players!K228*TK_NonNV_Hold_TPU*TK_CapexIT_VR200)</f>
        <v>0</v>
      </c>
      <c r="L112" s="32" t="n">
        <f aca="false">Players!L226*((1-Players!L228)*L$8+Players!L228*TK_NonNV_Hold_TPU*TK_CapexIT_VR200)</f>
        <v>0</v>
      </c>
      <c r="M112" s="32" t="n">
        <f aca="false">Players!M226*((1-Players!M228)*M$8+Players!M228*TK_NonNV_Hold_TPU*TK_CapexIT_VR200)</f>
        <v>0</v>
      </c>
    </row>
    <row r="113" customFormat="false" ht="15" hidden="false" customHeight="false" outlineLevel="0" collapsed="false">
      <c r="A113" s="5" t="s">
        <v>1593</v>
      </c>
      <c r="C113" s="0" t="s">
        <v>390</v>
      </c>
      <c r="D113" s="32" t="n">
        <f aca="false">Players!D226*((1-Players!D228)*D$9+Players!D228*TK_NonNV_Hold_TPU*TK_CapexFacility_VR200)</f>
        <v>0</v>
      </c>
      <c r="E113" s="32" t="n">
        <f aca="false">Players!E226*((1-Players!E228)*E$9+Players!E228*TK_NonNV_Hold_TPU*TK_CapexFacility_VR200)</f>
        <v>0</v>
      </c>
      <c r="F113" s="32" t="n">
        <f aca="false">Players!F226*((1-Players!F228)*F$9+Players!F228*TK_NonNV_Hold_TPU*TK_CapexFacility_VR200)</f>
        <v>0</v>
      </c>
      <c r="G113" s="32" t="n">
        <f aca="false">Players!G226*((1-Players!G228)*G$9+Players!G228*TK_NonNV_Hold_TPU*TK_CapexFacility_VR200)</f>
        <v>0</v>
      </c>
      <c r="H113" s="32" t="n">
        <f aca="false">Players!H226*((1-Players!H228)*H$9+Players!H228*TK_NonNV_Hold_TPU*TK_CapexFacility_VR200)</f>
        <v>0</v>
      </c>
      <c r="I113" s="32" t="n">
        <f aca="false">Players!I226*((1-Players!I228)*I$9+Players!I228*TK_NonNV_Hold_TPU*TK_CapexFacility_VR200)</f>
        <v>0</v>
      </c>
      <c r="J113" s="32" t="n">
        <f aca="false">Players!J226*((1-Players!J228)*J$9+Players!J228*TK_NonNV_Hold_TPU*TK_CapexFacility_VR200)</f>
        <v>0</v>
      </c>
      <c r="K113" s="32" t="n">
        <f aca="false">Players!K226*((1-Players!K228)*K$9+Players!K228*TK_NonNV_Hold_TPU*TK_CapexFacility_VR200)</f>
        <v>0</v>
      </c>
      <c r="L113" s="32" t="n">
        <f aca="false">Players!L226*((1-Players!L228)*L$9+Players!L228*TK_NonNV_Hold_TPU*TK_CapexFacility_VR200)</f>
        <v>0</v>
      </c>
      <c r="M113" s="32" t="n">
        <f aca="false">Players!M226*((1-Players!M228)*M$9+Players!M228*TK_NonNV_Hold_TPU*TK_CapexFacility_VR200)</f>
        <v>0</v>
      </c>
    </row>
    <row r="114" customFormat="false" ht="17.15" hidden="false" customHeight="false" outlineLevel="0" collapsed="false">
      <c r="A114" s="5" t="s">
        <v>1594</v>
      </c>
      <c r="C114" s="0" t="s">
        <v>390</v>
      </c>
      <c r="D114" s="32" t="n">
        <f aca="false">D113*$D$5+E113*$D$6+F113*$D$7</f>
        <v>0</v>
      </c>
      <c r="E114" s="32" t="n">
        <f aca="false">E113*$D$5+F113*$D$6+G113*$D$7</f>
        <v>0</v>
      </c>
      <c r="F114" s="32" t="n">
        <f aca="false">F113*$D$5+G113*$D$6+H113*$D$7</f>
        <v>0</v>
      </c>
      <c r="G114" s="32" t="n">
        <f aca="false">G113*$D$5+H113*$D$6+I113*$D$7</f>
        <v>0</v>
      </c>
      <c r="H114" s="32" t="n">
        <f aca="false">H113*$D$5+I113*$D$6+J113*$D$7</f>
        <v>0</v>
      </c>
      <c r="I114" s="32" t="n">
        <f aca="false">I113*$D$5+J113*$D$6+K113*$D$7</f>
        <v>0</v>
      </c>
      <c r="J114" s="32" t="n">
        <f aca="false">J113*$D$5+K113*$D$6+L113*$D$7</f>
        <v>0</v>
      </c>
      <c r="K114" s="32" t="n">
        <f aca="false">K113*$D$5+L113*$D$6+M113*$D$7</f>
        <v>0</v>
      </c>
      <c r="L114" s="32" t="n">
        <f aca="false">L113*$D$5+M113*$D$6</f>
        <v>0</v>
      </c>
      <c r="M114" s="32" t="n">
        <f aca="false">M113*$D$5</f>
        <v>0</v>
      </c>
    </row>
    <row r="115" customFormat="false" ht="17.15" hidden="false" customHeight="false" outlineLevel="0" collapsed="false">
      <c r="A115" s="5" t="s">
        <v>1595</v>
      </c>
      <c r="C115" s="0" t="s">
        <v>390</v>
      </c>
      <c r="D115" s="32" t="n">
        <f aca="false">D112+D114</f>
        <v>0</v>
      </c>
      <c r="E115" s="32" t="n">
        <f aca="false">E112+E114</f>
        <v>0</v>
      </c>
      <c r="F115" s="32" t="n">
        <f aca="false">F112+F114</f>
        <v>0</v>
      </c>
      <c r="G115" s="32" t="n">
        <f aca="false">G112+G114</f>
        <v>0</v>
      </c>
      <c r="H115" s="32" t="n">
        <f aca="false">H112+H114</f>
        <v>0</v>
      </c>
      <c r="I115" s="32" t="n">
        <f aca="false">I112+I114</f>
        <v>0</v>
      </c>
      <c r="J115" s="32" t="n">
        <f aca="false">J112+J114</f>
        <v>0</v>
      </c>
      <c r="K115" s="32" t="n">
        <f aca="false">K112+K114</f>
        <v>0</v>
      </c>
      <c r="L115" s="32" t="n">
        <f aca="false">L112+L114</f>
        <v>0</v>
      </c>
      <c r="M115" s="32" t="n">
        <f aca="false">M112+M114</f>
        <v>0</v>
      </c>
    </row>
    <row r="116" customFormat="false" ht="17.15" hidden="false" customHeight="false" outlineLevel="0" collapsed="false">
      <c r="A116" s="5" t="s">
        <v>1596</v>
      </c>
      <c r="C116" s="0" t="s">
        <v>390</v>
      </c>
      <c r="D116" s="32" t="n">
        <f aca="false">D115*12/12+N(In!H150)</f>
        <v>0</v>
      </c>
      <c r="E116" s="32" t="n">
        <f aca="false">E115*12/12+D115*(12-12)/12+N(In!I150)</f>
        <v>0</v>
      </c>
      <c r="F116" s="32" t="n">
        <f aca="false">F115*12/12+E115*(12-12)/12+N(In!J150)</f>
        <v>0</v>
      </c>
      <c r="G116" s="32" t="n">
        <f aca="false">G115*12/12+F115*(12-12)/12+N(In!K150)</f>
        <v>0</v>
      </c>
      <c r="H116" s="32" t="n">
        <f aca="false">H115*12/12+G115*(12-12)/12+N(In!L150)</f>
        <v>0</v>
      </c>
      <c r="I116" s="32" t="n">
        <f aca="false">I115*12/12+H115*(12-12)/12+N(In!M150)</f>
        <v>0</v>
      </c>
      <c r="J116" s="32" t="n">
        <f aca="false">J115*12/12+I115*(12-12)/12+N(In!N150)</f>
        <v>0</v>
      </c>
      <c r="K116" s="32" t="n">
        <f aca="false">K115*12/12+J115*(12-12)/12+N(In!O150)</f>
        <v>0</v>
      </c>
      <c r="L116" s="32" t="n">
        <f aca="false">L115*12/12+K115*(12-12)/12+N(In!P150)</f>
        <v>0</v>
      </c>
      <c r="M116" s="32" t="n">
        <f aca="false">M115*12/12+L115*(12-12)/12+N(In!Q150)</f>
        <v>0</v>
      </c>
    </row>
    <row r="117" customFormat="false" ht="17.15" hidden="false" customHeight="false" outlineLevel="0" collapsed="false">
      <c r="A117" s="5" t="s">
        <v>1597</v>
      </c>
      <c r="C117" s="0" t="s">
        <v>390</v>
      </c>
      <c r="D117" s="19" t="str">
        <f aca="false">IF(In!H134="","",In!H134)</f>
        <v/>
      </c>
      <c r="E117" s="19" t="str">
        <f aca="false">IF(In!I134="","",In!I134)</f>
        <v/>
      </c>
      <c r="F117" s="19" t="str">
        <f aca="false">IF(In!J134="","",In!J134)</f>
        <v/>
      </c>
      <c r="G117" s="19" t="str">
        <f aca="false">IF(In!K134="","",In!K134)</f>
        <v/>
      </c>
      <c r="H117" s="19" t="str">
        <f aca="false">IF(In!L134="","",In!L134)</f>
        <v/>
      </c>
      <c r="I117" s="19" t="str">
        <f aca="false">IF(In!M134="","",In!M134)</f>
        <v/>
      </c>
      <c r="J117" s="19" t="str">
        <f aca="false">IF(In!N134="","",In!N134)</f>
        <v/>
      </c>
      <c r="K117" s="19" t="str">
        <f aca="false">IF(In!O134="","",In!O134)</f>
        <v/>
      </c>
      <c r="L117" s="19" t="str">
        <f aca="false">IF(In!P134="","",In!P134)</f>
        <v/>
      </c>
      <c r="M117" s="19" t="str">
        <f aca="false">IF(In!Q134="","",In!Q134)</f>
        <v/>
      </c>
    </row>
    <row r="118" customFormat="false" ht="17.15" hidden="false" customHeight="false" outlineLevel="0" collapsed="false">
      <c r="A118" s="5" t="s">
        <v>1598</v>
      </c>
      <c r="C118" s="0" t="s">
        <v>36</v>
      </c>
      <c r="D118" s="29" t="str">
        <f aca="false">IF(OR(D117="",N(D117)=0),"",D116/D117)</f>
        <v/>
      </c>
      <c r="E118" s="29" t="str">
        <f aca="false">IF(OR(E117="",N(E117)=0),"",E116/E117)</f>
        <v/>
      </c>
      <c r="F118" s="29" t="str">
        <f aca="false">IF(OR(F117="",N(F117)=0),"",F116/F117)</f>
        <v/>
      </c>
      <c r="G118" s="29" t="str">
        <f aca="false">IF(OR(G117="",N(G117)=0),"",G116/G117)</f>
        <v/>
      </c>
      <c r="H118" s="29" t="str">
        <f aca="false">IF(OR(H117="",N(H117)=0),"",H116/H117)</f>
        <v/>
      </c>
      <c r="I118" s="29" t="str">
        <f aca="false">IF(OR(I117="",N(I117)=0),"",I116/I117)</f>
        <v/>
      </c>
      <c r="J118" s="29" t="str">
        <f aca="false">IF(OR(J117="",N(J117)=0),"",J116/J117)</f>
        <v/>
      </c>
      <c r="K118" s="29" t="str">
        <f aca="false">IF(OR(K117="",N(K117)=0),"",K116/K117)</f>
        <v/>
      </c>
      <c r="L118" s="29" t="str">
        <f aca="false">IF(OR(L117="",N(L117)=0),"",L116/L117)</f>
        <v/>
      </c>
      <c r="M118" s="29" t="str">
        <f aca="false">IF(OR(M117="",N(M117)=0),"",M116/M117)</f>
        <v/>
      </c>
    </row>
    <row r="119" customFormat="false" ht="15" hidden="false" customHeight="false" outlineLevel="0" collapsed="false">
      <c r="A119" s="5" t="s">
        <v>1599</v>
      </c>
      <c r="C119" s="0" t="s">
        <v>35</v>
      </c>
      <c r="D119" s="0" t="str">
        <f aca="false">IF(D118="","無個股值",IF(D116=0,"瓦帳無新增",IF(AND(In!$E$134="Verified",FALSE()),IF(ABS(D118-1)&lt;=tolband,"對得上","偏差"),"證據不足（"&amp;IF(ABS(D118-1)&lt;=tolband,"帶內","帶外")&amp;"）")))</f>
        <v>無個股值</v>
      </c>
      <c r="E119" s="0" t="str">
        <f aca="false">IF(E118="","無個股值",IF(E116=0,"瓦帳無新增",IF(AND(In!$E$134="Verified",FALSE()),IF(ABS(E118-1)&lt;=tolband,"對得上","偏差"),"證據不足（"&amp;IF(ABS(E118-1)&lt;=tolband,"帶內","帶外")&amp;"）")))</f>
        <v>無個股值</v>
      </c>
      <c r="F119" s="0" t="str">
        <f aca="false">IF(F118="","無個股值",IF(F116=0,"瓦帳無新增",IF(AND(In!$E$134="Verified",FALSE()),IF(ABS(F118-1)&lt;=tolband,"對得上","偏差"),"證據不足（"&amp;IF(ABS(F118-1)&lt;=tolband,"帶內","帶外")&amp;"）")))</f>
        <v>無個股值</v>
      </c>
      <c r="G119" s="0" t="str">
        <f aca="false">IF(G118="","無個股值",IF(G116=0,"瓦帳無新增",IF(AND(In!$E$134="Verified",FALSE()),IF(ABS(G118-1)&lt;=tolband,"對得上","偏差"),"證據不足（"&amp;IF(ABS(G118-1)&lt;=tolband,"帶內","帶外")&amp;"）")))</f>
        <v>無個股值</v>
      </c>
      <c r="H119" s="0" t="str">
        <f aca="false">IF(H118="","無個股值",IF(H116=0,"瓦帳無新增",IF(AND(In!$E$134="Verified",FALSE()),IF(ABS(H118-1)&lt;=tolband,"對得上","偏差"),"證據不足（"&amp;IF(ABS(H118-1)&lt;=tolband,"帶內","帶外")&amp;"）")))</f>
        <v>無個股值</v>
      </c>
      <c r="I119" s="0" t="str">
        <f aca="false">IF(I118="","無個股值",IF(I116=0,"瓦帳無新增",IF(AND(In!$E$134="Verified",FALSE()),IF(ABS(I118-1)&lt;=tolband,"對得上","偏差"),"證據不足（"&amp;IF(ABS(I118-1)&lt;=tolband,"帶內","帶外")&amp;"）")))</f>
        <v>無個股值</v>
      </c>
      <c r="J119" s="0" t="str">
        <f aca="false">IF(J118="","無個股值",IF(J116=0,"瓦帳無新增",IF(AND(In!$E$134="Verified",FALSE()),IF(ABS(J118-1)&lt;=tolband,"對得上","偏差"),"證據不足（"&amp;IF(ABS(J118-1)&lt;=tolband,"帶內","帶外")&amp;"）")))</f>
        <v>無個股值</v>
      </c>
      <c r="K119" s="0" t="str">
        <f aca="false">IF(K118="","無個股值",IF(K116=0,"瓦帳無新增",IF(AND(In!$E$134="Verified",FALSE()),IF(ABS(K118-1)&lt;=tolband,"對得上","偏差"),"證據不足（"&amp;IF(ABS(K118-1)&lt;=tolband,"帶內","帶外")&amp;"）")))</f>
        <v>無個股值</v>
      </c>
      <c r="L119" s="0" t="str">
        <f aca="false">IF(L118="","無個股值",IF(L116=0,"瓦帳無新增",IF(AND(In!$E$134="Verified",FALSE()),IF(ABS(L118-1)&lt;=tolband,"對得上","偏差"),"證據不足（"&amp;IF(ABS(L118-1)&lt;=tolband,"帶內","帶外")&amp;"）")))</f>
        <v>無個股值</v>
      </c>
      <c r="M119" s="0" t="str">
        <f aca="false">IF(M118="","無個股值",IF(M116=0,"瓦帳無新增",IF(AND(In!$E$134="Verified",FALSE()),IF(ABS(M118-1)&lt;=tolband,"對得上","偏差"),"證據不足（"&amp;IF(ABS(M118-1)&lt;=tolband,"帶內","帶外")&amp;"）")))</f>
        <v>無個股值</v>
      </c>
    </row>
    <row r="121" customFormat="false" ht="17.15" hidden="false" customHeight="false" outlineLevel="0" collapsed="false">
      <c r="A121" s="21" t="s">
        <v>1191</v>
      </c>
      <c r="B121" s="20" t="s">
        <v>545</v>
      </c>
      <c r="N121" s="5" t="s">
        <v>1608</v>
      </c>
    </row>
    <row r="122" customFormat="false" ht="17.15" hidden="false" customHeight="false" outlineLevel="0" collapsed="false">
      <c r="A122" s="5" t="s">
        <v>1592</v>
      </c>
      <c r="C122" s="0" t="s">
        <v>390</v>
      </c>
      <c r="D122" s="32" t="n">
        <f aca="false">Players!D245*((1-Players!D247)*D$8+Players!D247*TK_NonNV_Hold_AMD*TK_CapexIT_VR200)</f>
        <v>0</v>
      </c>
      <c r="E122" s="32" t="n">
        <f aca="false">Players!E245*((1-Players!E247)*E$8+Players!E247*TK_NonNV_Hold_AMD*TK_CapexIT_VR200)</f>
        <v>0</v>
      </c>
      <c r="F122" s="32" t="n">
        <f aca="false">Players!F245*((1-Players!F247)*F$8+Players!F247*TK_NonNV_Hold_AMD*TK_CapexIT_VR200)</f>
        <v>8.2271675159742</v>
      </c>
      <c r="G122" s="32" t="n">
        <f aca="false">Players!G245*((1-Players!G247)*G$8+Players!G247*TK_NonNV_Hold_AMD*TK_CapexIT_VR200)</f>
        <v>26.4519229073178</v>
      </c>
      <c r="H122" s="32" t="n">
        <f aca="false">Players!H245*((1-Players!H247)*H$8+Players!H247*TK_NonNV_Hold_AMD*TK_CapexIT_VR200)</f>
        <v>40.5103604911914</v>
      </c>
      <c r="I122" s="32" t="n">
        <f aca="false">Players!I245*((1-Players!I247)*I$8+Players!I247*TK_NonNV_Hold_AMD*TK_CapexIT_VR200)</f>
        <v>73.8410317807427</v>
      </c>
      <c r="J122" s="32" t="n">
        <f aca="false">Players!J245*((1-Players!J247)*J$8+Players!J247*TK_NonNV_Hold_AMD*TK_CapexIT_VR200)</f>
        <v>0</v>
      </c>
      <c r="K122" s="32" t="n">
        <f aca="false">Players!K245*((1-Players!K247)*K$8+Players!K247*TK_NonNV_Hold_AMD*TK_CapexIT_VR200)</f>
        <v>0</v>
      </c>
      <c r="L122" s="32" t="n">
        <f aca="false">Players!L245*((1-Players!L247)*L$8+Players!L247*TK_NonNV_Hold_AMD*TK_CapexIT_VR200)</f>
        <v>0</v>
      </c>
      <c r="M122" s="32" t="n">
        <f aca="false">Players!M245*((1-Players!M247)*M$8+Players!M247*TK_NonNV_Hold_AMD*TK_CapexIT_VR200)</f>
        <v>0</v>
      </c>
    </row>
    <row r="123" customFormat="false" ht="15" hidden="false" customHeight="false" outlineLevel="0" collapsed="false">
      <c r="A123" s="5" t="s">
        <v>1593</v>
      </c>
      <c r="C123" s="0" t="s">
        <v>390</v>
      </c>
      <c r="D123" s="32" t="n">
        <f aca="false">Players!D245*((1-Players!D247)*D$9+Players!D247*TK_NonNV_Hold_AMD*TK_CapexFacility_VR200)</f>
        <v>0</v>
      </c>
      <c r="E123" s="32" t="n">
        <f aca="false">Players!E245*((1-Players!E247)*E$9+Players!E247*TK_NonNV_Hold_AMD*TK_CapexFacility_VR200)</f>
        <v>0</v>
      </c>
      <c r="F123" s="32" t="n">
        <f aca="false">Players!F245*((1-Players!F247)*F$9+Players!F247*TK_NonNV_Hold_AMD*TK_CapexFacility_VR200)</f>
        <v>3.66518453020125</v>
      </c>
      <c r="G123" s="32" t="n">
        <f aca="false">Players!G245*((1-Players!G247)*G$9+Players!G247*TK_NonNV_Hold_AMD*TK_CapexFacility_VR200)</f>
        <v>9.77382541387001</v>
      </c>
      <c r="H123" s="32" t="n">
        <f aca="false">Players!H245*((1-Players!H247)*H$9+Players!H247*TK_NonNV_Hold_AMD*TK_CapexFacility_VR200)</f>
        <v>13.451123691347</v>
      </c>
      <c r="I123" s="32" t="n">
        <f aca="false">Players!I245*((1-Players!I247)*I$9+Players!I247*TK_NonNV_Hold_AMD*TK_CapexFacility_VR200)</f>
        <v>23.1358833732772</v>
      </c>
      <c r="J123" s="32" t="n">
        <f aca="false">Players!J245*((1-Players!J247)*J$9+Players!J247*TK_NonNV_Hold_AMD*TK_CapexFacility_VR200)</f>
        <v>0</v>
      </c>
      <c r="K123" s="32" t="n">
        <f aca="false">Players!K245*((1-Players!K247)*K$9+Players!K247*TK_NonNV_Hold_AMD*TK_CapexFacility_VR200)</f>
        <v>0</v>
      </c>
      <c r="L123" s="32" t="n">
        <f aca="false">Players!L245*((1-Players!L247)*L$9+Players!L247*TK_NonNV_Hold_AMD*TK_CapexFacility_VR200)</f>
        <v>0</v>
      </c>
      <c r="M123" s="32" t="n">
        <f aca="false">Players!M245*((1-Players!M247)*M$9+Players!M247*TK_NonNV_Hold_AMD*TK_CapexFacility_VR200)</f>
        <v>0</v>
      </c>
    </row>
    <row r="124" customFormat="false" ht="17.15" hidden="false" customHeight="false" outlineLevel="0" collapsed="false">
      <c r="A124" s="5" t="s">
        <v>1594</v>
      </c>
      <c r="C124" s="0" t="s">
        <v>390</v>
      </c>
      <c r="D124" s="32" t="n">
        <f aca="false">D123*$D$5+E123*$D$6+F123*$D$7</f>
        <v>1.83259226510063</v>
      </c>
      <c r="E124" s="32" t="n">
        <f aca="false">E123*$D$5+F123*$D$6+G123*$D$7</f>
        <v>6.71950497203563</v>
      </c>
      <c r="F124" s="32" t="n">
        <f aca="false">F123*$D$5+G123*$D$6+H123*$D$7</f>
        <v>11.6124745526085</v>
      </c>
      <c r="G124" s="32" t="n">
        <f aca="false">G123*$D$5+H123*$D$6+I123*$D$7</f>
        <v>18.2935035323121</v>
      </c>
      <c r="H124" s="32" t="n">
        <f aca="false">H123*$D$5+I123*$D$6+J123*$D$7</f>
        <v>11.5679416866386</v>
      </c>
      <c r="I124" s="32" t="n">
        <f aca="false">I123*$D$5+J123*$D$6+K123*$D$7</f>
        <v>0</v>
      </c>
      <c r="J124" s="32" t="n">
        <f aca="false">J123*$D$5+K123*$D$6+L123*$D$7</f>
        <v>0</v>
      </c>
      <c r="K124" s="32" t="n">
        <f aca="false">K123*$D$5+L123*$D$6+M123*$D$7</f>
        <v>0</v>
      </c>
      <c r="L124" s="32" t="n">
        <f aca="false">L123*$D$5+M123*$D$6</f>
        <v>0</v>
      </c>
      <c r="M124" s="32" t="n">
        <f aca="false">M123*$D$5</f>
        <v>0</v>
      </c>
    </row>
    <row r="125" customFormat="false" ht="17.15" hidden="false" customHeight="false" outlineLevel="0" collapsed="false">
      <c r="A125" s="5" t="s">
        <v>1595</v>
      </c>
      <c r="C125" s="0" t="s">
        <v>390</v>
      </c>
      <c r="D125" s="32" t="n">
        <f aca="false">D122+D124</f>
        <v>1.83259226510063</v>
      </c>
      <c r="E125" s="32" t="n">
        <f aca="false">E122+E124</f>
        <v>6.71950497203563</v>
      </c>
      <c r="F125" s="32" t="n">
        <f aca="false">F122+F124</f>
        <v>19.8396420685827</v>
      </c>
      <c r="G125" s="32" t="n">
        <f aca="false">G122+G124</f>
        <v>44.7454264396299</v>
      </c>
      <c r="H125" s="32" t="n">
        <f aca="false">H122+H124</f>
        <v>52.07830217783</v>
      </c>
      <c r="I125" s="32" t="n">
        <f aca="false">I122+I124</f>
        <v>73.8410317807427</v>
      </c>
      <c r="J125" s="32" t="n">
        <f aca="false">J122+J124</f>
        <v>0</v>
      </c>
      <c r="K125" s="32" t="n">
        <f aca="false">K122+K124</f>
        <v>0</v>
      </c>
      <c r="L125" s="32" t="n">
        <f aca="false">L122+L124</f>
        <v>0</v>
      </c>
      <c r="M125" s="32" t="n">
        <f aca="false">M122+M124</f>
        <v>0</v>
      </c>
    </row>
    <row r="126" customFormat="false" ht="17.15" hidden="false" customHeight="false" outlineLevel="0" collapsed="false">
      <c r="A126" s="5" t="s">
        <v>1596</v>
      </c>
      <c r="C126" s="0" t="s">
        <v>390</v>
      </c>
      <c r="D126" s="32" t="n">
        <f aca="false">D125*12/12+N(In!H151)</f>
        <v>1.83259226510063</v>
      </c>
      <c r="E126" s="32" t="n">
        <f aca="false">E125*12/12+D125*(12-12)/12+N(In!I151)</f>
        <v>6.71950497203563</v>
      </c>
      <c r="F126" s="32" t="n">
        <f aca="false">F125*12/12+E125*(12-12)/12+N(In!J151)</f>
        <v>19.8396420685827</v>
      </c>
      <c r="G126" s="32" t="n">
        <f aca="false">G125*12/12+F125*(12-12)/12+N(In!K151)</f>
        <v>44.7454264396299</v>
      </c>
      <c r="H126" s="32" t="n">
        <f aca="false">H125*12/12+G125*(12-12)/12+N(In!L151)</f>
        <v>52.07830217783</v>
      </c>
      <c r="I126" s="32" t="n">
        <f aca="false">I125*12/12+H125*(12-12)/12+N(In!M151)</f>
        <v>73.8410317807427</v>
      </c>
      <c r="J126" s="32" t="n">
        <f aca="false">J125*12/12+I125*(12-12)/12+N(In!N151)</f>
        <v>0</v>
      </c>
      <c r="K126" s="32" t="n">
        <f aca="false">K125*12/12+J125*(12-12)/12+N(In!O151)</f>
        <v>0</v>
      </c>
      <c r="L126" s="32" t="n">
        <f aca="false">L125*12/12+K125*(12-12)/12+N(In!P151)</f>
        <v>0</v>
      </c>
      <c r="M126" s="32" t="n">
        <f aca="false">M125*12/12+L125*(12-12)/12+N(In!Q151)</f>
        <v>0</v>
      </c>
    </row>
    <row r="127" customFormat="false" ht="17.15" hidden="false" customHeight="false" outlineLevel="0" collapsed="false">
      <c r="A127" s="5" t="s">
        <v>1597</v>
      </c>
      <c r="C127" s="0" t="s">
        <v>390</v>
      </c>
      <c r="D127" s="19" t="str">
        <f aca="false">IF(In!H135="","",In!H135)</f>
        <v/>
      </c>
      <c r="E127" s="19" t="str">
        <f aca="false">IF(In!I135="","",In!I135)</f>
        <v/>
      </c>
      <c r="F127" s="19" t="str">
        <f aca="false">IF(In!J135="","",In!J135)</f>
        <v/>
      </c>
      <c r="G127" s="19" t="str">
        <f aca="false">IF(In!K135="","",In!K135)</f>
        <v/>
      </c>
      <c r="H127" s="19" t="str">
        <f aca="false">IF(In!L135="","",In!L135)</f>
        <v/>
      </c>
      <c r="I127" s="19" t="str">
        <f aca="false">IF(In!M135="","",In!M135)</f>
        <v/>
      </c>
      <c r="J127" s="19" t="str">
        <f aca="false">IF(In!N135="","",In!N135)</f>
        <v/>
      </c>
      <c r="K127" s="19" t="str">
        <f aca="false">IF(In!O135="","",In!O135)</f>
        <v/>
      </c>
      <c r="L127" s="19" t="str">
        <f aca="false">IF(In!P135="","",In!P135)</f>
        <v/>
      </c>
      <c r="M127" s="19" t="str">
        <f aca="false">IF(In!Q135="","",In!Q135)</f>
        <v/>
      </c>
    </row>
    <row r="128" customFormat="false" ht="17.15" hidden="false" customHeight="false" outlineLevel="0" collapsed="false">
      <c r="A128" s="5" t="s">
        <v>1598</v>
      </c>
      <c r="C128" s="0" t="s">
        <v>36</v>
      </c>
      <c r="D128" s="29" t="str">
        <f aca="false">IF(OR(D127="",N(D127)=0),"",D126/D127)</f>
        <v/>
      </c>
      <c r="E128" s="29" t="str">
        <f aca="false">IF(OR(E127="",N(E127)=0),"",E126/E127)</f>
        <v/>
      </c>
      <c r="F128" s="29" t="str">
        <f aca="false">IF(OR(F127="",N(F127)=0),"",F126/F127)</f>
        <v/>
      </c>
      <c r="G128" s="29" t="str">
        <f aca="false">IF(OR(G127="",N(G127)=0),"",G126/G127)</f>
        <v/>
      </c>
      <c r="H128" s="29" t="str">
        <f aca="false">IF(OR(H127="",N(H127)=0),"",H126/H127)</f>
        <v/>
      </c>
      <c r="I128" s="29" t="str">
        <f aca="false">IF(OR(I127="",N(I127)=0),"",I126/I127)</f>
        <v/>
      </c>
      <c r="J128" s="29" t="str">
        <f aca="false">IF(OR(J127="",N(J127)=0),"",J126/J127)</f>
        <v/>
      </c>
      <c r="K128" s="29" t="str">
        <f aca="false">IF(OR(K127="",N(K127)=0),"",K126/K127)</f>
        <v/>
      </c>
      <c r="L128" s="29" t="str">
        <f aca="false">IF(OR(L127="",N(L127)=0),"",L126/L127)</f>
        <v/>
      </c>
      <c r="M128" s="29" t="str">
        <f aca="false">IF(OR(M127="",N(M127)=0),"",M126/M127)</f>
        <v/>
      </c>
    </row>
    <row r="129" customFormat="false" ht="15" hidden="false" customHeight="false" outlineLevel="0" collapsed="false">
      <c r="A129" s="5" t="s">
        <v>1599</v>
      </c>
      <c r="C129" s="0" t="s">
        <v>35</v>
      </c>
      <c r="D129" s="0" t="str">
        <f aca="false">IF(D128="","無個股值",IF(D126=0,"瓦帳無新增",IF(AND(In!$E$135="Verified",FALSE()),IF(ABS(D128-1)&lt;=tolband,"對得上","偏差"),"證據不足（"&amp;IF(ABS(D128-1)&lt;=tolband,"帶內","帶外")&amp;"）")))</f>
        <v>無個股值</v>
      </c>
      <c r="E129" s="0" t="str">
        <f aca="false">IF(E128="","無個股值",IF(E126=0,"瓦帳無新增",IF(AND(In!$E$135="Verified",FALSE()),IF(ABS(E128-1)&lt;=tolband,"對得上","偏差"),"證據不足（"&amp;IF(ABS(E128-1)&lt;=tolband,"帶內","帶外")&amp;"）")))</f>
        <v>無個股值</v>
      </c>
      <c r="F129" s="0" t="str">
        <f aca="false">IF(F128="","無個股值",IF(F126=0,"瓦帳無新增",IF(AND(In!$E$135="Verified",FALSE()),IF(ABS(F128-1)&lt;=tolband,"對得上","偏差"),"證據不足（"&amp;IF(ABS(F128-1)&lt;=tolband,"帶內","帶外")&amp;"）")))</f>
        <v>無個股值</v>
      </c>
      <c r="G129" s="0" t="str">
        <f aca="false">IF(G128="","無個股值",IF(G126=0,"瓦帳無新增",IF(AND(In!$E$135="Verified",FALSE()),IF(ABS(G128-1)&lt;=tolband,"對得上","偏差"),"證據不足（"&amp;IF(ABS(G128-1)&lt;=tolband,"帶內","帶外")&amp;"）")))</f>
        <v>無個股值</v>
      </c>
      <c r="H129" s="0" t="str">
        <f aca="false">IF(H128="","無個股值",IF(H126=0,"瓦帳無新增",IF(AND(In!$E$135="Verified",FALSE()),IF(ABS(H128-1)&lt;=tolband,"對得上","偏差"),"證據不足（"&amp;IF(ABS(H128-1)&lt;=tolband,"帶內","帶外")&amp;"）")))</f>
        <v>無個股值</v>
      </c>
      <c r="I129" s="0" t="str">
        <f aca="false">IF(I128="","無個股值",IF(I126=0,"瓦帳無新增",IF(AND(In!$E$135="Verified",FALSE()),IF(ABS(I128-1)&lt;=tolband,"對得上","偏差"),"證據不足（"&amp;IF(ABS(I128-1)&lt;=tolband,"帶內","帶外")&amp;"）")))</f>
        <v>無個股值</v>
      </c>
      <c r="J129" s="0" t="str">
        <f aca="false">IF(J128="","無個股值",IF(J126=0,"瓦帳無新增",IF(AND(In!$E$135="Verified",FALSE()),IF(ABS(J128-1)&lt;=tolband,"對得上","偏差"),"證據不足（"&amp;IF(ABS(J128-1)&lt;=tolband,"帶內","帶外")&amp;"）")))</f>
        <v>無個股值</v>
      </c>
      <c r="K129" s="0" t="str">
        <f aca="false">IF(K128="","無個股值",IF(K126=0,"瓦帳無新增",IF(AND(In!$E$135="Verified",FALSE()),IF(ABS(K128-1)&lt;=tolband,"對得上","偏差"),"證據不足（"&amp;IF(ABS(K128-1)&lt;=tolband,"帶內","帶外")&amp;"）")))</f>
        <v>無個股值</v>
      </c>
      <c r="L129" s="0" t="str">
        <f aca="false">IF(L128="","無個股值",IF(L126=0,"瓦帳無新增",IF(AND(In!$E$135="Verified",FALSE()),IF(ABS(L128-1)&lt;=tolband,"對得上","偏差"),"證據不足（"&amp;IF(ABS(L128-1)&lt;=tolband,"帶內","帶外")&amp;"）")))</f>
        <v>無個股值</v>
      </c>
      <c r="M129" s="0" t="str">
        <f aca="false">IF(M128="","無個股值",IF(M126=0,"瓦帳無新增",IF(AND(In!$E$135="Verified",FALSE()),IF(ABS(M128-1)&lt;=tolband,"對得上","偏差"),"證據不足（"&amp;IF(ABS(M128-1)&lt;=tolband,"帶內","帶外")&amp;"）")))</f>
        <v>無個股值</v>
      </c>
    </row>
    <row r="131" customFormat="false" ht="17.15" hidden="false" customHeight="false" outlineLevel="0" collapsed="false">
      <c r="A131" s="21" t="s">
        <v>1210</v>
      </c>
      <c r="B131" s="20" t="s">
        <v>644</v>
      </c>
      <c r="N131" s="5" t="s">
        <v>1608</v>
      </c>
    </row>
    <row r="132" customFormat="false" ht="17.15" hidden="false" customHeight="false" outlineLevel="0" collapsed="false">
      <c r="A132" s="5" t="s">
        <v>1592</v>
      </c>
      <c r="C132" s="0" t="s">
        <v>390</v>
      </c>
      <c r="D132" s="32" t="n">
        <f aca="false">Players!D264*((1-Players!D266)*D$8+Players!D266*TK_NonNV_Hold_AMD*TK_CapexIT_VR200)</f>
        <v>0</v>
      </c>
      <c r="E132" s="32" t="n">
        <f aca="false">Players!E264*((1-Players!E266)*E$8+Players!E266*TK_NonNV_Hold_AMD*TK_CapexIT_VR200)</f>
        <v>0</v>
      </c>
      <c r="F132" s="32" t="n">
        <f aca="false">Players!F264*((1-Players!F266)*F$8+Players!F266*TK_NonNV_Hold_AMD*TK_CapexIT_VR200)</f>
        <v>0</v>
      </c>
      <c r="G132" s="32" t="n">
        <f aca="false">Players!G264*((1-Players!G266)*G$8+Players!G266*TK_NonNV_Hold_AMD*TK_CapexIT_VR200)</f>
        <v>13.2259614536589</v>
      </c>
      <c r="H132" s="32" t="n">
        <f aca="false">Players!H264*((1-Players!H266)*H$8+Players!H266*TK_NonNV_Hold_AMD*TK_CapexIT_VR200)</f>
        <v>54.8920873864382</v>
      </c>
      <c r="I132" s="32" t="n">
        <f aca="false">Players!I264*((1-Players!I266)*I$8+Players!I266*TK_NonNV_Hold_AMD*TK_CapexIT_VR200)</f>
        <v>3.72503365788298</v>
      </c>
      <c r="J132" s="32" t="n">
        <f aca="false">Players!J264*((1-Players!J266)*J$8+Players!J266*TK_NonNV_Hold_AMD*TK_CapexIT_VR200)</f>
        <v>0</v>
      </c>
      <c r="K132" s="32" t="n">
        <f aca="false">Players!K264*((1-Players!K266)*K$8+Players!K266*TK_NonNV_Hold_AMD*TK_CapexIT_VR200)</f>
        <v>7.75567059206659</v>
      </c>
      <c r="L132" s="32" t="n">
        <f aca="false">Players!L264*((1-Players!L266)*L$8+Players!L266*TK_NonNV_Hold_AMD*TK_CapexIT_VR200)</f>
        <v>0</v>
      </c>
      <c r="M132" s="32" t="n">
        <f aca="false">Players!M264*((1-Players!M266)*M$8+Players!M266*TK_NonNV_Hold_AMD*TK_CapexIT_VR200)</f>
        <v>0</v>
      </c>
    </row>
    <row r="133" customFormat="false" ht="15" hidden="false" customHeight="false" outlineLevel="0" collapsed="false">
      <c r="A133" s="5" t="s">
        <v>1593</v>
      </c>
      <c r="C133" s="0" t="s">
        <v>390</v>
      </c>
      <c r="D133" s="32" t="n">
        <f aca="false">Players!D264*((1-Players!D266)*D$9+Players!D266*TK_NonNV_Hold_AMD*TK_CapexFacility_VR200)</f>
        <v>0</v>
      </c>
      <c r="E133" s="32" t="n">
        <f aca="false">Players!E264*((1-Players!E266)*E$9+Players!E266*TK_NonNV_Hold_AMD*TK_CapexFacility_VR200)</f>
        <v>0</v>
      </c>
      <c r="F133" s="32" t="n">
        <f aca="false">Players!F264*((1-Players!F266)*F$9+Players!F266*TK_NonNV_Hold_AMD*TK_CapexFacility_VR200)</f>
        <v>0</v>
      </c>
      <c r="G133" s="32" t="n">
        <f aca="false">Players!G264*((1-Players!G266)*G$9+Players!G266*TK_NonNV_Hold_AMD*TK_CapexFacility_VR200)</f>
        <v>4.886912706935</v>
      </c>
      <c r="H133" s="32" t="n">
        <f aca="false">Players!H264*((1-Players!H266)*H$9+Players!H266*TK_NonNV_Hold_AMD*TK_CapexFacility_VR200)</f>
        <v>18.2264548663238</v>
      </c>
      <c r="I133" s="32" t="n">
        <f aca="false">Players!I264*((1-Players!I266)*I$9+Players!I266*TK_NonNV_Hold_AMD*TK_CapexFacility_VR200)</f>
        <v>1.16712811552003</v>
      </c>
      <c r="J133" s="32" t="n">
        <f aca="false">Players!J264*((1-Players!J266)*J$9+Players!J266*TK_NonNV_Hold_AMD*TK_CapexFacility_VR200)</f>
        <v>0</v>
      </c>
      <c r="K133" s="32" t="n">
        <f aca="false">Players!K264*((1-Players!K266)*K$9+Players!K266*TK_NonNV_Hold_AMD*TK_CapexFacility_VR200)</f>
        <v>2.43054152767375</v>
      </c>
      <c r="L133" s="32" t="n">
        <f aca="false">Players!L264*((1-Players!L266)*L$9+Players!L266*TK_NonNV_Hold_AMD*TK_CapexFacility_VR200)</f>
        <v>0</v>
      </c>
      <c r="M133" s="32" t="n">
        <f aca="false">Players!M264*((1-Players!M266)*M$9+Players!M266*TK_NonNV_Hold_AMD*TK_CapexFacility_VR200)</f>
        <v>0</v>
      </c>
    </row>
    <row r="134" customFormat="false" ht="17.15" hidden="false" customHeight="false" outlineLevel="0" collapsed="false">
      <c r="A134" s="5" t="s">
        <v>1594</v>
      </c>
      <c r="C134" s="0" t="s">
        <v>390</v>
      </c>
      <c r="D134" s="32" t="n">
        <f aca="false">D133*$D$5+E133*$D$6+F133*$D$7</f>
        <v>0</v>
      </c>
      <c r="E134" s="32" t="n">
        <f aca="false">E133*$D$5+F133*$D$6+G133*$D$7</f>
        <v>2.4434563534675</v>
      </c>
      <c r="F134" s="32" t="n">
        <f aca="false">F133*$D$5+G133*$D$6+H133*$D$7</f>
        <v>11.5566837866294</v>
      </c>
      <c r="G134" s="32" t="n">
        <f aca="false">G133*$D$5+H133*$D$6+I133*$D$7</f>
        <v>9.69679149092193</v>
      </c>
      <c r="H134" s="32" t="n">
        <f aca="false">H133*$D$5+I133*$D$6+J133*$D$7</f>
        <v>0.583564057760015</v>
      </c>
      <c r="I134" s="32" t="n">
        <f aca="false">I133*$D$5+J133*$D$6+K133*$D$7</f>
        <v>1.21527076383688</v>
      </c>
      <c r="J134" s="32" t="n">
        <f aca="false">J133*$D$5+K133*$D$6+L133*$D$7</f>
        <v>1.21527076383688</v>
      </c>
      <c r="K134" s="32" t="n">
        <f aca="false">K133*$D$5+L133*$D$6+M133*$D$7</f>
        <v>0</v>
      </c>
      <c r="L134" s="32" t="n">
        <f aca="false">L133*$D$5+M133*$D$6</f>
        <v>0</v>
      </c>
      <c r="M134" s="32" t="n">
        <f aca="false">M133*$D$5</f>
        <v>0</v>
      </c>
    </row>
    <row r="135" customFormat="false" ht="17.15" hidden="false" customHeight="false" outlineLevel="0" collapsed="false">
      <c r="A135" s="5" t="s">
        <v>1595</v>
      </c>
      <c r="C135" s="0" t="s">
        <v>390</v>
      </c>
      <c r="D135" s="32" t="n">
        <f aca="false">D132+D134</f>
        <v>0</v>
      </c>
      <c r="E135" s="32" t="n">
        <f aca="false">E132+E134</f>
        <v>2.4434563534675</v>
      </c>
      <c r="F135" s="32" t="n">
        <f aca="false">F132+F134</f>
        <v>11.5566837866294</v>
      </c>
      <c r="G135" s="32" t="n">
        <f aca="false">G132+G134</f>
        <v>22.9227529445808</v>
      </c>
      <c r="H135" s="32" t="n">
        <f aca="false">H132+H134</f>
        <v>55.4756514441982</v>
      </c>
      <c r="I135" s="32" t="n">
        <f aca="false">I132+I134</f>
        <v>4.94030442171985</v>
      </c>
      <c r="J135" s="32" t="n">
        <f aca="false">J132+J134</f>
        <v>1.21527076383688</v>
      </c>
      <c r="K135" s="32" t="n">
        <f aca="false">K132+K134</f>
        <v>7.75567059206659</v>
      </c>
      <c r="L135" s="32" t="n">
        <f aca="false">L132+L134</f>
        <v>0</v>
      </c>
      <c r="M135" s="32" t="n">
        <f aca="false">M132+M134</f>
        <v>0</v>
      </c>
    </row>
    <row r="136" customFormat="false" ht="17.15" hidden="false" customHeight="false" outlineLevel="0" collapsed="false">
      <c r="A136" s="5" t="s">
        <v>1596</v>
      </c>
      <c r="C136" s="0" t="s">
        <v>390</v>
      </c>
      <c r="D136" s="32" t="n">
        <f aca="false">D135*12/12+N(In!H152)</f>
        <v>0</v>
      </c>
      <c r="E136" s="32" t="n">
        <f aca="false">E135*12/12+D135*(12-12)/12+N(In!I152)</f>
        <v>2.4434563534675</v>
      </c>
      <c r="F136" s="32" t="n">
        <f aca="false">F135*12/12+E135*(12-12)/12+N(In!J152)</f>
        <v>11.5566837866294</v>
      </c>
      <c r="G136" s="32" t="n">
        <f aca="false">G135*12/12+F135*(12-12)/12+N(In!K152)</f>
        <v>22.9227529445808</v>
      </c>
      <c r="H136" s="32" t="n">
        <f aca="false">H135*12/12+G135*(12-12)/12+N(In!L152)</f>
        <v>55.4756514441982</v>
      </c>
      <c r="I136" s="32" t="n">
        <f aca="false">I135*12/12+H135*(12-12)/12+N(In!M152)</f>
        <v>4.94030442171985</v>
      </c>
      <c r="J136" s="32" t="n">
        <f aca="false">J135*12/12+I135*(12-12)/12+N(In!N152)</f>
        <v>1.21527076383688</v>
      </c>
      <c r="K136" s="32" t="n">
        <f aca="false">K135*12/12+J135*(12-12)/12+N(In!O152)</f>
        <v>7.75567059206659</v>
      </c>
      <c r="L136" s="32" t="n">
        <f aca="false">L135*12/12+K135*(12-12)/12+N(In!P152)</f>
        <v>0</v>
      </c>
      <c r="M136" s="32" t="n">
        <f aca="false">M135*12/12+L135*(12-12)/12+N(In!Q152)</f>
        <v>0</v>
      </c>
    </row>
    <row r="137" customFormat="false" ht="17.15" hidden="false" customHeight="false" outlineLevel="0" collapsed="false">
      <c r="A137" s="5" t="s">
        <v>1597</v>
      </c>
      <c r="C137" s="0" t="s">
        <v>390</v>
      </c>
      <c r="D137" s="19" t="str">
        <f aca="false">IF(In!H136="","",In!H136)</f>
        <v/>
      </c>
      <c r="E137" s="19" t="str">
        <f aca="false">IF(In!I136="","",In!I136)</f>
        <v/>
      </c>
      <c r="F137" s="19" t="str">
        <f aca="false">IF(In!J136="","",In!J136)</f>
        <v/>
      </c>
      <c r="G137" s="19" t="str">
        <f aca="false">IF(In!K136="","",In!K136)</f>
        <v/>
      </c>
      <c r="H137" s="19" t="str">
        <f aca="false">IF(In!L136="","",In!L136)</f>
        <v/>
      </c>
      <c r="I137" s="19" t="str">
        <f aca="false">IF(In!M136="","",In!M136)</f>
        <v/>
      </c>
      <c r="J137" s="19" t="str">
        <f aca="false">IF(In!N136="","",In!N136)</f>
        <v/>
      </c>
      <c r="K137" s="19" t="str">
        <f aca="false">IF(In!O136="","",In!O136)</f>
        <v/>
      </c>
      <c r="L137" s="19" t="str">
        <f aca="false">IF(In!P136="","",In!P136)</f>
        <v/>
      </c>
      <c r="M137" s="19" t="str">
        <f aca="false">IF(In!Q136="","",In!Q136)</f>
        <v/>
      </c>
    </row>
    <row r="138" customFormat="false" ht="17.15" hidden="false" customHeight="false" outlineLevel="0" collapsed="false">
      <c r="A138" s="5" t="s">
        <v>1598</v>
      </c>
      <c r="C138" s="0" t="s">
        <v>36</v>
      </c>
      <c r="D138" s="29" t="str">
        <f aca="false">IF(OR(D137="",N(D137)=0),"",D136/D137)</f>
        <v/>
      </c>
      <c r="E138" s="29" t="str">
        <f aca="false">IF(OR(E137="",N(E137)=0),"",E136/E137)</f>
        <v/>
      </c>
      <c r="F138" s="29" t="str">
        <f aca="false">IF(OR(F137="",N(F137)=0),"",F136/F137)</f>
        <v/>
      </c>
      <c r="G138" s="29" t="str">
        <f aca="false">IF(OR(G137="",N(G137)=0),"",G136/G137)</f>
        <v/>
      </c>
      <c r="H138" s="29" t="str">
        <f aca="false">IF(OR(H137="",N(H137)=0),"",H136/H137)</f>
        <v/>
      </c>
      <c r="I138" s="29" t="str">
        <f aca="false">IF(OR(I137="",N(I137)=0),"",I136/I137)</f>
        <v/>
      </c>
      <c r="J138" s="29" t="str">
        <f aca="false">IF(OR(J137="",N(J137)=0),"",J136/J137)</f>
        <v/>
      </c>
      <c r="K138" s="29" t="str">
        <f aca="false">IF(OR(K137="",N(K137)=0),"",K136/K137)</f>
        <v/>
      </c>
      <c r="L138" s="29" t="str">
        <f aca="false">IF(OR(L137="",N(L137)=0),"",L136/L137)</f>
        <v/>
      </c>
      <c r="M138" s="29" t="str">
        <f aca="false">IF(OR(M137="",N(M137)=0),"",M136/M137)</f>
        <v/>
      </c>
    </row>
    <row r="139" customFormat="false" ht="15" hidden="false" customHeight="false" outlineLevel="0" collapsed="false">
      <c r="A139" s="5" t="s">
        <v>1599</v>
      </c>
      <c r="C139" s="0" t="s">
        <v>35</v>
      </c>
      <c r="D139" s="0" t="str">
        <f aca="false">IF(D138="","無個股值",IF(D136=0,"瓦帳無新增",IF(AND(In!$E$136="Verified",FALSE()),IF(ABS(D138-1)&lt;=tolband,"對得上","偏差"),"證據不足（"&amp;IF(ABS(D138-1)&lt;=tolband,"帶內","帶外")&amp;"）")))</f>
        <v>無個股值</v>
      </c>
      <c r="E139" s="0" t="str">
        <f aca="false">IF(E138="","無個股值",IF(E136=0,"瓦帳無新增",IF(AND(In!$E$136="Verified",FALSE()),IF(ABS(E138-1)&lt;=tolband,"對得上","偏差"),"證據不足（"&amp;IF(ABS(E138-1)&lt;=tolband,"帶內","帶外")&amp;"）")))</f>
        <v>無個股值</v>
      </c>
      <c r="F139" s="0" t="str">
        <f aca="false">IF(F138="","無個股值",IF(F136=0,"瓦帳無新增",IF(AND(In!$E$136="Verified",FALSE()),IF(ABS(F138-1)&lt;=tolband,"對得上","偏差"),"證據不足（"&amp;IF(ABS(F138-1)&lt;=tolband,"帶內","帶外")&amp;"）")))</f>
        <v>無個股值</v>
      </c>
      <c r="G139" s="0" t="str">
        <f aca="false">IF(G138="","無個股值",IF(G136=0,"瓦帳無新增",IF(AND(In!$E$136="Verified",FALSE()),IF(ABS(G138-1)&lt;=tolband,"對得上","偏差"),"證據不足（"&amp;IF(ABS(G138-1)&lt;=tolband,"帶內","帶外")&amp;"）")))</f>
        <v>無個股值</v>
      </c>
      <c r="H139" s="0" t="str">
        <f aca="false">IF(H138="","無個股值",IF(H136=0,"瓦帳無新增",IF(AND(In!$E$136="Verified",FALSE()),IF(ABS(H138-1)&lt;=tolband,"對得上","偏差"),"證據不足（"&amp;IF(ABS(H138-1)&lt;=tolband,"帶內","帶外")&amp;"）")))</f>
        <v>無個股值</v>
      </c>
      <c r="I139" s="0" t="str">
        <f aca="false">IF(I138="","無個股值",IF(I136=0,"瓦帳無新增",IF(AND(In!$E$136="Verified",FALSE()),IF(ABS(I138-1)&lt;=tolband,"對得上","偏差"),"證據不足（"&amp;IF(ABS(I138-1)&lt;=tolband,"帶內","帶外")&amp;"）")))</f>
        <v>無個股值</v>
      </c>
      <c r="J139" s="0" t="str">
        <f aca="false">IF(J138="","無個股值",IF(J136=0,"瓦帳無新增",IF(AND(In!$E$136="Verified",FALSE()),IF(ABS(J138-1)&lt;=tolband,"對得上","偏差"),"證據不足（"&amp;IF(ABS(J138-1)&lt;=tolband,"帶內","帶外")&amp;"）")))</f>
        <v>無個股值</v>
      </c>
      <c r="K139" s="0" t="str">
        <f aca="false">IF(K138="","無個股值",IF(K136=0,"瓦帳無新增",IF(AND(In!$E$136="Verified",FALSE()),IF(ABS(K138-1)&lt;=tolband,"對得上","偏差"),"證據不足（"&amp;IF(ABS(K138-1)&lt;=tolband,"帶內","帶外")&amp;"）")))</f>
        <v>無個股值</v>
      </c>
      <c r="L139" s="0" t="str">
        <f aca="false">IF(L138="","無個股值",IF(L136=0,"瓦帳無新增",IF(AND(In!$E$136="Verified",FALSE()),IF(ABS(L138-1)&lt;=tolband,"對得上","偏差"),"證據不足（"&amp;IF(ABS(L138-1)&lt;=tolband,"帶內","帶外")&amp;"）")))</f>
        <v>無個股值</v>
      </c>
      <c r="M139" s="0" t="str">
        <f aca="false">IF(M138="","無個股值",IF(M136=0,"瓦帳無新增",IF(AND(In!$E$136="Verified",FALSE()),IF(ABS(M138-1)&lt;=tolband,"對得上","偏差"),"證據不足（"&amp;IF(ABS(M138-1)&lt;=tolband,"帶內","帶外")&amp;"）")))</f>
        <v>無個股值</v>
      </c>
    </row>
    <row r="141" customFormat="false" ht="17.15" hidden="false" customHeight="false" outlineLevel="0" collapsed="false">
      <c r="A141" s="21" t="s">
        <v>1229</v>
      </c>
      <c r="B141" s="20" t="s">
        <v>552</v>
      </c>
      <c r="N141" s="5" t="s">
        <v>1608</v>
      </c>
    </row>
    <row r="142" customFormat="false" ht="17.15" hidden="false" customHeight="false" outlineLevel="0" collapsed="false">
      <c r="A142" s="5" t="s">
        <v>1592</v>
      </c>
      <c r="C142" s="0" t="s">
        <v>390</v>
      </c>
      <c r="D142" s="32" t="n">
        <f aca="false">Players!D283*((1-Players!D285)*D$8+Players!D285*TK_NonNV_Hold_Ascend*TK_CapexIT_VR200)</f>
        <v>0</v>
      </c>
      <c r="E142" s="32" t="n">
        <f aca="false">Players!E283*((1-Players!E285)*E$8+Players!E285*TK_NonNV_Hold_Ascend*TK_CapexIT_VR200)</f>
        <v>0</v>
      </c>
      <c r="F142" s="32" t="n">
        <f aca="false">Players!F283*((1-Players!F285)*F$8+Players!F285*TK_NonNV_Hold_Ascend*TK_CapexIT_VR200)</f>
        <v>0</v>
      </c>
      <c r="G142" s="32" t="n">
        <f aca="false">Players!G283*((1-Players!G285)*G$8+Players!G285*TK_NonNV_Hold_Ascend*TK_CapexIT_VR200)</f>
        <v>101.262898012446</v>
      </c>
      <c r="H142" s="32" t="n">
        <f aca="false">Players!H283*((1-Players!H285)*H$8+Players!H285*TK_NonNV_Hold_Ascend*TK_CapexIT_VR200)</f>
        <v>66.6787474513408</v>
      </c>
      <c r="I142" s="32" t="n">
        <f aca="false">Players!I283*((1-Players!I285)*I$8+Players!I285*TK_NonNV_Hold_Ascend*TK_CapexIT_VR200)</f>
        <v>81.5812529383301</v>
      </c>
      <c r="J142" s="32" t="n">
        <f aca="false">Players!J283*((1-Players!J285)*J$8+Players!J285*TK_NonNV_Hold_Ascend*TK_CapexIT_VR200)</f>
        <v>93.2910265931512</v>
      </c>
      <c r="K142" s="32" t="n">
        <f aca="false">Players!K283*((1-Players!K285)*K$8+Players!K285*TK_NonNV_Hold_Ascend*TK_CapexIT_VR200)</f>
        <v>106.718885977677</v>
      </c>
      <c r="L142" s="32" t="n">
        <f aca="false">Players!L283*((1-Players!L285)*L$8+Players!L285*TK_NonNV_Hold_Ascend*TK_CapexIT_VR200)</f>
        <v>76.9121064895964</v>
      </c>
      <c r="M142" s="32" t="n">
        <f aca="false">Players!M283*((1-Players!M285)*M$8+Players!M285*TK_NonNV_Hold_Ascend*TK_CapexIT_VR200)</f>
        <v>84.603317138556</v>
      </c>
    </row>
    <row r="143" customFormat="false" ht="15" hidden="false" customHeight="false" outlineLevel="0" collapsed="false">
      <c r="A143" s="5" t="s">
        <v>1593</v>
      </c>
      <c r="C143" s="0" t="s">
        <v>390</v>
      </c>
      <c r="D143" s="32" t="n">
        <f aca="false">Players!D283*((1-Players!D285)*D$9+Players!D285*TK_NonNV_Hold_Ascend*TK_CapexFacility_VR200)</f>
        <v>0</v>
      </c>
      <c r="E143" s="32" t="n">
        <f aca="false">Players!E283*((1-Players!E285)*E$9+Players!E285*TK_NonNV_Hold_Ascend*TK_CapexFacility_VR200)</f>
        <v>0</v>
      </c>
      <c r="F143" s="32" t="n">
        <f aca="false">Players!F283*((1-Players!F285)*F$9+Players!F285*TK_NonNV_Hold_Ascend*TK_CapexFacility_VR200)</f>
        <v>0</v>
      </c>
      <c r="G143" s="32" t="n">
        <f aca="false">Players!G283*((1-Players!G285)*G$9+Players!G285*TK_NonNV_Hold_Ascend*TK_CapexFacility_VR200)</f>
        <v>37.7061510067084</v>
      </c>
      <c r="H143" s="32" t="n">
        <f aca="false">Players!H283*((1-Players!H285)*H$9+Players!H285*TK_NonNV_Hold_Ascend*TK_CapexFacility_VR200)</f>
        <v>22.1091834526816</v>
      </c>
      <c r="I143" s="32" t="n">
        <f aca="false">Players!I283*((1-Players!I285)*I$9+Players!I285*TK_NonNV_Hold_Ascend*TK_CapexFacility_VR200)</f>
        <v>25.3961940717697</v>
      </c>
      <c r="J143" s="32" t="n">
        <f aca="false">Players!J283*((1-Players!J285)*J$9+Players!J285*TK_NonNV_Hold_Ascend*TK_CapexFacility_VR200)</f>
        <v>29.0463332763666</v>
      </c>
      <c r="K143" s="32" t="n">
        <f aca="false">Players!K283*((1-Players!K285)*K$9+Players!K285*TK_NonNV_Hold_Ascend*TK_CapexFacility_VR200)</f>
        <v>33.2271220736865</v>
      </c>
      <c r="L143" s="32" t="n">
        <f aca="false">Players!L283*((1-Players!L285)*L$9+Players!L285*TK_NonNV_Hold_Ascend*TK_CapexFacility_VR200)</f>
        <v>23.9467262786904</v>
      </c>
      <c r="M143" s="32" t="n">
        <f aca="false">Players!M283*((1-Players!M285)*M$9+Players!M285*TK_NonNV_Hold_Ascend*TK_CapexFacility_VR200)</f>
        <v>26.3413989065594</v>
      </c>
    </row>
    <row r="144" customFormat="false" ht="17.15" hidden="false" customHeight="false" outlineLevel="0" collapsed="false">
      <c r="A144" s="5" t="s">
        <v>1594</v>
      </c>
      <c r="C144" s="0" t="s">
        <v>390</v>
      </c>
      <c r="D144" s="32" t="n">
        <f aca="false">D143*$D$5+E143*$D$6+F143*$D$7</f>
        <v>0</v>
      </c>
      <c r="E144" s="32" t="n">
        <f aca="false">E143*$D$5+F143*$D$6+G143*$D$7</f>
        <v>18.8530755033542</v>
      </c>
      <c r="F144" s="32" t="n">
        <f aca="false">F143*$D$5+G143*$D$6+H143*$D$7</f>
        <v>29.907667229695</v>
      </c>
      <c r="G144" s="32" t="n">
        <f aca="false">G143*$D$5+H143*$D$6+I143*$D$7</f>
        <v>23.7526887622257</v>
      </c>
      <c r="H144" s="32" t="n">
        <f aca="false">H143*$D$5+I143*$D$6+J143*$D$7</f>
        <v>27.2212636740682</v>
      </c>
      <c r="I144" s="32" t="n">
        <f aca="false">I143*$D$5+J143*$D$6+K143*$D$7</f>
        <v>31.1367276750266</v>
      </c>
      <c r="J144" s="32" t="n">
        <f aca="false">J143*$D$5+K143*$D$6+L143*$D$7</f>
        <v>28.5869241761884</v>
      </c>
      <c r="K144" s="32" t="n">
        <f aca="false">K143*$D$5+L143*$D$6+M143*$D$7</f>
        <v>25.1440625926249</v>
      </c>
      <c r="L144" s="32" t="n">
        <f aca="false">L143*$D$5+M143*$D$6</f>
        <v>13.1706994532797</v>
      </c>
      <c r="M144" s="32" t="n">
        <f aca="false">M143*$D$5</f>
        <v>0</v>
      </c>
    </row>
    <row r="145" customFormat="false" ht="17.15" hidden="false" customHeight="false" outlineLevel="0" collapsed="false">
      <c r="A145" s="5" t="s">
        <v>1595</v>
      </c>
      <c r="C145" s="0" t="s">
        <v>390</v>
      </c>
      <c r="D145" s="32" t="n">
        <f aca="false">D142+D144</f>
        <v>0</v>
      </c>
      <c r="E145" s="32" t="n">
        <f aca="false">E142+E144</f>
        <v>18.8530755033542</v>
      </c>
      <c r="F145" s="32" t="n">
        <f aca="false">F142+F144</f>
        <v>29.907667229695</v>
      </c>
      <c r="G145" s="32" t="n">
        <f aca="false">G142+G144</f>
        <v>125.015586774671</v>
      </c>
      <c r="H145" s="32" t="n">
        <f aca="false">H142+H144</f>
        <v>93.900011125409</v>
      </c>
      <c r="I145" s="32" t="n">
        <f aca="false">I142+I144</f>
        <v>112.717980613357</v>
      </c>
      <c r="J145" s="32" t="n">
        <f aca="false">J142+J144</f>
        <v>121.87795076934</v>
      </c>
      <c r="K145" s="32" t="n">
        <f aca="false">K142+K144</f>
        <v>131.862948570302</v>
      </c>
      <c r="L145" s="32" t="n">
        <f aca="false">L142+L144</f>
        <v>90.0828059428761</v>
      </c>
      <c r="M145" s="32" t="n">
        <f aca="false">M142+M144</f>
        <v>84.603317138556</v>
      </c>
    </row>
    <row r="146" customFormat="false" ht="17.15" hidden="false" customHeight="false" outlineLevel="0" collapsed="false">
      <c r="A146" s="5" t="s">
        <v>1596</v>
      </c>
      <c r="C146" s="0" t="s">
        <v>390</v>
      </c>
      <c r="D146" s="32" t="n">
        <f aca="false">D145*12/12+N(In!H153)</f>
        <v>0</v>
      </c>
      <c r="E146" s="32" t="n">
        <f aca="false">E145*12/12+D145*(12-12)/12+N(In!I153)</f>
        <v>18.8530755033542</v>
      </c>
      <c r="F146" s="32" t="n">
        <f aca="false">F145*12/12+E145*(12-12)/12+N(In!J153)</f>
        <v>29.907667229695</v>
      </c>
      <c r="G146" s="32" t="n">
        <f aca="false">G145*12/12+F145*(12-12)/12+N(In!K153)</f>
        <v>125.015586774671</v>
      </c>
      <c r="H146" s="32" t="n">
        <f aca="false">H145*12/12+G145*(12-12)/12+N(In!L153)</f>
        <v>93.900011125409</v>
      </c>
      <c r="I146" s="32" t="n">
        <f aca="false">I145*12/12+H145*(12-12)/12+N(In!M153)</f>
        <v>112.717980613357</v>
      </c>
      <c r="J146" s="32" t="n">
        <f aca="false">J145*12/12+I145*(12-12)/12+N(In!N153)</f>
        <v>121.87795076934</v>
      </c>
      <c r="K146" s="32" t="n">
        <f aca="false">K145*12/12+J145*(12-12)/12+N(In!O153)</f>
        <v>131.862948570302</v>
      </c>
      <c r="L146" s="32" t="n">
        <f aca="false">L145*12/12+K145*(12-12)/12+N(In!P153)</f>
        <v>90.0828059428761</v>
      </c>
      <c r="M146" s="32" t="n">
        <f aca="false">M145*12/12+L145*(12-12)/12+N(In!Q153)</f>
        <v>84.603317138556</v>
      </c>
    </row>
    <row r="147" customFormat="false" ht="17.15" hidden="false" customHeight="false" outlineLevel="0" collapsed="false">
      <c r="A147" s="5" t="s">
        <v>1597</v>
      </c>
      <c r="C147" s="0" t="s">
        <v>390</v>
      </c>
      <c r="D147" s="19" t="str">
        <f aca="false">IF(In!H137="","",In!H137)</f>
        <v/>
      </c>
      <c r="E147" s="19" t="str">
        <f aca="false">IF(In!I137="","",In!I137)</f>
        <v/>
      </c>
      <c r="F147" s="19" t="str">
        <f aca="false">IF(In!J137="","",In!J137)</f>
        <v/>
      </c>
      <c r="G147" s="19" t="str">
        <f aca="false">IF(In!K137="","",In!K137)</f>
        <v/>
      </c>
      <c r="H147" s="19" t="str">
        <f aca="false">IF(In!L137="","",In!L137)</f>
        <v/>
      </c>
      <c r="I147" s="19" t="str">
        <f aca="false">IF(In!M137="","",In!M137)</f>
        <v/>
      </c>
      <c r="J147" s="19" t="str">
        <f aca="false">IF(In!N137="","",In!N137)</f>
        <v/>
      </c>
      <c r="K147" s="19" t="str">
        <f aca="false">IF(In!O137="","",In!O137)</f>
        <v/>
      </c>
      <c r="L147" s="19" t="str">
        <f aca="false">IF(In!P137="","",In!P137)</f>
        <v/>
      </c>
      <c r="M147" s="19" t="str">
        <f aca="false">IF(In!Q137="","",In!Q137)</f>
        <v/>
      </c>
    </row>
    <row r="148" customFormat="false" ht="17.15" hidden="false" customHeight="false" outlineLevel="0" collapsed="false">
      <c r="A148" s="5" t="s">
        <v>1598</v>
      </c>
      <c r="C148" s="0" t="s">
        <v>36</v>
      </c>
      <c r="D148" s="29" t="str">
        <f aca="false">IF(OR(D147="",N(D147)=0),"",D146/D147)</f>
        <v/>
      </c>
      <c r="E148" s="29" t="str">
        <f aca="false">IF(OR(E147="",N(E147)=0),"",E146/E147)</f>
        <v/>
      </c>
      <c r="F148" s="29" t="str">
        <f aca="false">IF(OR(F147="",N(F147)=0),"",F146/F147)</f>
        <v/>
      </c>
      <c r="G148" s="29" t="str">
        <f aca="false">IF(OR(G147="",N(G147)=0),"",G146/G147)</f>
        <v/>
      </c>
      <c r="H148" s="29" t="str">
        <f aca="false">IF(OR(H147="",N(H147)=0),"",H146/H147)</f>
        <v/>
      </c>
      <c r="I148" s="29" t="str">
        <f aca="false">IF(OR(I147="",N(I147)=0),"",I146/I147)</f>
        <v/>
      </c>
      <c r="J148" s="29" t="str">
        <f aca="false">IF(OR(J147="",N(J147)=0),"",J146/J147)</f>
        <v/>
      </c>
      <c r="K148" s="29" t="str">
        <f aca="false">IF(OR(K147="",N(K147)=0),"",K146/K147)</f>
        <v/>
      </c>
      <c r="L148" s="29" t="str">
        <f aca="false">IF(OR(L147="",N(L147)=0),"",L146/L147)</f>
        <v/>
      </c>
      <c r="M148" s="29" t="str">
        <f aca="false">IF(OR(M147="",N(M147)=0),"",M146/M147)</f>
        <v/>
      </c>
    </row>
    <row r="149" customFormat="false" ht="15" hidden="false" customHeight="false" outlineLevel="0" collapsed="false">
      <c r="A149" s="5" t="s">
        <v>1599</v>
      </c>
      <c r="C149" s="0" t="s">
        <v>35</v>
      </c>
      <c r="D149" s="0" t="str">
        <f aca="false">IF(D148="","無個股值",IF(D146=0,"瓦帳無新增",IF(AND(In!$E$137="Verified",FALSE()),IF(ABS(D148-1)&lt;=tolband,"對得上","偏差"),"證據不足（"&amp;IF(ABS(D148-1)&lt;=tolband,"帶內","帶外")&amp;"）")))</f>
        <v>無個股值</v>
      </c>
      <c r="E149" s="0" t="str">
        <f aca="false">IF(E148="","無個股值",IF(E146=0,"瓦帳無新增",IF(AND(In!$E$137="Verified",FALSE()),IF(ABS(E148-1)&lt;=tolband,"對得上","偏差"),"證據不足（"&amp;IF(ABS(E148-1)&lt;=tolband,"帶內","帶外")&amp;"）")))</f>
        <v>無個股值</v>
      </c>
      <c r="F149" s="0" t="str">
        <f aca="false">IF(F148="","無個股值",IF(F146=0,"瓦帳無新增",IF(AND(In!$E$137="Verified",FALSE()),IF(ABS(F148-1)&lt;=tolband,"對得上","偏差"),"證據不足（"&amp;IF(ABS(F148-1)&lt;=tolband,"帶內","帶外")&amp;"）")))</f>
        <v>無個股值</v>
      </c>
      <c r="G149" s="0" t="str">
        <f aca="false">IF(G148="","無個股值",IF(G146=0,"瓦帳無新增",IF(AND(In!$E$137="Verified",FALSE()),IF(ABS(G148-1)&lt;=tolband,"對得上","偏差"),"證據不足（"&amp;IF(ABS(G148-1)&lt;=tolband,"帶內","帶外")&amp;"）")))</f>
        <v>無個股值</v>
      </c>
      <c r="H149" s="0" t="str">
        <f aca="false">IF(H148="","無個股值",IF(H146=0,"瓦帳無新增",IF(AND(In!$E$137="Verified",FALSE()),IF(ABS(H148-1)&lt;=tolband,"對得上","偏差"),"證據不足（"&amp;IF(ABS(H148-1)&lt;=tolband,"帶內","帶外")&amp;"）")))</f>
        <v>無個股值</v>
      </c>
      <c r="I149" s="0" t="str">
        <f aca="false">IF(I148="","無個股值",IF(I146=0,"瓦帳無新增",IF(AND(In!$E$137="Verified",FALSE()),IF(ABS(I148-1)&lt;=tolband,"對得上","偏差"),"證據不足（"&amp;IF(ABS(I148-1)&lt;=tolband,"帶內","帶外")&amp;"）")))</f>
        <v>無個股值</v>
      </c>
      <c r="J149" s="0" t="str">
        <f aca="false">IF(J148="","無個股值",IF(J146=0,"瓦帳無新增",IF(AND(In!$E$137="Verified",FALSE()),IF(ABS(J148-1)&lt;=tolband,"對得上","偏差"),"證據不足（"&amp;IF(ABS(J148-1)&lt;=tolband,"帶內","帶外")&amp;"）")))</f>
        <v>無個股值</v>
      </c>
      <c r="K149" s="0" t="str">
        <f aca="false">IF(K148="","無個股值",IF(K146=0,"瓦帳無新增",IF(AND(In!$E$137="Verified",FALSE()),IF(ABS(K148-1)&lt;=tolband,"對得上","偏差"),"證據不足（"&amp;IF(ABS(K148-1)&lt;=tolband,"帶內","帶外")&amp;"）")))</f>
        <v>無個股值</v>
      </c>
      <c r="L149" s="0" t="str">
        <f aca="false">IF(L148="","無個股值",IF(L146=0,"瓦帳無新增",IF(AND(In!$E$137="Verified",FALSE()),IF(ABS(L148-1)&lt;=tolband,"對得上","偏差"),"證據不足（"&amp;IF(ABS(L148-1)&lt;=tolband,"帶內","帶外")&amp;"）")))</f>
        <v>無個股值</v>
      </c>
      <c r="M149" s="0" t="str">
        <f aca="false">IF(M148="","無個股值",IF(M146=0,"瓦帳無新增",IF(AND(In!$E$137="Verified",FALSE()),IF(ABS(M148-1)&lt;=tolband,"對得上","偏差"),"證據不足（"&amp;IF(ABS(M148-1)&lt;=tolband,"帶內","帶外")&amp;"）")))</f>
        <v>無個股值</v>
      </c>
    </row>
    <row r="151" customFormat="false" ht="17.15" hidden="false" customHeight="false" outlineLevel="0" collapsed="false">
      <c r="A151" s="21" t="s">
        <v>1248</v>
      </c>
      <c r="B151" s="20" t="s">
        <v>737</v>
      </c>
      <c r="N151" s="5" t="s">
        <v>1608</v>
      </c>
    </row>
    <row r="152" customFormat="false" ht="17.15" hidden="false" customHeight="false" outlineLevel="0" collapsed="false">
      <c r="A152" s="5" t="s">
        <v>1592</v>
      </c>
      <c r="C152" s="0" t="s">
        <v>390</v>
      </c>
      <c r="D152" s="32" t="n">
        <f aca="false">Players!D302*((1-Players!D304)*D$8+Players!D304*TK_NonNV_Hold_AMD*TK_CapexIT_VR200)</f>
        <v>0</v>
      </c>
      <c r="E152" s="32" t="n">
        <f aca="false">Players!E302*((1-Players!E304)*E$8+Players!E304*TK_NonNV_Hold_AMD*TK_CapexIT_VR200)</f>
        <v>0</v>
      </c>
      <c r="F152" s="32" t="n">
        <f aca="false">Players!F302*((1-Players!F304)*F$8+Players!F304*TK_NonNV_Hold_AMD*TK_CapexIT_VR200)</f>
        <v>0</v>
      </c>
      <c r="G152" s="32" t="n">
        <f aca="false">Players!G302*((1-Players!G304)*G$8+Players!G304*TK_NonNV_Hold_AMD*TK_CapexIT_VR200)</f>
        <v>0</v>
      </c>
      <c r="H152" s="32" t="n">
        <f aca="false">Players!H302*((1-Players!H304)*H$8+Players!H304*TK_NonNV_Hold_AMD*TK_CapexIT_VR200)</f>
        <v>0</v>
      </c>
      <c r="I152" s="32" t="n">
        <f aca="false">Players!I302*((1-Players!I304)*I$8+Players!I304*TK_NonNV_Hold_AMD*TK_CapexIT_VR200)</f>
        <v>0</v>
      </c>
      <c r="J152" s="32" t="n">
        <f aca="false">Players!J302*((1-Players!J304)*J$8+Players!J304*TK_NonNV_Hold_AMD*TK_CapexIT_VR200)</f>
        <v>0</v>
      </c>
      <c r="K152" s="32" t="n">
        <f aca="false">Players!K302*((1-Players!K304)*K$8+Players!K304*TK_NonNV_Hold_AMD*TK_CapexIT_VR200)</f>
        <v>0</v>
      </c>
      <c r="L152" s="32" t="n">
        <f aca="false">Players!L302*((1-Players!L304)*L$8+Players!L304*TK_NonNV_Hold_AMD*TK_CapexIT_VR200)</f>
        <v>0</v>
      </c>
      <c r="M152" s="32" t="n">
        <f aca="false">Players!M302*((1-Players!M304)*M$8+Players!M304*TK_NonNV_Hold_AMD*TK_CapexIT_VR200)</f>
        <v>0</v>
      </c>
    </row>
    <row r="153" customFormat="false" ht="15" hidden="false" customHeight="false" outlineLevel="0" collapsed="false">
      <c r="A153" s="5" t="s">
        <v>1593</v>
      </c>
      <c r="C153" s="0" t="s">
        <v>390</v>
      </c>
      <c r="D153" s="32" t="n">
        <f aca="false">Players!D302*((1-Players!D304)*D$9+Players!D304*TK_NonNV_Hold_AMD*TK_CapexFacility_VR200)</f>
        <v>0</v>
      </c>
      <c r="E153" s="32" t="n">
        <f aca="false">Players!E302*((1-Players!E304)*E$9+Players!E304*TK_NonNV_Hold_AMD*TK_CapexFacility_VR200)</f>
        <v>0</v>
      </c>
      <c r="F153" s="32" t="n">
        <f aca="false">Players!F302*((1-Players!F304)*F$9+Players!F304*TK_NonNV_Hold_AMD*TK_CapexFacility_VR200)</f>
        <v>0</v>
      </c>
      <c r="G153" s="32" t="n">
        <f aca="false">Players!G302*((1-Players!G304)*G$9+Players!G304*TK_NonNV_Hold_AMD*TK_CapexFacility_VR200)</f>
        <v>0</v>
      </c>
      <c r="H153" s="32" t="n">
        <f aca="false">Players!H302*((1-Players!H304)*H$9+Players!H304*TK_NonNV_Hold_AMD*TK_CapexFacility_VR200)</f>
        <v>0</v>
      </c>
      <c r="I153" s="32" t="n">
        <f aca="false">Players!I302*((1-Players!I304)*I$9+Players!I304*TK_NonNV_Hold_AMD*TK_CapexFacility_VR200)</f>
        <v>0</v>
      </c>
      <c r="J153" s="32" t="n">
        <f aca="false">Players!J302*((1-Players!J304)*J$9+Players!J304*TK_NonNV_Hold_AMD*TK_CapexFacility_VR200)</f>
        <v>0</v>
      </c>
      <c r="K153" s="32" t="n">
        <f aca="false">Players!K302*((1-Players!K304)*K$9+Players!K304*TK_NonNV_Hold_AMD*TK_CapexFacility_VR200)</f>
        <v>0</v>
      </c>
      <c r="L153" s="32" t="n">
        <f aca="false">Players!L302*((1-Players!L304)*L$9+Players!L304*TK_NonNV_Hold_AMD*TK_CapexFacility_VR200)</f>
        <v>0</v>
      </c>
      <c r="M153" s="32" t="n">
        <f aca="false">Players!M302*((1-Players!M304)*M$9+Players!M304*TK_NonNV_Hold_AMD*TK_CapexFacility_VR200)</f>
        <v>0</v>
      </c>
    </row>
    <row r="154" customFormat="false" ht="17.15" hidden="false" customHeight="false" outlineLevel="0" collapsed="false">
      <c r="A154" s="5" t="s">
        <v>1594</v>
      </c>
      <c r="C154" s="0" t="s">
        <v>390</v>
      </c>
      <c r="D154" s="32" t="n">
        <f aca="false">D153*$D$5+E153*$D$6+F153*$D$7</f>
        <v>0</v>
      </c>
      <c r="E154" s="32" t="n">
        <f aca="false">E153*$D$5+F153*$D$6+G153*$D$7</f>
        <v>0</v>
      </c>
      <c r="F154" s="32" t="n">
        <f aca="false">F153*$D$5+G153*$D$6+H153*$D$7</f>
        <v>0</v>
      </c>
      <c r="G154" s="32" t="n">
        <f aca="false">G153*$D$5+H153*$D$6+I153*$D$7</f>
        <v>0</v>
      </c>
      <c r="H154" s="32" t="n">
        <f aca="false">H153*$D$5+I153*$D$6+J153*$D$7</f>
        <v>0</v>
      </c>
      <c r="I154" s="32" t="n">
        <f aca="false">I153*$D$5+J153*$D$6+K153*$D$7</f>
        <v>0</v>
      </c>
      <c r="J154" s="32" t="n">
        <f aca="false">J153*$D$5+K153*$D$6+L153*$D$7</f>
        <v>0</v>
      </c>
      <c r="K154" s="32" t="n">
        <f aca="false">K153*$D$5+L153*$D$6+M153*$D$7</f>
        <v>0</v>
      </c>
      <c r="L154" s="32" t="n">
        <f aca="false">L153*$D$5+M153*$D$6</f>
        <v>0</v>
      </c>
      <c r="M154" s="32" t="n">
        <f aca="false">M153*$D$5</f>
        <v>0</v>
      </c>
    </row>
    <row r="155" customFormat="false" ht="17.15" hidden="false" customHeight="false" outlineLevel="0" collapsed="false">
      <c r="A155" s="5" t="s">
        <v>1595</v>
      </c>
      <c r="C155" s="0" t="s">
        <v>390</v>
      </c>
      <c r="D155" s="32" t="n">
        <f aca="false">D152+D154</f>
        <v>0</v>
      </c>
      <c r="E155" s="32" t="n">
        <f aca="false">E152+E154</f>
        <v>0</v>
      </c>
      <c r="F155" s="32" t="n">
        <f aca="false">F152+F154</f>
        <v>0</v>
      </c>
      <c r="G155" s="32" t="n">
        <f aca="false">G152+G154</f>
        <v>0</v>
      </c>
      <c r="H155" s="32" t="n">
        <f aca="false">H152+H154</f>
        <v>0</v>
      </c>
      <c r="I155" s="32" t="n">
        <f aca="false">I152+I154</f>
        <v>0</v>
      </c>
      <c r="J155" s="32" t="n">
        <f aca="false">J152+J154</f>
        <v>0</v>
      </c>
      <c r="K155" s="32" t="n">
        <f aca="false">K152+K154</f>
        <v>0</v>
      </c>
      <c r="L155" s="32" t="n">
        <f aca="false">L152+L154</f>
        <v>0</v>
      </c>
      <c r="M155" s="32" t="n">
        <f aca="false">M152+M154</f>
        <v>0</v>
      </c>
    </row>
    <row r="156" customFormat="false" ht="17.15" hidden="false" customHeight="false" outlineLevel="0" collapsed="false">
      <c r="A156" s="5" t="s">
        <v>1596</v>
      </c>
      <c r="C156" s="0" t="s">
        <v>390</v>
      </c>
      <c r="D156" s="32" t="n">
        <f aca="false">D155*12/12+N(In!H154)</f>
        <v>0</v>
      </c>
      <c r="E156" s="32" t="n">
        <f aca="false">E155*12/12+D155*(12-12)/12+N(In!I154)</f>
        <v>0</v>
      </c>
      <c r="F156" s="32" t="n">
        <f aca="false">F155*12/12+E155*(12-12)/12+N(In!J154)</f>
        <v>0</v>
      </c>
      <c r="G156" s="32" t="n">
        <f aca="false">G155*12/12+F155*(12-12)/12+N(In!K154)</f>
        <v>0</v>
      </c>
      <c r="H156" s="32" t="n">
        <f aca="false">H155*12/12+G155*(12-12)/12+N(In!L154)</f>
        <v>0</v>
      </c>
      <c r="I156" s="32" t="n">
        <f aca="false">I155*12/12+H155*(12-12)/12+N(In!M154)</f>
        <v>0</v>
      </c>
      <c r="J156" s="32" t="n">
        <f aca="false">J155*12/12+I155*(12-12)/12+N(In!N154)</f>
        <v>0</v>
      </c>
      <c r="K156" s="32" t="n">
        <f aca="false">K155*12/12+J155*(12-12)/12+N(In!O154)</f>
        <v>0</v>
      </c>
      <c r="L156" s="32" t="n">
        <f aca="false">L155*12/12+K155*(12-12)/12+N(In!P154)</f>
        <v>0</v>
      </c>
      <c r="M156" s="32" t="n">
        <f aca="false">M155*12/12+L155*(12-12)/12+N(In!Q154)</f>
        <v>0</v>
      </c>
    </row>
    <row r="157" customFormat="false" ht="17.15" hidden="false" customHeight="false" outlineLevel="0" collapsed="false">
      <c r="A157" s="5" t="s">
        <v>1597</v>
      </c>
      <c r="C157" s="0" t="s">
        <v>390</v>
      </c>
      <c r="D157" s="19" t="str">
        <f aca="false">IF(In!H138="","",In!H138)</f>
        <v/>
      </c>
      <c r="E157" s="19" t="str">
        <f aca="false">IF(In!I138="","",In!I138)</f>
        <v/>
      </c>
      <c r="F157" s="19" t="str">
        <f aca="false">IF(In!J138="","",In!J138)</f>
        <v/>
      </c>
      <c r="G157" s="19" t="str">
        <f aca="false">IF(In!K138="","",In!K138)</f>
        <v/>
      </c>
      <c r="H157" s="19" t="str">
        <f aca="false">IF(In!L138="","",In!L138)</f>
        <v/>
      </c>
      <c r="I157" s="19" t="str">
        <f aca="false">IF(In!M138="","",In!M138)</f>
        <v/>
      </c>
      <c r="J157" s="19" t="str">
        <f aca="false">IF(In!N138="","",In!N138)</f>
        <v/>
      </c>
      <c r="K157" s="19" t="str">
        <f aca="false">IF(In!O138="","",In!O138)</f>
        <v/>
      </c>
      <c r="L157" s="19" t="str">
        <f aca="false">IF(In!P138="","",In!P138)</f>
        <v/>
      </c>
      <c r="M157" s="19" t="str">
        <f aca="false">IF(In!Q138="","",In!Q138)</f>
        <v/>
      </c>
    </row>
    <row r="158" customFormat="false" ht="17.15" hidden="false" customHeight="false" outlineLevel="0" collapsed="false">
      <c r="A158" s="5" t="s">
        <v>1598</v>
      </c>
      <c r="C158" s="0" t="s">
        <v>36</v>
      </c>
      <c r="D158" s="29" t="str">
        <f aca="false">IF(OR(D157="",N(D157)=0),"",D156/D157)</f>
        <v/>
      </c>
      <c r="E158" s="29" t="str">
        <f aca="false">IF(OR(E157="",N(E157)=0),"",E156/E157)</f>
        <v/>
      </c>
      <c r="F158" s="29" t="str">
        <f aca="false">IF(OR(F157="",N(F157)=0),"",F156/F157)</f>
        <v/>
      </c>
      <c r="G158" s="29" t="str">
        <f aca="false">IF(OR(G157="",N(G157)=0),"",G156/G157)</f>
        <v/>
      </c>
      <c r="H158" s="29" t="str">
        <f aca="false">IF(OR(H157="",N(H157)=0),"",H156/H157)</f>
        <v/>
      </c>
      <c r="I158" s="29" t="str">
        <f aca="false">IF(OR(I157="",N(I157)=0),"",I156/I157)</f>
        <v/>
      </c>
      <c r="J158" s="29" t="str">
        <f aca="false">IF(OR(J157="",N(J157)=0),"",J156/J157)</f>
        <v/>
      </c>
      <c r="K158" s="29" t="str">
        <f aca="false">IF(OR(K157="",N(K157)=0),"",K156/K157)</f>
        <v/>
      </c>
      <c r="L158" s="29" t="str">
        <f aca="false">IF(OR(L157="",N(L157)=0),"",L156/L157)</f>
        <v/>
      </c>
      <c r="M158" s="29" t="str">
        <f aca="false">IF(OR(M157="",N(M157)=0),"",M156/M157)</f>
        <v/>
      </c>
    </row>
    <row r="159" customFormat="false" ht="15" hidden="false" customHeight="false" outlineLevel="0" collapsed="false">
      <c r="A159" s="5" t="s">
        <v>1599</v>
      </c>
      <c r="C159" s="0" t="s">
        <v>35</v>
      </c>
      <c r="D159" s="0" t="str">
        <f aca="false">IF(D158="","無個股值",IF(D156=0,"瓦帳無新增",IF(AND(In!$E$138="Verified",FALSE()),IF(ABS(D158-1)&lt;=tolband,"對得上","偏差"),"證據不足（"&amp;IF(ABS(D158-1)&lt;=tolband,"帶內","帶外")&amp;"）")))</f>
        <v>無個股值</v>
      </c>
      <c r="E159" s="0" t="str">
        <f aca="false">IF(E158="","無個股值",IF(E156=0,"瓦帳無新增",IF(AND(In!$E$138="Verified",FALSE()),IF(ABS(E158-1)&lt;=tolband,"對得上","偏差"),"證據不足（"&amp;IF(ABS(E158-1)&lt;=tolband,"帶內","帶外")&amp;"）")))</f>
        <v>無個股值</v>
      </c>
      <c r="F159" s="0" t="str">
        <f aca="false">IF(F158="","無個股值",IF(F156=0,"瓦帳無新增",IF(AND(In!$E$138="Verified",FALSE()),IF(ABS(F158-1)&lt;=tolband,"對得上","偏差"),"證據不足（"&amp;IF(ABS(F158-1)&lt;=tolband,"帶內","帶外")&amp;"）")))</f>
        <v>無個股值</v>
      </c>
      <c r="G159" s="0" t="str">
        <f aca="false">IF(G158="","無個股值",IF(G156=0,"瓦帳無新增",IF(AND(In!$E$138="Verified",FALSE()),IF(ABS(G158-1)&lt;=tolband,"對得上","偏差"),"證據不足（"&amp;IF(ABS(G158-1)&lt;=tolband,"帶內","帶外")&amp;"）")))</f>
        <v>無個股值</v>
      </c>
      <c r="H159" s="0" t="str">
        <f aca="false">IF(H158="","無個股值",IF(H156=0,"瓦帳無新增",IF(AND(In!$E$138="Verified",FALSE()),IF(ABS(H158-1)&lt;=tolband,"對得上","偏差"),"證據不足（"&amp;IF(ABS(H158-1)&lt;=tolband,"帶內","帶外")&amp;"）")))</f>
        <v>無個股值</v>
      </c>
      <c r="I159" s="0" t="str">
        <f aca="false">IF(I158="","無個股值",IF(I156=0,"瓦帳無新增",IF(AND(In!$E$138="Verified",FALSE()),IF(ABS(I158-1)&lt;=tolband,"對得上","偏差"),"證據不足（"&amp;IF(ABS(I158-1)&lt;=tolband,"帶內","帶外")&amp;"）")))</f>
        <v>無個股值</v>
      </c>
      <c r="J159" s="0" t="str">
        <f aca="false">IF(J158="","無個股值",IF(J156=0,"瓦帳無新增",IF(AND(In!$E$138="Verified",FALSE()),IF(ABS(J158-1)&lt;=tolband,"對得上","偏差"),"證據不足（"&amp;IF(ABS(J158-1)&lt;=tolband,"帶內","帶外")&amp;"）")))</f>
        <v>無個股值</v>
      </c>
      <c r="K159" s="0" t="str">
        <f aca="false">IF(K158="","無個股值",IF(K156=0,"瓦帳無新增",IF(AND(In!$E$138="Verified",FALSE()),IF(ABS(K158-1)&lt;=tolband,"對得上","偏差"),"證據不足（"&amp;IF(ABS(K158-1)&lt;=tolband,"帶內","帶外")&amp;"）")))</f>
        <v>無個股值</v>
      </c>
      <c r="L159" s="0" t="str">
        <f aca="false">IF(L158="","無個股值",IF(L156=0,"瓦帳無新增",IF(AND(In!$E$138="Verified",FALSE()),IF(ABS(L158-1)&lt;=tolband,"對得上","偏差"),"證據不足（"&amp;IF(ABS(L158-1)&lt;=tolband,"帶內","帶外")&amp;"）")))</f>
        <v>無個股值</v>
      </c>
      <c r="M159" s="0" t="str">
        <f aca="false">IF(M158="","無個股值",IF(M156=0,"瓦帳無新增",IF(AND(In!$E$138="Verified",FALSE()),IF(ABS(M158-1)&lt;=tolband,"對得上","偏差"),"證據不足（"&amp;IF(ABS(M158-1)&lt;=tolband,"帶內","帶外")&amp;"）")))</f>
        <v>無個股值</v>
      </c>
    </row>
    <row r="162" customFormat="false" ht="17.15" hidden="false" customHeight="false" outlineLevel="0" collapsed="false">
      <c r="A162" s="8" t="s">
        <v>1609</v>
      </c>
    </row>
    <row r="163" customFormat="false" ht="17.15" hidden="false" customHeight="false" outlineLevel="0" collapsed="false">
      <c r="A163" s="6" t="s">
        <v>1332</v>
      </c>
      <c r="B163" s="6" t="s">
        <v>14</v>
      </c>
      <c r="C163" s="6" t="s">
        <v>1610</v>
      </c>
      <c r="D163" s="6" t="s">
        <v>1611</v>
      </c>
      <c r="E163" s="6" t="s">
        <v>1612</v>
      </c>
      <c r="F163" s="6" t="s">
        <v>1613</v>
      </c>
      <c r="G163" s="6" t="s">
        <v>1614</v>
      </c>
      <c r="H163" s="6" t="s">
        <v>1615</v>
      </c>
      <c r="I163" s="6" t="s">
        <v>1616</v>
      </c>
      <c r="J163" s="6" t="s">
        <v>1617</v>
      </c>
      <c r="K163" s="6" t="s">
        <v>1618</v>
      </c>
      <c r="L163" s="6" t="s">
        <v>20</v>
      </c>
    </row>
    <row r="164" customFormat="false" ht="17.15" hidden="false" customHeight="false" outlineLevel="0" collapsed="false">
      <c r="A164" s="0" t="s">
        <v>1301</v>
      </c>
      <c r="B164" s="0" t="s">
        <v>506</v>
      </c>
      <c r="C164" s="0" t="n">
        <v>2024</v>
      </c>
      <c r="D164" s="19" t="str">
        <f aca="false">Funding!D5</f>
        <v>FY2024</v>
      </c>
      <c r="E164" s="19" t="str">
        <f aca="false">Funding!W5</f>
        <v/>
      </c>
      <c r="F164" s="19" t="str">
        <f aca="false">""</f>
        <v/>
      </c>
      <c r="G164" s="19" t="str">
        <f aca="false">Funding!O5</f>
        <v/>
      </c>
      <c r="H164" s="32" t="str">
        <f aca="false">IF(OR(F164="",G164=""),"",G164-F164)</f>
        <v/>
      </c>
      <c r="I164" s="32" t="str">
        <f aca="false">IF(OR(E164="",H164=""),"",E164+H164)</f>
        <v/>
      </c>
      <c r="J164" s="30" t="n">
        <f aca="false">IF(In!I124="","",In!I124)</f>
        <v>44.477</v>
      </c>
      <c r="K164" s="29" t="str">
        <f aca="false">IF(OR(I164="",J164="",LEFT(D164,2)="20"),"",I164/J164)</f>
        <v/>
      </c>
      <c r="L164" s="5" t="s">
        <v>1619</v>
      </c>
    </row>
    <row r="165" customFormat="false" ht="17.15" hidden="false" customHeight="false" outlineLevel="0" collapsed="false">
      <c r="A165" s="0" t="s">
        <v>1301</v>
      </c>
      <c r="B165" s="0" t="s">
        <v>506</v>
      </c>
      <c r="C165" s="0" t="n">
        <v>2025</v>
      </c>
      <c r="D165" s="19" t="str">
        <f aca="false">Funding!D6</f>
        <v>FY2025</v>
      </c>
      <c r="E165" s="36" t="n">
        <f aca="false">Funding!W6</f>
        <v>85.062</v>
      </c>
      <c r="F165" s="19" t="str">
        <f aca="false">Funding!O5</f>
        <v/>
      </c>
      <c r="G165" s="36" t="n">
        <f aca="false">Funding!O6</f>
        <v>92.7</v>
      </c>
      <c r="H165" s="32" t="str">
        <f aca="false">IF(OR(F165="",G165=""),"",G165-F165)</f>
        <v/>
      </c>
      <c r="I165" s="32" t="str">
        <f aca="false">IF(OR(E165="",H165=""),"",E165+H165)</f>
        <v/>
      </c>
      <c r="J165" s="30" t="n">
        <f aca="false">IF(In!J124="","",In!J124)</f>
        <v>64.551</v>
      </c>
      <c r="K165" s="29" t="str">
        <f aca="false">IF(OR(I165="",J165="",LEFT(D165,2)="20"),"",I165/J165)</f>
        <v/>
      </c>
      <c r="L165" s="5" t="s">
        <v>1619</v>
      </c>
    </row>
    <row r="166" customFormat="false" ht="17.15" hidden="false" customHeight="false" outlineLevel="0" collapsed="false">
      <c r="A166" s="0" t="s">
        <v>1301</v>
      </c>
      <c r="B166" s="0" t="s">
        <v>506</v>
      </c>
      <c r="C166" s="0" t="n">
        <v>2026</v>
      </c>
      <c r="D166" s="19" t="str">
        <f aca="false">Funding!D7</f>
        <v>FY2026</v>
      </c>
      <c r="E166" s="36" t="n">
        <f aca="false">Funding!W7</f>
        <v>140.556</v>
      </c>
      <c r="F166" s="36" t="n">
        <f aca="false">Funding!O6</f>
        <v>92.7</v>
      </c>
      <c r="G166" s="36" t="n">
        <f aca="false">Funding!O7</f>
        <v>329.1</v>
      </c>
      <c r="H166" s="32" t="n">
        <f aca="false">IF(OR(F166="",G166=""),"",G166-F166)</f>
        <v>236.4</v>
      </c>
      <c r="I166" s="32" t="n">
        <f aca="false">IF(OR(E166="",H166=""),"",E166+H166)</f>
        <v>376.956</v>
      </c>
      <c r="J166" s="30" t="n">
        <f aca="false">IF(In!K124="","",In!K124)</f>
        <v>115.948</v>
      </c>
      <c r="K166" s="29" t="n">
        <f aca="false">IF(OR(I166="",J166="",LEFT(D166,2)="20"),"",I166/J166)</f>
        <v>3.25107806947942</v>
      </c>
      <c r="L166" s="5" t="s">
        <v>1619</v>
      </c>
    </row>
    <row r="167" customFormat="false" ht="17.15" hidden="false" customHeight="false" outlineLevel="0" collapsed="false">
      <c r="A167" s="0" t="s">
        <v>1302</v>
      </c>
      <c r="B167" s="0" t="s">
        <v>511</v>
      </c>
      <c r="C167" s="0" t="n">
        <v>2024</v>
      </c>
      <c r="D167" s="19" t="str">
        <f aca="false">Funding!D8</f>
        <v>CY2024</v>
      </c>
      <c r="E167" s="19" t="str">
        <f aca="false">Funding!W8</f>
        <v/>
      </c>
      <c r="F167" s="19" t="str">
        <f aca="false">""</f>
        <v/>
      </c>
      <c r="G167" s="19" t="str">
        <f aca="false">Funding!O8</f>
        <v/>
      </c>
      <c r="H167" s="32" t="str">
        <f aca="false">IF(OR(F167="",G167=""),"",G167-F167)</f>
        <v/>
      </c>
      <c r="I167" s="32" t="str">
        <f aca="false">IF(OR(E167="",H167=""),"",E167+H167)</f>
        <v/>
      </c>
      <c r="J167" s="19" t="str">
        <f aca="false">IF(In!I125="","",In!I125)</f>
        <v/>
      </c>
      <c r="K167" s="29" t="str">
        <f aca="false">IF(OR(I167="",J167="",LEFT(D167,2)="20"),"",I167/J167)</f>
        <v/>
      </c>
      <c r="L167" s="5" t="s">
        <v>1619</v>
      </c>
    </row>
    <row r="168" customFormat="false" ht="17.15" hidden="false" customHeight="false" outlineLevel="0" collapsed="false">
      <c r="A168" s="0" t="s">
        <v>1302</v>
      </c>
      <c r="B168" s="0" t="s">
        <v>511</v>
      </c>
      <c r="C168" s="0" t="n">
        <v>2025</v>
      </c>
      <c r="D168" s="19" t="str">
        <f aca="false">Funding!D9</f>
        <v>CY2025</v>
      </c>
      <c r="E168" s="36" t="n">
        <f aca="false">Funding!W9</f>
        <v>91.447</v>
      </c>
      <c r="F168" s="19" t="str">
        <f aca="false">Funding!O8</f>
        <v/>
      </c>
      <c r="G168" s="19" t="str">
        <f aca="false">Funding!O9</f>
        <v/>
      </c>
      <c r="H168" s="32" t="str">
        <f aca="false">IF(OR(F168="",G168=""),"",G168-F168)</f>
        <v/>
      </c>
      <c r="I168" s="32" t="str">
        <f aca="false">IF(OR(E168="",H168=""),"",E168+H168)</f>
        <v/>
      </c>
      <c r="J168" s="30" t="n">
        <f aca="false">IF(In!J125="","",In!J125)</f>
        <v>91.447</v>
      </c>
      <c r="K168" s="29" t="str">
        <f aca="false">IF(OR(I168="",J168="",LEFT(D168,2)="20"),"",I168/J168)</f>
        <v/>
      </c>
      <c r="L168" s="5" t="s">
        <v>1619</v>
      </c>
    </row>
    <row r="169" customFormat="false" ht="17.15" hidden="false" customHeight="false" outlineLevel="0" collapsed="false">
      <c r="A169" s="0" t="s">
        <v>1302</v>
      </c>
      <c r="B169" s="0" t="s">
        <v>511</v>
      </c>
      <c r="C169" s="0" t="n">
        <v>2026</v>
      </c>
      <c r="D169" s="19" t="str">
        <f aca="false">Funding!D10</f>
        <v>2026H1</v>
      </c>
      <c r="E169" s="36" t="n">
        <f aca="false">Funding!W10</f>
        <v>80.598</v>
      </c>
      <c r="F169" s="19" t="str">
        <f aca="false">Funding!O9</f>
        <v/>
      </c>
      <c r="G169" s="36" t="n">
        <f aca="false">Funding!O10</f>
        <v>85.2</v>
      </c>
      <c r="H169" s="32" t="str">
        <f aca="false">IF(OR(F169="",G169=""),"",G169-F169)</f>
        <v/>
      </c>
      <c r="I169" s="32" t="str">
        <f aca="false">IF(OR(E169="",H169=""),"",E169+H169)</f>
        <v/>
      </c>
      <c r="J169" s="30" t="n">
        <f aca="false">IF(In!K125="","",In!K125)</f>
        <v>200</v>
      </c>
      <c r="K169" s="29" t="str">
        <f aca="false">IF(OR(I169="",J169="",LEFT(D169,2)="20"),"",I169/J169)</f>
        <v/>
      </c>
      <c r="L169" s="5" t="s">
        <v>1619</v>
      </c>
    </row>
    <row r="170" customFormat="false" ht="17.15" hidden="false" customHeight="false" outlineLevel="0" collapsed="false">
      <c r="A170" s="0" t="s">
        <v>1303</v>
      </c>
      <c r="B170" s="0" t="s">
        <v>519</v>
      </c>
      <c r="C170" s="0" t="n">
        <v>2024</v>
      </c>
      <c r="D170" s="19" t="str">
        <f aca="false">Funding!D11</f>
        <v>CY2024</v>
      </c>
      <c r="E170" s="19" t="str">
        <f aca="false">Funding!W11</f>
        <v/>
      </c>
      <c r="F170" s="19" t="str">
        <f aca="false">""</f>
        <v/>
      </c>
      <c r="G170" s="19" t="str">
        <f aca="false">Funding!O11</f>
        <v/>
      </c>
      <c r="H170" s="32" t="str">
        <f aca="false">IF(OR(F170="",G170=""),"",G170-F170)</f>
        <v/>
      </c>
      <c r="I170" s="32" t="str">
        <f aca="false">IF(OR(E170="",H170=""),"",E170+H170)</f>
        <v/>
      </c>
      <c r="J170" s="19" t="str">
        <f aca="false">IF(In!I126="","",In!I126)</f>
        <v/>
      </c>
      <c r="K170" s="29" t="str">
        <f aca="false">IF(OR(I170="",J170="",LEFT(D170,2)="20"),"",I170/J170)</f>
        <v/>
      </c>
      <c r="L170" s="5" t="s">
        <v>1619</v>
      </c>
    </row>
    <row r="171" customFormat="false" ht="17.15" hidden="false" customHeight="false" outlineLevel="0" collapsed="false">
      <c r="A171" s="0" t="s">
        <v>1303</v>
      </c>
      <c r="B171" s="0" t="s">
        <v>519</v>
      </c>
      <c r="C171" s="0" t="n">
        <v>2025</v>
      </c>
      <c r="D171" s="19" t="str">
        <f aca="false">Funding!D12</f>
        <v>CY2025</v>
      </c>
      <c r="E171" s="36" t="n">
        <f aca="false">Funding!W12</f>
        <v>131.231</v>
      </c>
      <c r="F171" s="19" t="str">
        <f aca="false">Funding!O11</f>
        <v/>
      </c>
      <c r="G171" s="36" t="n">
        <f aca="false">Funding!O12</f>
        <v>96.4</v>
      </c>
      <c r="H171" s="32" t="str">
        <f aca="false">IF(OR(F171="",G171=""),"",G171-F171)</f>
        <v/>
      </c>
      <c r="I171" s="32" t="str">
        <f aca="false">IF(OR(E171="",H171=""),"",E171+H171)</f>
        <v/>
      </c>
      <c r="J171" s="30" t="n">
        <f aca="false">IF(In!J126="","",In!J126)</f>
        <v>128.32</v>
      </c>
      <c r="K171" s="29" t="str">
        <f aca="false">IF(OR(I171="",J171="",LEFT(D171,2)="20"),"",I171/J171)</f>
        <v/>
      </c>
      <c r="L171" s="5" t="s">
        <v>1619</v>
      </c>
    </row>
    <row r="172" customFormat="false" ht="17.15" hidden="false" customHeight="false" outlineLevel="0" collapsed="false">
      <c r="A172" s="0" t="s">
        <v>1303</v>
      </c>
      <c r="B172" s="0" t="s">
        <v>519</v>
      </c>
      <c r="C172" s="0" t="n">
        <v>2026</v>
      </c>
      <c r="D172" s="19" t="str">
        <f aca="false">Funding!D13</f>
        <v>2026H1</v>
      </c>
      <c r="E172" s="36" t="n">
        <f aca="false">Funding!W13</f>
        <v>98.438</v>
      </c>
      <c r="F172" s="36" t="n">
        <f aca="false">Funding!O12</f>
        <v>96.4</v>
      </c>
      <c r="G172" s="36" t="n">
        <f aca="false">Funding!O13</f>
        <v>137.214</v>
      </c>
      <c r="H172" s="32" t="n">
        <f aca="false">IF(OR(F172="",G172=""),"",G172-F172)</f>
        <v>40.814</v>
      </c>
      <c r="I172" s="32" t="n">
        <f aca="false">IF(OR(E172="",H172=""),"",E172+H172)</f>
        <v>139.252</v>
      </c>
      <c r="J172" s="30" t="n">
        <f aca="false">IF(In!K126="","",In!K126)</f>
        <v>220</v>
      </c>
      <c r="K172" s="29" t="str">
        <f aca="false">IF(OR(I172="",J172="",LEFT(D172,2)="20"),"",I172/J172)</f>
        <v/>
      </c>
      <c r="L172" s="5" t="s">
        <v>1619</v>
      </c>
    </row>
    <row r="173" customFormat="false" ht="17.15" hidden="false" customHeight="false" outlineLevel="0" collapsed="false">
      <c r="A173" s="0" t="s">
        <v>1038</v>
      </c>
      <c r="B173" s="0" t="s">
        <v>526</v>
      </c>
      <c r="C173" s="0" t="n">
        <v>2024</v>
      </c>
      <c r="D173" s="19" t="str">
        <f aca="false">Funding!D14</f>
        <v>CY2024</v>
      </c>
      <c r="E173" s="19" t="str">
        <f aca="false">Funding!W14</f>
        <v/>
      </c>
      <c r="F173" s="19" t="str">
        <f aca="false">""</f>
        <v/>
      </c>
      <c r="G173" s="19" t="str">
        <f aca="false">Funding!O14</f>
        <v/>
      </c>
      <c r="H173" s="32" t="str">
        <f aca="false">IF(OR(F173="",G173=""),"",G173-F173)</f>
        <v/>
      </c>
      <c r="I173" s="32" t="str">
        <f aca="false">IF(OR(E173="",H173=""),"",E173+H173)</f>
        <v/>
      </c>
      <c r="J173" s="19" t="str">
        <f aca="false">IF(In!I127="","",In!I127)</f>
        <v/>
      </c>
      <c r="K173" s="29" t="str">
        <f aca="false">IF(OR(I173="",J173="",LEFT(D173,2)="20"),"",I173/J173)</f>
        <v/>
      </c>
      <c r="L173" s="5" t="s">
        <v>1619</v>
      </c>
    </row>
    <row r="174" customFormat="false" ht="17.15" hidden="false" customHeight="false" outlineLevel="0" collapsed="false">
      <c r="A174" s="0" t="s">
        <v>1038</v>
      </c>
      <c r="B174" s="0" t="s">
        <v>526</v>
      </c>
      <c r="C174" s="0" t="n">
        <v>2025</v>
      </c>
      <c r="D174" s="19" t="str">
        <f aca="false">Funding!D15</f>
        <v>CY2025</v>
      </c>
      <c r="E174" s="36" t="n">
        <f aca="false">Funding!W15</f>
        <v>72.215</v>
      </c>
      <c r="F174" s="19" t="str">
        <f aca="false">Funding!O14</f>
        <v/>
      </c>
      <c r="G174" s="19" t="str">
        <f aca="false">Funding!O15</f>
        <v/>
      </c>
      <c r="H174" s="32" t="str">
        <f aca="false">IF(OR(F174="",G174=""),"",G174-F174)</f>
        <v/>
      </c>
      <c r="I174" s="32" t="str">
        <f aca="false">IF(OR(E174="",H174=""),"",E174+H174)</f>
        <v/>
      </c>
      <c r="J174" s="19" t="str">
        <f aca="false">IF(In!J127="","",In!J127)</f>
        <v/>
      </c>
      <c r="K174" s="29" t="str">
        <f aca="false">IF(OR(I174="",J174="",LEFT(D174,2)="20"),"",I174/J174)</f>
        <v/>
      </c>
      <c r="L174" s="5" t="s">
        <v>1619</v>
      </c>
    </row>
    <row r="175" customFormat="false" ht="17.15" hidden="false" customHeight="false" outlineLevel="0" collapsed="false">
      <c r="A175" s="0" t="s">
        <v>1038</v>
      </c>
      <c r="B175" s="0" t="s">
        <v>526</v>
      </c>
      <c r="C175" s="0" t="n">
        <v>2026</v>
      </c>
      <c r="D175" s="19" t="str">
        <f aca="false">Funding!D16</f>
        <v>9M2026</v>
      </c>
      <c r="E175" s="36" t="n">
        <f aca="false">Funding!W16</f>
        <v>85.824</v>
      </c>
      <c r="F175" s="19" t="str">
        <f aca="false">Funding!O15</f>
        <v/>
      </c>
      <c r="G175" s="36" t="n">
        <f aca="false">Funding!O16</f>
        <v>355.73</v>
      </c>
      <c r="H175" s="32" t="str">
        <f aca="false">IF(OR(F175="",G175=""),"",G175-F175)</f>
        <v/>
      </c>
      <c r="I175" s="32" t="str">
        <f aca="false">IF(OR(E175="",H175=""),"",E175+H175)</f>
        <v/>
      </c>
      <c r="J175" s="30" t="n">
        <f aca="false">IF(In!K127="","",In!K127)</f>
        <v>140</v>
      </c>
      <c r="K175" s="29" t="str">
        <f aca="false">IF(OR(I175="",J175="",LEFT(D175,2)="20"),"",I175/J175)</f>
        <v/>
      </c>
      <c r="L175" s="5" t="s">
        <v>1619</v>
      </c>
    </row>
    <row r="176" customFormat="false" ht="17.15" hidden="false" customHeight="false" outlineLevel="0" collapsed="false">
      <c r="A176" s="0" t="s">
        <v>1304</v>
      </c>
      <c r="B176" s="0" t="s">
        <v>530</v>
      </c>
      <c r="C176" s="0" t="n">
        <v>2024</v>
      </c>
      <c r="D176" s="19" t="str">
        <f aca="false">Funding!D17</f>
        <v>FY2024</v>
      </c>
      <c r="E176" s="19" t="str">
        <f aca="false">Funding!W17</f>
        <v/>
      </c>
      <c r="F176" s="19" t="str">
        <f aca="false">""</f>
        <v/>
      </c>
      <c r="G176" s="19" t="str">
        <f aca="false">Funding!O17</f>
        <v/>
      </c>
      <c r="H176" s="32" t="str">
        <f aca="false">IF(OR(F176="",G176=""),"",G176-F176)</f>
        <v/>
      </c>
      <c r="I176" s="32" t="str">
        <f aca="false">IF(OR(E176="",H176=""),"",E176+H176)</f>
        <v/>
      </c>
      <c r="J176" s="19" t="str">
        <f aca="false">IF(In!I128="","",In!I128)</f>
        <v/>
      </c>
      <c r="K176" s="29" t="str">
        <f aca="false">IF(OR(I176="",J176="",LEFT(D176,2)="20"),"",I176/J176)</f>
        <v/>
      </c>
      <c r="L176" s="5" t="s">
        <v>1619</v>
      </c>
    </row>
    <row r="177" customFormat="false" ht="17.15" hidden="false" customHeight="false" outlineLevel="0" collapsed="false">
      <c r="A177" s="0" t="s">
        <v>1304</v>
      </c>
      <c r="B177" s="0" t="s">
        <v>530</v>
      </c>
      <c r="C177" s="0" t="n">
        <v>2025</v>
      </c>
      <c r="D177" s="19" t="str">
        <f aca="false">Funding!D18</f>
        <v>FY2025</v>
      </c>
      <c r="E177" s="19" t="str">
        <f aca="false">Funding!W18</f>
        <v/>
      </c>
      <c r="F177" s="19" t="str">
        <f aca="false">Funding!O17</f>
        <v/>
      </c>
      <c r="G177" s="19" t="str">
        <f aca="false">Funding!O18</f>
        <v/>
      </c>
      <c r="H177" s="32" t="str">
        <f aca="false">IF(OR(F177="",G177=""),"",G177-F177)</f>
        <v/>
      </c>
      <c r="I177" s="32" t="str">
        <f aca="false">IF(OR(E177="",H177=""),"",E177+H177)</f>
        <v/>
      </c>
      <c r="J177" s="30" t="n">
        <f aca="false">IF(In!J128="","",In!J128)</f>
        <v>21.215</v>
      </c>
      <c r="K177" s="29" t="str">
        <f aca="false">IF(OR(I177="",J177="",LEFT(D177,2)="20"),"",I177/J177)</f>
        <v/>
      </c>
      <c r="L177" s="5" t="s">
        <v>1619</v>
      </c>
    </row>
    <row r="178" customFormat="false" ht="17.15" hidden="false" customHeight="false" outlineLevel="0" collapsed="false">
      <c r="A178" s="0" t="s">
        <v>1304</v>
      </c>
      <c r="B178" s="0" t="s">
        <v>530</v>
      </c>
      <c r="C178" s="0" t="n">
        <v>2026</v>
      </c>
      <c r="D178" s="19" t="str">
        <f aca="false">Funding!D19</f>
        <v>FY2026</v>
      </c>
      <c r="E178" s="36" t="n">
        <f aca="false">Funding!W19</f>
        <v>55.663</v>
      </c>
      <c r="F178" s="19" t="str">
        <f aca="false">Funding!O18</f>
        <v/>
      </c>
      <c r="G178" s="36" t="n">
        <f aca="false">Funding!O19</f>
        <v>260</v>
      </c>
      <c r="H178" s="32" t="str">
        <f aca="false">IF(OR(F178="",G178=""),"",G178-F178)</f>
        <v/>
      </c>
      <c r="I178" s="32" t="str">
        <f aca="false">IF(OR(E178="",H178=""),"",E178+H178)</f>
        <v/>
      </c>
      <c r="J178" s="30" t="n">
        <f aca="false">IF(In!K128="","",In!K128)</f>
        <v>55.663</v>
      </c>
      <c r="K178" s="29" t="str">
        <f aca="false">IF(OR(I178="",J178="",LEFT(D178,2)="20"),"",I178/J178)</f>
        <v/>
      </c>
      <c r="L178" s="5" t="s">
        <v>1619</v>
      </c>
    </row>
    <row r="179" customFormat="false" ht="17.15" hidden="false" customHeight="false" outlineLevel="0" collapsed="false">
      <c r="A179" s="0" t="s">
        <v>1076</v>
      </c>
      <c r="B179" s="0" t="s">
        <v>620</v>
      </c>
      <c r="C179" s="0" t="n">
        <v>2024</v>
      </c>
      <c r="D179" s="19" t="str">
        <f aca="false">Funding!D20</f>
        <v>CY2024</v>
      </c>
      <c r="E179" s="36" t="n">
        <f aca="false">Funding!W20</f>
        <v>8.702</v>
      </c>
      <c r="F179" s="19" t="str">
        <f aca="false">""</f>
        <v/>
      </c>
      <c r="G179" s="19" t="str">
        <f aca="false">Funding!O20</f>
        <v/>
      </c>
      <c r="H179" s="32" t="str">
        <f aca="false">IF(OR(F179="",G179=""),"",G179-F179)</f>
        <v/>
      </c>
      <c r="I179" s="32" t="str">
        <f aca="false">IF(OR(E179="",H179=""),"",E179+H179)</f>
        <v/>
      </c>
      <c r="J179" s="19" t="str">
        <f aca="false">IF(In!I129="","",In!I129)</f>
        <v/>
      </c>
      <c r="K179" s="29" t="str">
        <f aca="false">IF(OR(I179="",J179="",LEFT(D179,2)="20"),"",I179/J179)</f>
        <v/>
      </c>
      <c r="L179" s="5" t="s">
        <v>1619</v>
      </c>
    </row>
    <row r="180" customFormat="false" ht="17.15" hidden="false" customHeight="false" outlineLevel="0" collapsed="false">
      <c r="A180" s="0" t="s">
        <v>1076</v>
      </c>
      <c r="B180" s="0" t="s">
        <v>620</v>
      </c>
      <c r="C180" s="0" t="n">
        <v>2025</v>
      </c>
      <c r="D180" s="19" t="str">
        <f aca="false">Funding!D21</f>
        <v>CY2025</v>
      </c>
      <c r="E180" s="36" t="n">
        <f aca="false">Funding!W21</f>
        <v>10.309</v>
      </c>
      <c r="F180" s="19" t="str">
        <f aca="false">Funding!O20</f>
        <v/>
      </c>
      <c r="G180" s="19" t="str">
        <f aca="false">Funding!O21</f>
        <v/>
      </c>
      <c r="H180" s="32" t="str">
        <f aca="false">IF(OR(F180="",G180=""),"",G180-F180)</f>
        <v/>
      </c>
      <c r="I180" s="32" t="str">
        <f aca="false">IF(OR(E180="",H180=""),"",E180+H180)</f>
        <v/>
      </c>
      <c r="J180" s="19" t="str">
        <f aca="false">IF(In!J129="","",In!J129)</f>
        <v/>
      </c>
      <c r="K180" s="29" t="str">
        <f aca="false">IF(OR(I180="",J180="",LEFT(D180,2)="20"),"",I180/J180)</f>
        <v/>
      </c>
      <c r="L180" s="5" t="s">
        <v>1619</v>
      </c>
    </row>
    <row r="181" customFormat="false" ht="17.15" hidden="false" customHeight="false" outlineLevel="0" collapsed="false">
      <c r="A181" s="0" t="s">
        <v>1076</v>
      </c>
      <c r="B181" s="0" t="s">
        <v>620</v>
      </c>
      <c r="C181" s="0" t="n">
        <v>2026</v>
      </c>
      <c r="D181" s="19" t="str">
        <f aca="false">Funding!D22</f>
        <v>2026H1</v>
      </c>
      <c r="E181" s="36" t="n">
        <f aca="false">Funding!W22</f>
        <v>14.117</v>
      </c>
      <c r="F181" s="19" t="str">
        <f aca="false">Funding!O21</f>
        <v/>
      </c>
      <c r="G181" s="19" t="str">
        <f aca="false">Funding!O22</f>
        <v/>
      </c>
      <c r="H181" s="32" t="str">
        <f aca="false">IF(OR(F181="",G181=""),"",G181-F181)</f>
        <v/>
      </c>
      <c r="I181" s="32" t="str">
        <f aca="false">IF(OR(E181="",H181=""),"",E181+H181)</f>
        <v/>
      </c>
      <c r="J181" s="30" t="n">
        <f aca="false">IF(In!K129="","",In!K129)</f>
        <v>37</v>
      </c>
      <c r="K181" s="29" t="str">
        <f aca="false">IF(OR(I181="",J181="",LEFT(D181,2)="20"),"",I181/J181)</f>
        <v/>
      </c>
      <c r="L181" s="5" t="s">
        <v>1619</v>
      </c>
    </row>
    <row r="182" customFormat="false" ht="17.15" hidden="false" customHeight="false" outlineLevel="0" collapsed="false">
      <c r="A182" s="0" t="s">
        <v>1095</v>
      </c>
      <c r="B182" s="0" t="s">
        <v>651</v>
      </c>
      <c r="C182" s="0" t="n">
        <v>2025</v>
      </c>
      <c r="D182" s="19" t="str">
        <f aca="false">Funding!D23</f>
        <v>CY2025</v>
      </c>
      <c r="E182" s="36" t="n">
        <f aca="false">Funding!W23</f>
        <v>4.1</v>
      </c>
      <c r="F182" s="19" t="str">
        <f aca="false">""</f>
        <v/>
      </c>
      <c r="G182" s="19" t="str">
        <f aca="false">Funding!O23</f>
        <v/>
      </c>
      <c r="H182" s="32" t="str">
        <f aca="false">IF(OR(F182="",G182=""),"",G182-F182)</f>
        <v/>
      </c>
      <c r="I182" s="32" t="str">
        <f aca="false">IF(OR(E182="",H182=""),"",E182+H182)</f>
        <v/>
      </c>
      <c r="J182" s="30" t="n">
        <f aca="false">IF(In!J130="","",In!J130)</f>
        <v>4.066</v>
      </c>
      <c r="K182" s="29" t="str">
        <f aca="false">IF(OR(I182="",J182="",LEFT(D182,2)="20"),"",I182/J182)</f>
        <v/>
      </c>
      <c r="L182" s="5" t="s">
        <v>1619</v>
      </c>
    </row>
    <row r="183" customFormat="false" ht="17.15" hidden="false" customHeight="false" outlineLevel="0" collapsed="false">
      <c r="A183" s="0" t="s">
        <v>1095</v>
      </c>
      <c r="B183" s="0" t="s">
        <v>651</v>
      </c>
      <c r="C183" s="0" t="n">
        <v>2026</v>
      </c>
      <c r="D183" s="19" t="str">
        <f aca="false">Funding!D24</f>
        <v>2026H1</v>
      </c>
      <c r="E183" s="36" t="n">
        <f aca="false">Funding!W24</f>
        <v>8.13</v>
      </c>
      <c r="F183" s="19" t="str">
        <f aca="false">Funding!O23</f>
        <v/>
      </c>
      <c r="G183" s="36" t="n">
        <f aca="false">Funding!O24</f>
        <v>12.054</v>
      </c>
      <c r="H183" s="32" t="str">
        <f aca="false">IF(OR(F183="",G183=""),"",G183-F183)</f>
        <v/>
      </c>
      <c r="I183" s="32" t="str">
        <f aca="false">IF(OR(E183="",H183=""),"",E183+H183)</f>
        <v/>
      </c>
      <c r="J183" s="30" t="n">
        <f aca="false">IF(In!K130="","",In!K130)</f>
        <v>22.5</v>
      </c>
      <c r="K183" s="29" t="str">
        <f aca="false">IF(OR(I183="",J183="",LEFT(D183,2)="20"),"",I183/J183)</f>
        <v/>
      </c>
      <c r="L183" s="5" t="s">
        <v>1619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4" min="14" style="0" width="60"/>
  </cols>
  <sheetData>
    <row r="1" customFormat="false" ht="17.15" hidden="false" customHeight="false" outlineLevel="0" collapsed="false">
      <c r="A1" s="0" t="s">
        <v>1620</v>
      </c>
    </row>
    <row r="3" customFormat="false" ht="15" hidden="false" customHeight="false" outlineLevel="0" collapsed="false">
      <c r="A3" s="6" t="s">
        <v>15</v>
      </c>
      <c r="B3" s="6" t="s">
        <v>1378</v>
      </c>
      <c r="C3" s="6" t="s">
        <v>1535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6" t="s">
        <v>20</v>
      </c>
    </row>
    <row r="4" customFormat="false" ht="17.15" hidden="false" customHeight="false" outlineLevel="0" collapsed="false">
      <c r="A4" s="0" t="s">
        <v>1621</v>
      </c>
      <c r="B4" s="0" t="s">
        <v>1542</v>
      </c>
      <c r="G4" s="29" t="n">
        <f aca="false">SIL_In!$G$30</f>
        <v>23.3995380420639</v>
      </c>
      <c r="H4" s="29" t="n">
        <f aca="false">SIL_In!$H$30</f>
        <v>41.6467658260637</v>
      </c>
      <c r="I4" s="29" t="n">
        <f aca="false">SIL_In!$I$30</f>
        <v>52.792138191248</v>
      </c>
      <c r="J4" s="29" t="n">
        <f aca="false">SIL_In!$J$30</f>
        <v>60.1385917361115</v>
      </c>
      <c r="N4" s="20" t="s">
        <v>1622</v>
      </c>
    </row>
    <row r="5" customFormat="false" ht="17.15" hidden="false" customHeight="false" outlineLevel="0" collapsed="false">
      <c r="A5" s="5" t="s">
        <v>1623</v>
      </c>
      <c r="B5" s="0" t="s">
        <v>1542</v>
      </c>
      <c r="C5" s="0" t="s">
        <v>1382</v>
      </c>
      <c r="D5" s="29" t="n">
        <f aca="false">Deploy!D19</f>
        <v>0</v>
      </c>
      <c r="E5" s="29" t="n">
        <f aca="false">Deploy!E19</f>
        <v>1.61980834349181</v>
      </c>
      <c r="F5" s="29" t="n">
        <f aca="false">Deploy!F19</f>
        <v>9.04912429484716</v>
      </c>
      <c r="G5" s="29" t="n">
        <f aca="false">Deploy!G19</f>
        <v>12.5153714610592</v>
      </c>
      <c r="H5" s="29" t="n">
        <f aca="false">Deploy!H19</f>
        <v>22.9572539260371</v>
      </c>
      <c r="I5" s="29" t="n">
        <f aca="false">Deploy!I19</f>
        <v>26.9232927993498</v>
      </c>
      <c r="J5" s="29" t="n">
        <f aca="false">Deploy!J19</f>
        <v>27.6634681049025</v>
      </c>
      <c r="K5" s="29" t="n">
        <f aca="false">Deploy!K19</f>
        <v>28.1039834110243</v>
      </c>
      <c r="L5" s="29" t="n">
        <f aca="false">Deploy!L19</f>
        <v>24.6492774813065</v>
      </c>
      <c r="M5" s="29" t="n">
        <f aca="false">Deploy!M19</f>
        <v>16.8149790517012</v>
      </c>
    </row>
    <row r="6" customFormat="false" ht="17.15" hidden="false" customHeight="false" outlineLevel="0" collapsed="false">
      <c r="A6" s="5" t="s">
        <v>1623</v>
      </c>
      <c r="B6" s="0" t="s">
        <v>1542</v>
      </c>
      <c r="C6" s="0" t="s">
        <v>1383</v>
      </c>
      <c r="D6" s="29" t="n">
        <f aca="false">Deploy!D20</f>
        <v>0</v>
      </c>
      <c r="E6" s="29" t="n">
        <f aca="false">Deploy!E20</f>
        <v>1.61980834349181</v>
      </c>
      <c r="F6" s="29" t="n">
        <f aca="false">Deploy!F20</f>
        <v>9.04912429484716</v>
      </c>
      <c r="G6" s="29" t="n">
        <f aca="false">Deploy!G20</f>
        <v>11.7109117618926</v>
      </c>
      <c r="H6" s="29" t="n">
        <f aca="false">Deploy!H20</f>
        <v>19.5566525214805</v>
      </c>
      <c r="I6" s="29" t="n">
        <f aca="false">Deploy!I20</f>
        <v>25.98292349652</v>
      </c>
      <c r="J6" s="29" t="n">
        <f aca="false">Deploy!J20</f>
        <v>27.7131665930974</v>
      </c>
      <c r="K6" s="29" t="n">
        <f aca="false">Deploy!K20</f>
        <v>28.045443232453</v>
      </c>
      <c r="L6" s="29" t="n">
        <f aca="false">Deploy!L20</f>
        <v>25.2886760190071</v>
      </c>
      <c r="M6" s="29" t="n">
        <f aca="false">Deploy!M20</f>
        <v>18.3872312768822</v>
      </c>
    </row>
    <row r="7" customFormat="false" ht="17.15" hidden="false" customHeight="false" outlineLevel="0" collapsed="false">
      <c r="A7" s="5" t="s">
        <v>1624</v>
      </c>
      <c r="B7" s="0" t="s">
        <v>1542</v>
      </c>
      <c r="G7" s="29" t="n">
        <f aca="false">IF(N(G4)=0,"",G5/G4)</f>
        <v>0.534855493239272</v>
      </c>
      <c r="H7" s="29" t="n">
        <f aca="false">IF(N(H4)=0,"",H5/H4)</f>
        <v>0.551237376316741</v>
      </c>
      <c r="I7" s="29" t="n">
        <f aca="false">IF(N(I4)=0,"",I5/I4)</f>
        <v>0.509986784430208</v>
      </c>
      <c r="J7" s="29" t="n">
        <f aca="false">IF(N(J4)=0,"",J5/J4)</f>
        <v>0.459995276016604</v>
      </c>
    </row>
    <row r="8" customFormat="false" ht="17.15" hidden="false" customHeight="false" outlineLevel="0" collapsed="false">
      <c r="A8" s="5" t="s">
        <v>1625</v>
      </c>
      <c r="B8" s="0" t="s">
        <v>1542</v>
      </c>
      <c r="C8" s="0" t="s">
        <v>1382</v>
      </c>
      <c r="D8" s="29" t="n">
        <f aca="false">Deploy!D68</f>
        <v>0</v>
      </c>
      <c r="E8" s="29" t="n">
        <f aca="false">Deploy!E68</f>
        <v>1.61980834349181</v>
      </c>
      <c r="F8" s="29" t="n">
        <f aca="false">Deploy!F68</f>
        <v>9.04912429484716</v>
      </c>
      <c r="G8" s="29" t="n">
        <f aca="false">Deploy!G68</f>
        <v>12.5153714610592</v>
      </c>
      <c r="H8" s="29" t="n">
        <f aca="false">Deploy!H68</f>
        <v>8.46864512450717</v>
      </c>
      <c r="I8" s="29" t="n">
        <f aca="false">Deploy!I68</f>
        <v>18.3878807275757</v>
      </c>
      <c r="J8" s="29" t="n">
        <f aca="false">Deploy!J68</f>
        <v>5.72902133099746</v>
      </c>
      <c r="K8" s="29" t="n">
        <f aca="false">Deploy!K68</f>
        <v>6.50542926771514</v>
      </c>
      <c r="L8" s="29" t="n">
        <f aca="false">Deploy!L68</f>
        <v>7.40029929237132</v>
      </c>
      <c r="M8" s="29" t="n">
        <f aca="false">Deploy!M68</f>
        <v>8.43437905375593</v>
      </c>
    </row>
    <row r="9" customFormat="false" ht="17.15" hidden="false" customHeight="false" outlineLevel="0" collapsed="false">
      <c r="A9" s="5" t="s">
        <v>1625</v>
      </c>
      <c r="B9" s="0" t="s">
        <v>1542</v>
      </c>
      <c r="C9" s="0" t="s">
        <v>1383</v>
      </c>
      <c r="D9" s="29" t="n">
        <f aca="false">Deploy!D69</f>
        <v>0</v>
      </c>
      <c r="E9" s="29" t="n">
        <f aca="false">Deploy!E69</f>
        <v>1.61980834349181</v>
      </c>
      <c r="F9" s="29" t="n">
        <f aca="false">Deploy!F69</f>
        <v>9.04912429484716</v>
      </c>
      <c r="G9" s="29" t="n">
        <f aca="false">Deploy!G69</f>
        <v>11.7109117618926</v>
      </c>
      <c r="H9" s="29" t="n">
        <f aca="false">Deploy!H69</f>
        <v>7.6035502602183</v>
      </c>
      <c r="I9" s="29" t="n">
        <f aca="false">Deploy!I69</f>
        <v>16.4057019970387</v>
      </c>
      <c r="J9" s="29" t="n">
        <f aca="false">Deploy!J69</f>
        <v>8.12355089206531</v>
      </c>
      <c r="K9" s="29" t="n">
        <f aca="false">Deploy!K69</f>
        <v>6.38810787878956</v>
      </c>
      <c r="L9" s="29" t="n">
        <f aca="false">Deploy!L69</f>
        <v>7.27852203805649</v>
      </c>
      <c r="M9" s="29" t="n">
        <f aca="false">Deploy!M69</f>
        <v>8.45466509551362</v>
      </c>
    </row>
    <row r="10" customFormat="false" ht="17.15" hidden="false" customHeight="false" outlineLevel="0" collapsed="false">
      <c r="A10" s="5" t="s">
        <v>1626</v>
      </c>
      <c r="B10" s="0" t="s">
        <v>1542</v>
      </c>
      <c r="G10" s="29" t="n">
        <f aca="false">IF(N(G4)=0,"",G8/G4)</f>
        <v>0.534855493239272</v>
      </c>
      <c r="H10" s="29" t="n">
        <f aca="false">IF(N(H4)=0,"",H8/H4)</f>
        <v>0.203344604473639</v>
      </c>
      <c r="I10" s="29" t="n">
        <f aca="false">IF(N(I4)=0,"",I8/I4)</f>
        <v>0.348307179015228</v>
      </c>
      <c r="J10" s="29" t="n">
        <f aca="false">IF(N(J4)=0,"",J8/J4)</f>
        <v>0.0952636429555324</v>
      </c>
    </row>
    <row r="12" customFormat="false" ht="17.15" hidden="false" customHeight="false" outlineLevel="0" collapsed="false">
      <c r="A12" s="0" t="s">
        <v>1621</v>
      </c>
      <c r="B12" s="0" t="s">
        <v>1546</v>
      </c>
      <c r="G12" s="29" t="n">
        <f aca="false">SIL_In!$G$31</f>
        <v>23.3995380420639</v>
      </c>
      <c r="H12" s="29" t="n">
        <f aca="false">SIL_In!$H$31</f>
        <v>41.6467658260637</v>
      </c>
      <c r="I12" s="29" t="n">
        <f aca="false">SIL_In!$I$31</f>
        <v>42.2337105529984</v>
      </c>
      <c r="J12" s="29" t="n">
        <f aca="false">SIL_In!$J$31</f>
        <v>51.1178029756948</v>
      </c>
      <c r="N12" s="20" t="s">
        <v>1622</v>
      </c>
    </row>
    <row r="13" customFormat="false" ht="17.15" hidden="false" customHeight="false" outlineLevel="0" collapsed="false">
      <c r="A13" s="5" t="s">
        <v>1623</v>
      </c>
      <c r="B13" s="0" t="s">
        <v>1546</v>
      </c>
      <c r="C13" s="0" t="s">
        <v>1382</v>
      </c>
      <c r="D13" s="29" t="n">
        <f aca="false">Deploy!D35</f>
        <v>0</v>
      </c>
      <c r="E13" s="29" t="n">
        <f aca="false">Deploy!E35</f>
        <v>1.61980834349181</v>
      </c>
      <c r="F13" s="29" t="n">
        <f aca="false">Deploy!F35</f>
        <v>9.04912429484716</v>
      </c>
      <c r="G13" s="29" t="n">
        <f aca="false">Deploy!G35</f>
        <v>12.5153714610592</v>
      </c>
      <c r="H13" s="29" t="n">
        <f aca="false">Deploy!H35</f>
        <v>22.9572539260371</v>
      </c>
      <c r="I13" s="29" t="n">
        <f aca="false">Deploy!I35</f>
        <v>21.5386342394798</v>
      </c>
      <c r="J13" s="29" t="n">
        <f aca="false">Deploy!J35</f>
        <v>23.5139478891671</v>
      </c>
      <c r="K13" s="29" t="n">
        <f aca="false">Deploy!K35</f>
        <v>23.6808606072918</v>
      </c>
      <c r="L13" s="29" t="n">
        <f aca="false">Deploy!L35</f>
        <v>20.9662339237998</v>
      </c>
      <c r="M13" s="29" t="n">
        <f aca="false">Deploy!M35</f>
        <v>15.0509445380168</v>
      </c>
    </row>
    <row r="14" customFormat="false" ht="17.15" hidden="false" customHeight="false" outlineLevel="0" collapsed="false">
      <c r="A14" s="5" t="s">
        <v>1623</v>
      </c>
      <c r="B14" s="0" t="s">
        <v>1546</v>
      </c>
      <c r="C14" s="0" t="s">
        <v>1383</v>
      </c>
      <c r="D14" s="29" t="n">
        <f aca="false">Deploy!D36</f>
        <v>0</v>
      </c>
      <c r="E14" s="29" t="n">
        <f aca="false">Deploy!E36</f>
        <v>1.61980834349181</v>
      </c>
      <c r="F14" s="29" t="n">
        <f aca="false">Deploy!F36</f>
        <v>9.04912429484716</v>
      </c>
      <c r="G14" s="29" t="n">
        <f aca="false">Deploy!G36</f>
        <v>11.7109117618926</v>
      </c>
      <c r="H14" s="29" t="n">
        <f aca="false">Deploy!H36</f>
        <v>19.5566525214805</v>
      </c>
      <c r="I14" s="29" t="n">
        <f aca="false">Deploy!I36</f>
        <v>21.5405801846273</v>
      </c>
      <c r="J14" s="29" t="n">
        <f aca="false">Deploy!J36</f>
        <v>23.3474971671385</v>
      </c>
      <c r="K14" s="29" t="n">
        <f aca="false">Deploy!K36</f>
        <v>23.67020088162</v>
      </c>
      <c r="L14" s="29" t="n">
        <f aca="false">Deploy!L36</f>
        <v>21.4761185934109</v>
      </c>
      <c r="M14" s="29" t="n">
        <f aca="false">Deploy!M36</f>
        <v>16.2873701805288</v>
      </c>
    </row>
    <row r="15" customFormat="false" ht="17.15" hidden="false" customHeight="false" outlineLevel="0" collapsed="false">
      <c r="A15" s="5" t="s">
        <v>1624</v>
      </c>
      <c r="B15" s="0" t="s">
        <v>1546</v>
      </c>
      <c r="G15" s="29" t="n">
        <f aca="false">IF(N(G12)=0,"",G13/G12)</f>
        <v>0.534855493239272</v>
      </c>
      <c r="H15" s="29" t="n">
        <f aca="false">IF(N(H12)=0,"",H13/H12)</f>
        <v>0.551237376316741</v>
      </c>
      <c r="I15" s="29" t="n">
        <f aca="false">IF(N(I12)=0,"",I13/I12)</f>
        <v>0.509986784430208</v>
      </c>
      <c r="J15" s="29" t="n">
        <f aca="false">IF(N(J12)=0,"",J13/J12)</f>
        <v>0.459995276016604</v>
      </c>
    </row>
    <row r="16" customFormat="false" ht="17.15" hidden="false" customHeight="false" outlineLevel="0" collapsed="false">
      <c r="A16" s="5" t="s">
        <v>1625</v>
      </c>
      <c r="B16" s="0" t="s">
        <v>1546</v>
      </c>
      <c r="C16" s="0" t="s">
        <v>1382</v>
      </c>
      <c r="D16" s="29" t="n">
        <f aca="false">Deploy!D84</f>
        <v>0</v>
      </c>
      <c r="E16" s="29" t="n">
        <f aca="false">Deploy!E84</f>
        <v>1.61980834349181</v>
      </c>
      <c r="F16" s="29" t="n">
        <f aca="false">Deploy!F84</f>
        <v>9.04912429484716</v>
      </c>
      <c r="G16" s="29" t="n">
        <f aca="false">Deploy!G84</f>
        <v>12.5153714610592</v>
      </c>
      <c r="H16" s="29" t="n">
        <f aca="false">Deploy!H84</f>
        <v>8.46864512450717</v>
      </c>
      <c r="I16" s="29" t="n">
        <f aca="false">Deploy!I84</f>
        <v>14.7103045820606</v>
      </c>
      <c r="J16" s="29" t="n">
        <f aca="false">Deploy!J84</f>
        <v>4.86966813134784</v>
      </c>
      <c r="K16" s="29" t="n">
        <f aca="false">Deploy!K84</f>
        <v>5.70218199752964</v>
      </c>
      <c r="L16" s="29" t="n">
        <f aca="false">Deploy!L84</f>
        <v>6.67795112103725</v>
      </c>
      <c r="M16" s="29" t="n">
        <f aca="false">Deploy!M84</f>
        <v>7.8281265750875</v>
      </c>
    </row>
    <row r="17" customFormat="false" ht="17.15" hidden="false" customHeight="false" outlineLevel="0" collapsed="false">
      <c r="A17" s="5" t="s">
        <v>1625</v>
      </c>
      <c r="B17" s="0" t="s">
        <v>1546</v>
      </c>
      <c r="C17" s="0" t="s">
        <v>1383</v>
      </c>
      <c r="D17" s="29" t="n">
        <f aca="false">Deploy!D85</f>
        <v>0</v>
      </c>
      <c r="E17" s="29" t="n">
        <f aca="false">Deploy!E85</f>
        <v>1.61980834349181</v>
      </c>
      <c r="F17" s="29" t="n">
        <f aca="false">Deploy!F85</f>
        <v>9.04912429484716</v>
      </c>
      <c r="G17" s="29" t="n">
        <f aca="false">Deploy!G85</f>
        <v>11.7109117618926</v>
      </c>
      <c r="H17" s="29" t="n">
        <f aca="false">Deploy!H85</f>
        <v>7.6035502602183</v>
      </c>
      <c r="I17" s="29" t="n">
        <f aca="false">Deploy!I85</f>
        <v>13.3717016769887</v>
      </c>
      <c r="J17" s="29" t="n">
        <f aca="false">Deploy!J85</f>
        <v>6.77100867688923</v>
      </c>
      <c r="K17" s="29" t="n">
        <f aca="false">Deploy!K85</f>
        <v>5.57504207094783</v>
      </c>
      <c r="L17" s="29" t="n">
        <f aca="false">Deploy!L85</f>
        <v>6.54201652442342</v>
      </c>
      <c r="M17" s="29" t="n">
        <f aca="false">Deploy!M85</f>
        <v>7.8280958706287</v>
      </c>
    </row>
    <row r="18" customFormat="false" ht="17.15" hidden="false" customHeight="false" outlineLevel="0" collapsed="false">
      <c r="A18" s="5" t="s">
        <v>1626</v>
      </c>
      <c r="B18" s="0" t="s">
        <v>1546</v>
      </c>
      <c r="G18" s="29" t="n">
        <f aca="false">IF(N(G12)=0,"",G16/G12)</f>
        <v>0.534855493239272</v>
      </c>
      <c r="H18" s="29" t="n">
        <f aca="false">IF(N(H12)=0,"",H16/H12)</f>
        <v>0.203344604473639</v>
      </c>
      <c r="I18" s="29" t="n">
        <f aca="false">IF(N(I12)=0,"",I16/I12)</f>
        <v>0.348307179015228</v>
      </c>
      <c r="J18" s="29" t="n">
        <f aca="false">IF(N(J12)=0,"",J16/J12)</f>
        <v>0.0952636429555325</v>
      </c>
    </row>
    <row r="20" customFormat="false" ht="17.15" hidden="false" customHeight="false" outlineLevel="0" collapsed="false">
      <c r="A20" s="0" t="s">
        <v>1621</v>
      </c>
      <c r="B20" s="0" t="s">
        <v>1548</v>
      </c>
      <c r="G20" s="29" t="n">
        <f aca="false">SIL_In!$G$32</f>
        <v>23.3995380420639</v>
      </c>
      <c r="H20" s="29" t="n">
        <f aca="false">SIL_In!$H$32</f>
        <v>41.6467658260637</v>
      </c>
      <c r="I20" s="29" t="n">
        <f aca="false">SIL_In!$I$32</f>
        <v>31.6752829147488</v>
      </c>
      <c r="J20" s="29" t="n">
        <f aca="false">SIL_In!$J$32</f>
        <v>36.0831550416669</v>
      </c>
      <c r="N20" s="20" t="s">
        <v>1622</v>
      </c>
    </row>
    <row r="21" customFormat="false" ht="17.15" hidden="false" customHeight="false" outlineLevel="0" collapsed="false">
      <c r="A21" s="5" t="s">
        <v>1623</v>
      </c>
      <c r="B21" s="0" t="s">
        <v>1548</v>
      </c>
      <c r="C21" s="0" t="s">
        <v>1382</v>
      </c>
      <c r="D21" s="29" t="n">
        <f aca="false">Deploy!D51</f>
        <v>0</v>
      </c>
      <c r="E21" s="29" t="n">
        <f aca="false">Deploy!E51</f>
        <v>1.61980834349181</v>
      </c>
      <c r="F21" s="29" t="n">
        <f aca="false">Deploy!F51</f>
        <v>9.04912429484716</v>
      </c>
      <c r="G21" s="29" t="n">
        <f aca="false">Deploy!G51</f>
        <v>12.5153714610592</v>
      </c>
      <c r="H21" s="29" t="n">
        <f aca="false">Deploy!H51</f>
        <v>22.9572539260371</v>
      </c>
      <c r="I21" s="29" t="n">
        <f aca="false">Deploy!I51</f>
        <v>16.1539756796099</v>
      </c>
      <c r="J21" s="29" t="n">
        <f aca="false">Deploy!J51</f>
        <v>16.5980808629415</v>
      </c>
      <c r="K21" s="29" t="n">
        <f aca="false">Deploy!K51</f>
        <v>16.5704876286783</v>
      </c>
      <c r="L21" s="29" t="n">
        <f aca="false">Deploy!L51</f>
        <v>15.2592370965451</v>
      </c>
      <c r="M21" s="29" t="n">
        <f aca="false">Deploy!M51</f>
        <v>12.5391549988205</v>
      </c>
    </row>
    <row r="22" customFormat="false" ht="17.15" hidden="false" customHeight="false" outlineLevel="0" collapsed="false">
      <c r="A22" s="5" t="s">
        <v>1623</v>
      </c>
      <c r="B22" s="0" t="s">
        <v>1548</v>
      </c>
      <c r="C22" s="0" t="s">
        <v>1383</v>
      </c>
      <c r="D22" s="29" t="n">
        <f aca="false">Deploy!D52</f>
        <v>0</v>
      </c>
      <c r="E22" s="29" t="n">
        <f aca="false">Deploy!E52</f>
        <v>1.61980834349181</v>
      </c>
      <c r="F22" s="29" t="n">
        <f aca="false">Deploy!F52</f>
        <v>9.04912429484716</v>
      </c>
      <c r="G22" s="29" t="n">
        <f aca="false">Deploy!G52</f>
        <v>11.7109117618926</v>
      </c>
      <c r="H22" s="29" t="n">
        <f aca="false">Deploy!H52</f>
        <v>19.5566525214805</v>
      </c>
      <c r="I22" s="29" t="n">
        <f aca="false">Deploy!I52</f>
        <v>17.0982368727346</v>
      </c>
      <c r="J22" s="29" t="n">
        <f aca="false">Deploy!J52</f>
        <v>16.6995916225251</v>
      </c>
      <c r="K22" s="29" t="n">
        <f aca="false">Deploy!K52</f>
        <v>16.5938664446744</v>
      </c>
      <c r="L22" s="29" t="n">
        <f aca="false">Deploy!L52</f>
        <v>15.5235309396684</v>
      </c>
      <c r="M22" s="29" t="n">
        <f aca="false">Deploy!M52</f>
        <v>13.2164193659223</v>
      </c>
    </row>
    <row r="23" customFormat="false" ht="17.15" hidden="false" customHeight="false" outlineLevel="0" collapsed="false">
      <c r="A23" s="5" t="s">
        <v>1624</v>
      </c>
      <c r="B23" s="0" t="s">
        <v>1548</v>
      </c>
      <c r="G23" s="29" t="n">
        <f aca="false">IF(N(G20)=0,"",G21/G20)</f>
        <v>0.534855493239272</v>
      </c>
      <c r="H23" s="29" t="n">
        <f aca="false">IF(N(H20)=0,"",H21/H20)</f>
        <v>0.551237376316741</v>
      </c>
      <c r="I23" s="29" t="n">
        <f aca="false">IF(N(I20)=0,"",I21/I20)</f>
        <v>0.509986784430208</v>
      </c>
      <c r="J23" s="29" t="n">
        <f aca="false">IF(N(J20)=0,"",J21/J20)</f>
        <v>0.459995276016605</v>
      </c>
    </row>
    <row r="24" customFormat="false" ht="17.15" hidden="false" customHeight="false" outlineLevel="0" collapsed="false">
      <c r="A24" s="5" t="s">
        <v>1625</v>
      </c>
      <c r="B24" s="0" t="s">
        <v>1548</v>
      </c>
      <c r="C24" s="0" t="s">
        <v>1382</v>
      </c>
      <c r="D24" s="29" t="n">
        <f aca="false">Deploy!D100</f>
        <v>0</v>
      </c>
      <c r="E24" s="29" t="n">
        <f aca="false">Deploy!E100</f>
        <v>1.61980834349181</v>
      </c>
      <c r="F24" s="29" t="n">
        <f aca="false">Deploy!F100</f>
        <v>9.04912429484716</v>
      </c>
      <c r="G24" s="29" t="n">
        <f aca="false">Deploy!G100</f>
        <v>12.5153714610592</v>
      </c>
      <c r="H24" s="29" t="n">
        <f aca="false">Deploy!H100</f>
        <v>8.46864512450717</v>
      </c>
      <c r="I24" s="29" t="n">
        <f aca="false">Deploy!I100</f>
        <v>11.0327284365454</v>
      </c>
      <c r="J24" s="29" t="n">
        <f aca="false">Deploy!J100</f>
        <v>3.43741279859847</v>
      </c>
      <c r="K24" s="29" t="n">
        <f aca="false">Deploy!K100</f>
        <v>4.45532909903149</v>
      </c>
      <c r="L24" s="29" t="n">
        <f aca="false">Deploy!L100</f>
        <v>5.65325920182806</v>
      </c>
      <c r="M24" s="29" t="n">
        <f aca="false">Deploy!M100</f>
        <v>7.08998894549031</v>
      </c>
    </row>
    <row r="25" customFormat="false" ht="17.15" hidden="false" customHeight="false" outlineLevel="0" collapsed="false">
      <c r="A25" s="5" t="s">
        <v>1625</v>
      </c>
      <c r="B25" s="0" t="s">
        <v>1548</v>
      </c>
      <c r="C25" s="0" t="s">
        <v>1383</v>
      </c>
      <c r="D25" s="29" t="n">
        <f aca="false">Deploy!D101</f>
        <v>0</v>
      </c>
      <c r="E25" s="29" t="n">
        <f aca="false">Deploy!E101</f>
        <v>1.61980834349181</v>
      </c>
      <c r="F25" s="29" t="n">
        <f aca="false">Deploy!F101</f>
        <v>9.04912429484716</v>
      </c>
      <c r="G25" s="29" t="n">
        <f aca="false">Deploy!G101</f>
        <v>11.7109117618926</v>
      </c>
      <c r="H25" s="29" t="n">
        <f aca="false">Deploy!H101</f>
        <v>7.6035502602183</v>
      </c>
      <c r="I25" s="29" t="n">
        <f aca="false">Deploy!I101</f>
        <v>10.3377013569387</v>
      </c>
      <c r="J25" s="29" t="n">
        <f aca="false">Deploy!J101</f>
        <v>4.94582220190586</v>
      </c>
      <c r="K25" s="29" t="n">
        <f aca="false">Deploy!K101</f>
        <v>4.29574374645571</v>
      </c>
      <c r="L25" s="29" t="n">
        <f aca="false">Deploy!L101</f>
        <v>5.47844643383866</v>
      </c>
      <c r="M25" s="29" t="n">
        <f aca="false">Deploy!M101</f>
        <v>7.03981124034942</v>
      </c>
    </row>
    <row r="26" customFormat="false" ht="17.15" hidden="false" customHeight="false" outlineLevel="0" collapsed="false">
      <c r="A26" s="5" t="s">
        <v>1626</v>
      </c>
      <c r="B26" s="0" t="s">
        <v>1548</v>
      </c>
      <c r="G26" s="29" t="n">
        <f aca="false">IF(N(G20)=0,"",G24/G20)</f>
        <v>0.534855493239272</v>
      </c>
      <c r="H26" s="29" t="n">
        <f aca="false">IF(N(H20)=0,"",H24/H20)</f>
        <v>0.203344604473639</v>
      </c>
      <c r="I26" s="29" t="n">
        <f aca="false">IF(N(I20)=0,"",I24/I20)</f>
        <v>0.348307179015228</v>
      </c>
      <c r="J26" s="29" t="n">
        <f aca="false">IF(N(J20)=0,"",J24/J20)</f>
        <v>0.0952636429555324</v>
      </c>
    </row>
    <row r="28" customFormat="false" ht="17.15" hidden="false" customHeight="false" outlineLevel="0" collapsed="false">
      <c r="A28" s="21" t="s">
        <v>1627</v>
      </c>
    </row>
    <row r="29" customFormat="false" ht="17.15" hidden="false" customHeight="false" outlineLevel="0" collapsed="false">
      <c r="A29" s="5" t="s">
        <v>1628</v>
      </c>
      <c r="B29" s="0" t="s">
        <v>1542</v>
      </c>
      <c r="C29" s="0" t="s">
        <v>1382</v>
      </c>
      <c r="D29" s="29" t="n">
        <f aca="false">Deploy!D13</f>
        <v>0.630578355681972</v>
      </c>
      <c r="E29" s="29" t="n">
        <f aca="false">Deploy!E13</f>
        <v>6.20938570515285</v>
      </c>
      <c r="F29" s="29" t="n">
        <f aca="false">Deploy!F13</f>
        <v>25.3371433333333</v>
      </c>
      <c r="G29" s="29" t="n">
        <f aca="false">Deploy!G13</f>
        <v>37.8525147943925</v>
      </c>
      <c r="H29" s="29" t="n">
        <f aca="false">Deploy!H13</f>
        <v>60.8097687204296</v>
      </c>
      <c r="I29" s="29" t="n">
        <f aca="false">Deploy!I13</f>
        <v>87.7330615197793</v>
      </c>
      <c r="J29" s="29" t="n">
        <f aca="false">Deploy!J13</f>
        <v>115.396529624682</v>
      </c>
      <c r="K29" s="29" t="n">
        <f aca="false">Deploy!K13</f>
        <v>143.500513035706</v>
      </c>
      <c r="L29" s="29" t="n">
        <f aca="false">Deploy!L13</f>
        <v>168.149790517013</v>
      </c>
      <c r="M29" s="29" t="n">
        <f aca="false">Deploy!M13</f>
        <v>184.964769568714</v>
      </c>
    </row>
    <row r="30" customFormat="false" ht="17.15" hidden="false" customHeight="false" outlineLevel="0" collapsed="false">
      <c r="A30" s="5" t="s">
        <v>1629</v>
      </c>
      <c r="B30" s="0" t="s">
        <v>1542</v>
      </c>
      <c r="C30" s="0" t="s">
        <v>1382</v>
      </c>
      <c r="D30" s="29" t="n">
        <f aca="false">D29</f>
        <v>0.630578355681972</v>
      </c>
      <c r="E30" s="29" t="n">
        <f aca="false">E29</f>
        <v>6.20938570515285</v>
      </c>
      <c r="F30" s="29" t="n">
        <f aca="false">F29</f>
        <v>25.3371433333333</v>
      </c>
      <c r="G30" s="29" t="n">
        <f aca="false">G29</f>
        <v>37.8525147943925</v>
      </c>
      <c r="H30" s="29" t="n">
        <f aca="false">H29+MAX(0,tgt_xai_27-N(Players!H182))</f>
        <v>68.2247687204296</v>
      </c>
      <c r="I30" s="29" t="n">
        <f aca="false">I29+MAX(0,tgt_xai_27-N(Players!H182))</f>
        <v>95.1480615197794</v>
      </c>
      <c r="J30" s="29" t="n">
        <f aca="false">J29+MAX(0,tgt_xai_27-N(Players!H182))</f>
        <v>122.811529624682</v>
      </c>
      <c r="K30" s="29" t="n">
        <f aca="false">K29+MAX(0,tgt_xai_27-N(Players!H182))</f>
        <v>150.915513035706</v>
      </c>
      <c r="L30" s="29" t="n">
        <f aca="false">L29+MAX(0,tgt_xai_27-N(Players!H182))</f>
        <v>175.564790517013</v>
      </c>
      <c r="M30" s="29" t="n">
        <f aca="false">M29+MAX(0,tgt_xai_27-N(Players!H182))</f>
        <v>192.379769568714</v>
      </c>
      <c r="N30" s="20" t="s">
        <v>1630</v>
      </c>
    </row>
    <row r="31" customFormat="false" ht="17.15" hidden="false" customHeight="false" outlineLevel="0" collapsed="false">
      <c r="A31" s="5" t="s">
        <v>1631</v>
      </c>
      <c r="B31" s="0" t="s">
        <v>1542</v>
      </c>
      <c r="C31" s="0" t="s">
        <v>1382</v>
      </c>
      <c r="D31" s="29" t="n">
        <f aca="false">D29</f>
        <v>0.630578355681972</v>
      </c>
      <c r="E31" s="29" t="n">
        <f aca="false">E29</f>
        <v>6.20938570515285</v>
      </c>
      <c r="F31" s="29" t="n">
        <f aca="false">F29</f>
        <v>25.3371433333333</v>
      </c>
      <c r="G31" s="29" t="n">
        <f aca="false">G29</f>
        <v>37.8525147943925</v>
      </c>
      <c r="H31" s="29" t="n">
        <f aca="false">H29+(CapexGW!H147-CapexGW!H144)</f>
        <v>58.9584421947594</v>
      </c>
      <c r="I31" s="29" t="n">
        <f aca="false">I29+(CapexGW!H147-CapexGW!H144)+(CapexGW!I147-CapexGW!I144)</f>
        <v>83.3643139660573</v>
      </c>
      <c r="J31" s="29" t="n">
        <f aca="false">J29+(CapexGW!H147-CapexGW!H144)+(CapexGW!I147-CapexGW!I144)+(CapexGW!J147-CapexGW!J144)</f>
        <v>108.215788332853</v>
      </c>
      <c r="K31" s="29" t="n">
        <f aca="false">K29+(CapexGW!H147-CapexGW!H144)+(CapexGW!I147-CapexGW!I144)+(CapexGW!J147-CapexGW!J144)</f>
        <v>136.319771743878</v>
      </c>
      <c r="L31" s="29" t="n">
        <f aca="false">L29+(CapexGW!H147-CapexGW!H144)+(CapexGW!I147-CapexGW!I144)+(CapexGW!J147-CapexGW!J144)</f>
        <v>160.969049225184</v>
      </c>
      <c r="M31" s="29" t="n">
        <f aca="false">M29+(CapexGW!H147-CapexGW!H144)+(CapexGW!I147-CapexGW!I144)+(CapexGW!J147-CapexGW!J144)</f>
        <v>177.784028276885</v>
      </c>
      <c r="N31" s="20" t="s">
        <v>1632</v>
      </c>
    </row>
    <row r="32" customFormat="false" ht="17.15" hidden="false" customHeight="false" outlineLevel="0" collapsed="false">
      <c r="A32" s="5" t="s">
        <v>1633</v>
      </c>
      <c r="B32" s="0" t="s">
        <v>1542</v>
      </c>
      <c r="C32" s="0" t="s">
        <v>1382</v>
      </c>
      <c r="D32" s="29" t="n">
        <f aca="false">D29</f>
        <v>0.630578355681972</v>
      </c>
      <c r="E32" s="29" t="n">
        <f aca="false">E29</f>
        <v>6.20938570515285</v>
      </c>
      <c r="F32" s="29" t="n">
        <f aca="false">F29</f>
        <v>25.3371433333333</v>
      </c>
      <c r="G32" s="29" t="n">
        <f aca="false">G29</f>
        <v>37.8525147943925</v>
      </c>
      <c r="H32" s="29" t="n">
        <f aca="false">H29+(CapexGW!H148-CapexGW!H144)</f>
        <v>62.5942575184125</v>
      </c>
      <c r="I32" s="29" t="n">
        <f aca="false">I29+(CapexGW!H148-CapexGW!H144)+(CapexGW!I148-CapexGW!I144)</f>
        <v>91.9614972546483</v>
      </c>
      <c r="J32" s="29" t="n">
        <f aca="false">J29+(CapexGW!H148-CapexGW!H144)+(CapexGW!I148-CapexGW!I144)+(CapexGW!J148-CapexGW!J144)</f>
        <v>122.355392791673</v>
      </c>
      <c r="K32" s="29" t="n">
        <f aca="false">K29+(CapexGW!H148-CapexGW!H144)+(CapexGW!I148-CapexGW!I144)+(CapexGW!J148-CapexGW!J144)</f>
        <v>150.459376202698</v>
      </c>
      <c r="L32" s="29" t="n">
        <f aca="false">L29+(CapexGW!H148-CapexGW!H144)+(CapexGW!I148-CapexGW!I144)+(CapexGW!J148-CapexGW!J144)</f>
        <v>175.108653684004</v>
      </c>
      <c r="M32" s="29" t="n">
        <f aca="false">M29+(CapexGW!H148-CapexGW!H144)+(CapexGW!I148-CapexGW!I144)+(CapexGW!J148-CapexGW!J144)</f>
        <v>191.923632735705</v>
      </c>
      <c r="N32" s="20" t="s">
        <v>1632</v>
      </c>
    </row>
    <row r="33" customFormat="false" ht="17.15" hidden="false" customHeight="false" outlineLevel="0" collapsed="false">
      <c r="A33" s="5" t="s">
        <v>1634</v>
      </c>
      <c r="B33" s="0" t="s">
        <v>1542</v>
      </c>
      <c r="C33" s="0" t="s">
        <v>1382</v>
      </c>
      <c r="D33" s="29" t="n">
        <f aca="false">D29</f>
        <v>0.630578355681972</v>
      </c>
      <c r="E33" s="29" t="n">
        <f aca="false">E29</f>
        <v>6.20938570515285</v>
      </c>
      <c r="F33" s="29" t="n">
        <f aca="false">F29</f>
        <v>25.3371433333333</v>
      </c>
      <c r="G33" s="29" t="n">
        <f aca="false">G29</f>
        <v>37.8525147943925</v>
      </c>
      <c r="H33" s="29" t="n">
        <f aca="false">H29+(CapexGW!H149-CapexGW!H144)</f>
        <v>61.5852514206776</v>
      </c>
      <c r="I33" s="29" t="n">
        <f aca="false">I29+(CapexGW!H149-CapexGW!H144)+(CapexGW!I149-CapexGW!I144)</f>
        <v>89.0973919256298</v>
      </c>
      <c r="J33" s="29" t="n">
        <f aca="false">J29+(CapexGW!H149-CapexGW!H144)+(CapexGW!I149-CapexGW!I144)+(CapexGW!J149-CapexGW!J144)</f>
        <v>117.01061402028</v>
      </c>
      <c r="K33" s="29" t="n">
        <f aca="false">K29+(CapexGW!H149-CapexGW!H144)+(CapexGW!I149-CapexGW!I144)+(CapexGW!J149-CapexGW!J144)</f>
        <v>145.114597431304</v>
      </c>
      <c r="L33" s="29" t="n">
        <f aca="false">L29+(CapexGW!H149-CapexGW!H144)+(CapexGW!I149-CapexGW!I144)+(CapexGW!J149-CapexGW!J144)</f>
        <v>169.763874912611</v>
      </c>
      <c r="M33" s="29" t="n">
        <f aca="false">M29+(CapexGW!H149-CapexGW!H144)+(CapexGW!I149-CapexGW!I144)+(CapexGW!J149-CapexGW!J144)</f>
        <v>186.578853964312</v>
      </c>
      <c r="N33" s="20" t="s">
        <v>1632</v>
      </c>
    </row>
    <row r="34" customFormat="false" ht="17.15" hidden="false" customHeight="false" outlineLevel="0" collapsed="false">
      <c r="A34" s="5" t="s">
        <v>1635</v>
      </c>
      <c r="B34" s="0" t="s">
        <v>1542</v>
      </c>
      <c r="C34" s="0" t="s">
        <v>1382</v>
      </c>
      <c r="D34" s="29" t="n">
        <f aca="false">D29</f>
        <v>0.630578355681972</v>
      </c>
      <c r="E34" s="29" t="n">
        <f aca="false">E29</f>
        <v>6.20938570515285</v>
      </c>
      <c r="F34" s="29" t="n">
        <f aca="false">F29</f>
        <v>25.3371433333333</v>
      </c>
      <c r="G34" s="29" t="n">
        <f aca="false">G29</f>
        <v>37.8525147943925</v>
      </c>
      <c r="H34" s="29" t="n">
        <f aca="false">H29+(CapexGW!H150-CapexGW!H144)</f>
        <v>60.0342860201816</v>
      </c>
      <c r="I34" s="29" t="n">
        <f aca="false">I29+(CapexGW!H150-CapexGW!H144)+(CapexGW!I150-CapexGW!I144)</f>
        <v>86.3687311139289</v>
      </c>
      <c r="J34" s="29" t="n">
        <f aca="false">J29+(CapexGW!H150-CapexGW!H144)+(CapexGW!I150-CapexGW!I144)+(CapexGW!J150-CapexGW!J144)</f>
        <v>113.782445229084</v>
      </c>
      <c r="K34" s="29" t="n">
        <f aca="false">K29+(CapexGW!H150-CapexGW!H144)+(CapexGW!I150-CapexGW!I144)+(CapexGW!J150-CapexGW!J144)</f>
        <v>141.886428640108</v>
      </c>
      <c r="L34" s="29" t="n">
        <f aca="false">L29+(CapexGW!H150-CapexGW!H144)+(CapexGW!I150-CapexGW!I144)+(CapexGW!J150-CapexGW!J144)</f>
        <v>166.535706121415</v>
      </c>
      <c r="M34" s="29" t="n">
        <f aca="false">M29+(CapexGW!H150-CapexGW!H144)+(CapexGW!I150-CapexGW!I144)+(CapexGW!J150-CapexGW!J144)</f>
        <v>183.350685173116</v>
      </c>
      <c r="N34" s="20" t="s">
        <v>1632</v>
      </c>
    </row>
    <row r="36" customFormat="false" ht="17.15" hidden="false" customHeight="false" outlineLevel="0" collapsed="false">
      <c r="A36" s="5" t="s">
        <v>1636</v>
      </c>
    </row>
    <row r="37" customFormat="false" ht="17.15" hidden="false" customHeight="false" outlineLevel="0" collapsed="false">
      <c r="A37" s="0" t="s">
        <v>1637</v>
      </c>
    </row>
    <row r="38" customFormat="false" ht="17.15" hidden="false" customHeight="false" outlineLevel="0" collapsed="false">
      <c r="A38" s="0" t="s">
        <v>1638</v>
      </c>
    </row>
    <row r="39" customFormat="false" ht="17.15" hidden="false" customHeight="false" outlineLevel="0" collapsed="false">
      <c r="A39" s="0" t="s">
        <v>1639</v>
      </c>
    </row>
    <row r="40" customFormat="false" ht="17.15" hidden="false" customHeight="false" outlineLevel="0" collapsed="false">
      <c r="A40" s="0" t="s">
        <v>1640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7" min="4" style="0" width="10"/>
  </cols>
  <sheetData>
    <row r="1" customFormat="false" ht="17.15" hidden="false" customHeight="false" outlineLevel="0" collapsed="false">
      <c r="A1" s="0" t="s">
        <v>1641</v>
      </c>
    </row>
    <row r="2" customFormat="false" ht="17.15" hidden="false" customHeight="false" outlineLevel="0" collapsed="false">
      <c r="A2" s="5" t="s">
        <v>1642</v>
      </c>
    </row>
    <row r="3" customFormat="false" ht="17.15" hidden="false" customHeight="false" outlineLevel="0" collapsed="false">
      <c r="A3" s="5" t="s">
        <v>1643</v>
      </c>
    </row>
    <row r="4" customFormat="false" ht="17.15" hidden="false" customHeight="false" outlineLevel="0" collapsed="false">
      <c r="A4" s="6" t="s">
        <v>1332</v>
      </c>
      <c r="B4" s="6" t="s">
        <v>14</v>
      </c>
      <c r="C4" s="6" t="s">
        <v>1610</v>
      </c>
      <c r="D4" s="6" t="s">
        <v>1611</v>
      </c>
      <c r="E4" s="6" t="s">
        <v>1644</v>
      </c>
      <c r="F4" s="6" t="s">
        <v>1645</v>
      </c>
      <c r="G4" s="6" t="s">
        <v>1646</v>
      </c>
      <c r="H4" s="6" t="s">
        <v>1647</v>
      </c>
      <c r="I4" s="6" t="s">
        <v>1648</v>
      </c>
      <c r="J4" s="6" t="s">
        <v>1649</v>
      </c>
      <c r="K4" s="6" t="s">
        <v>1650</v>
      </c>
      <c r="L4" s="7" t="s">
        <v>1651</v>
      </c>
      <c r="M4" s="6" t="s">
        <v>1652</v>
      </c>
      <c r="N4" s="6" t="s">
        <v>1653</v>
      </c>
      <c r="O4" s="6" t="s">
        <v>1654</v>
      </c>
      <c r="P4" s="6" t="s">
        <v>1655</v>
      </c>
      <c r="Q4" s="6" t="s">
        <v>1656</v>
      </c>
      <c r="R4" s="6" t="s">
        <v>1657</v>
      </c>
      <c r="S4" s="6" t="s">
        <v>1658</v>
      </c>
      <c r="T4" s="6" t="s">
        <v>1659</v>
      </c>
      <c r="U4" s="6" t="s">
        <v>1660</v>
      </c>
      <c r="V4" s="6" t="s">
        <v>1661</v>
      </c>
      <c r="W4" s="6" t="s">
        <v>1662</v>
      </c>
      <c r="X4" s="6" t="s">
        <v>1663</v>
      </c>
      <c r="Y4" s="6" t="s">
        <v>1664</v>
      </c>
      <c r="Z4" s="6" t="s">
        <v>1665</v>
      </c>
      <c r="AA4" s="6" t="s">
        <v>1666</v>
      </c>
      <c r="AB4" s="6" t="s">
        <v>1667</v>
      </c>
      <c r="AC4" s="6" t="s">
        <v>1668</v>
      </c>
      <c r="AD4" s="6" t="s">
        <v>1669</v>
      </c>
      <c r="AE4" s="6" t="s">
        <v>1670</v>
      </c>
      <c r="AF4" s="6" t="s">
        <v>1671</v>
      </c>
      <c r="AG4" s="6" t="s">
        <v>1672</v>
      </c>
      <c r="AH4" s="6" t="s">
        <v>1673</v>
      </c>
      <c r="AI4" s="6" t="s">
        <v>1674</v>
      </c>
      <c r="AJ4" s="6" t="s">
        <v>1675</v>
      </c>
      <c r="AK4" s="6" t="s">
        <v>1676</v>
      </c>
      <c r="AL4" s="6" t="s">
        <v>1677</v>
      </c>
      <c r="AM4" s="6" t="s">
        <v>1678</v>
      </c>
      <c r="AN4" s="6" t="s">
        <v>1679</v>
      </c>
      <c r="AO4" s="6" t="s">
        <v>1680</v>
      </c>
      <c r="AP4" s="6" t="s">
        <v>1681</v>
      </c>
      <c r="AQ4" s="6" t="s">
        <v>1682</v>
      </c>
    </row>
    <row r="5" customFormat="false" ht="15" hidden="false" customHeight="false" outlineLevel="0" collapsed="false">
      <c r="A5" s="0" t="s">
        <v>1683</v>
      </c>
      <c r="B5" s="0" t="s">
        <v>506</v>
      </c>
      <c r="C5" s="0" t="n">
        <v>2024</v>
      </c>
      <c r="D5" s="0" t="s">
        <v>1684</v>
      </c>
      <c r="E5" s="32" t="str">
        <f aca="false">IF((COUNTIFS(FundRaw!$C$4:$C$233,"msft",FundRaw!$E$4:$E$233,"2024",FundRaw!$F$4:$F$233,"ocf",FundRaw!$O$4:$O$233,1))=0,"",SUMIFS(FundRaw!$G$4:$G$233,FundRaw!$C$4:$C$233,"msft",FundRaw!$E$4:$E$233,"2024",FundRaw!$F$4:$F$233,"ocf",FundRaw!$O$4:$O$233,1))</f>
        <v/>
      </c>
      <c r="F5" s="32" t="str">
        <f aca="false">IF((COUNTIFS(FundRaw!$C$4:$C$233,"msft",FundRaw!$E$4:$E$233,"2024",FundRaw!$F$4:$F$233,"capex_cash",FundRaw!$O$4:$O$233,1))=0,"",SUMIFS(FundRaw!$G$4:$G$233,FundRaw!$C$4:$C$233,"msft",FundRaw!$E$4:$E$233,"2024",FundRaw!$F$4:$F$233,"capex_cash",FundRaw!$O$4:$O$233,1))</f>
        <v/>
      </c>
      <c r="G5" s="32" t="str">
        <f aca="false">IF((COUNTIFS(FundRaw!$C$4:$C$233,"msft",FundRaw!$E$4:$E$233,"2024",FundRaw!$F$4:$F$233,"fin_lease_new",FundRaw!$O$4:$O$233,1))=0,"",SUMIFS(FundRaw!$G$4:$G$233,FundRaw!$C$4:$C$233,"msft",FundRaw!$E$4:$E$233,"2024",FundRaw!$F$4:$F$233,"fin_lease_new",FundRaw!$O$4:$O$233,1))</f>
        <v/>
      </c>
      <c r="H5" s="32" t="str">
        <f aca="false">IF((COUNTIFS(FundRaw!$C$4:$C$233,"msft",FundRaw!$E$4:$E$233,"2024",FundRaw!$F$4:$F$233,"capex_incl_fl",FundRaw!$O$4:$O$233,1))=0,"",SUMIFS(FundRaw!$G$4:$G$233,FundRaw!$C$4:$C$233,"msft",FundRaw!$E$4:$E$233,"2024",FundRaw!$F$4:$F$233,"capex_incl_fl",FundRaw!$O$4:$O$233,1))</f>
        <v/>
      </c>
      <c r="I5" s="32" t="str">
        <f aca="false">IF((COUNTIFS(FundRaw!$C$4:$C$233,"msft",FundRaw!$E$4:$E$233,"2024",FundRaw!$F$4:$F$233,"fcf",FundRaw!$O$4:$O$233,1))=0,"",SUMIFS(FundRaw!$G$4:$G$233,FundRaw!$C$4:$C$233,"msft",FundRaw!$E$4:$E$233,"2024",FundRaw!$F$4:$F$233,"fcf",FundRaw!$O$4:$O$233,1))</f>
        <v/>
      </c>
      <c r="J5" s="32" t="n">
        <f aca="false">IF((COUNTIFS(FundRaw!$C$4:$C$233,"msft",FundRaw!$E$4:$E$233,"2024",FundRaw!$F$4:$F$233,"bond_issue",FundRaw!$O$4:$O$233,1))=0,"",SUMIFS(FundRaw!$G$4:$G$233,FundRaw!$C$4:$C$233,"msft",FundRaw!$E$4:$E$233,"2024",FundRaw!$F$4:$F$233,"bond_issue",FundRaw!$O$4:$O$233,1))</f>
        <v>24.395</v>
      </c>
      <c r="K5" s="32" t="str">
        <f aca="false">IF((COUNTIFS(FundRaw!$C$4:$C$233,"msft",FundRaw!$E$4:$E$233,"2024",FundRaw!$F$4:$F$233,"term_loan",FundRaw!$O$4:$O$233,1))=0,"",SUMIFS(FundRaw!$G$4:$G$233,FundRaw!$C$4:$C$233,"msft",FundRaw!$E$4:$E$233,"2024",FundRaw!$F$4:$F$233,"term_loan",FundRaw!$O$4:$O$233,1))</f>
        <v/>
      </c>
      <c r="L5" s="32" t="str">
        <f aca="false">IF((COUNTIFS(FundRaw!$C$4:$C$233,"msft",FundRaw!$E$4:$E$233,"2024",FundRaw!$F$4:$F$233,"gpu_debt",FundRaw!$O$4:$O$233,1))=0,"",SUMIFS(FundRaw!$G$4:$G$233,FundRaw!$C$4:$C$233,"msft",FundRaw!$E$4:$E$233,"2024",FundRaw!$F$4:$F$233,"gpu_debt",FundRaw!$O$4:$O$233,1))</f>
        <v/>
      </c>
      <c r="M5" s="32" t="str">
        <f aca="false">IF((COUNTIFS(FundRaw!$C$4:$C$233,"msft",FundRaw!$E$4:$E$233,"2024",FundRaw!$F$4:$F$233,"private_credit",FundRaw!$O$4:$O$233,1))=0,"",SUMIFS(FundRaw!$G$4:$G$233,FundRaw!$C$4:$C$233,"msft",FundRaw!$E$4:$E$233,"2024",FundRaw!$F$4:$F$233,"private_credit",FundRaw!$O$4:$O$233,1))</f>
        <v/>
      </c>
      <c r="N5" s="32" t="str">
        <f aca="false">IF((COUNTIFS(FundRaw!$C$4:$C$233,"msft",FundRaw!$E$4:$E$233,"2024",FundRaw!$F$4:$F$233,"net_debt_change",FundRaw!$O$4:$O$233,1))=0,"",SUMIFS(FundRaw!$G$4:$G$233,FundRaw!$C$4:$C$233,"msft",FundRaw!$E$4:$E$233,"2024",FundRaw!$F$4:$F$233,"net_debt_change",FundRaw!$O$4:$O$233,1))</f>
        <v/>
      </c>
      <c r="O5" s="32" t="str">
        <f aca="false">IF((COUNTIFS(FundRaw!$C$4:$C$233,"msft",FundRaw!$E$4:$E$233,"2024",FundRaw!$F$4:$F$233,"lease_not_commenced",FundRaw!$O$4:$O$233,1))=0,"",SUMIFS(FundRaw!$G$4:$G$233,FundRaw!$C$4:$C$233,"msft",FundRaw!$E$4:$E$233,"2024",FundRaw!$F$4:$F$233,"lease_not_commenced",FundRaw!$O$4:$O$233,1))</f>
        <v/>
      </c>
      <c r="P5" s="32" t="str">
        <f aca="false">IF((COUNTIFS(FundRaw!$C$4:$C$233,"msft",FundRaw!$E$4:$E$233,"2024",FundRaw!$F$4:$F$233,"jv_offbalance",FundRaw!$O$4:$O$233,1))=0,"",SUMIFS(FundRaw!$G$4:$G$233,FundRaw!$C$4:$C$233,"msft",FundRaw!$E$4:$E$233,"2024",FundRaw!$F$4:$F$233,"jv_offbalance",FundRaw!$O$4:$O$233,1))</f>
        <v/>
      </c>
      <c r="Q5" s="32" t="str">
        <f aca="false">IF((COUNTIFS(FundRaw!$C$4:$C$233,"msft",FundRaw!$E$4:$E$233,"2024",FundRaw!$F$4:$F$233,"jv_exposure",FundRaw!$O$4:$O$233,1))=0,"",SUMIFS(FundRaw!$G$4:$G$233,FundRaw!$C$4:$C$233,"msft",FundRaw!$E$4:$E$233,"2024",FundRaw!$F$4:$F$233,"jv_exposure",FundRaw!$O$4:$O$233,1))</f>
        <v/>
      </c>
      <c r="R5" s="32" t="str">
        <f aca="false">IF((COUNTIFS(FundRaw!$C$4:$C$233,"msft",FundRaw!$E$4:$E$233,"2024",FundRaw!$F$4:$F$233,"equity_round",FundRaw!$O$4:$O$233,1))=0,"",SUMIFS(FundRaw!$G$4:$G$233,FundRaw!$C$4:$C$233,"msft",FundRaw!$E$4:$E$233,"2024",FundRaw!$F$4:$F$233,"equity_round",FundRaw!$O$4:$O$233,1))</f>
        <v/>
      </c>
      <c r="S5" s="32" t="str">
        <f aca="false">IF((COUNTIFS(FundRaw!$C$4:$C$233,"msft",FundRaw!$E$4:$E$233,"2024",FundRaw!$F$4:$F$233,"vendor_financing",FundRaw!$O$4:$O$233,1))=0,"",SUMIFS(FundRaw!$G$4:$G$233,FundRaw!$C$4:$C$233,"msft",FundRaw!$E$4:$E$233,"2024",FundRaw!$F$4:$F$233,"vendor_financing",FundRaw!$O$4:$O$233,1))</f>
        <v/>
      </c>
      <c r="T5" s="32" t="n">
        <f aca="false">IF((COUNTIFS(FundRaw!$C$4:$C$233,"msft",FundRaw!$E$4:$E$233,"2024",FundRaw!$F$4:$F$233,"buyback_div",FundRaw!$O$4:$O$233,1))=0,"",SUMIFS(FundRaw!$G$4:$G$233,FundRaw!$C$4:$C$233,"msft",FundRaw!$E$4:$E$233,"2024",FundRaw!$F$4:$F$233,"buyback_div",FundRaw!$O$4:$O$233,1))</f>
        <v>39.025</v>
      </c>
      <c r="U5" s="32" t="str">
        <f aca="false">IF((COUNTIFS(FundRaw!$C$4:$C$233,"msft",FundRaw!$E$4:$E$233,"2024",FundRaw!$F$4:$F$233,"gpu_debt_talks",FundRaw!$O$4:$O$233,1))=0,"",SUMIFS(FundRaw!$G$4:$G$233,FundRaw!$C$4:$C$233,"msft",FundRaw!$E$4:$E$233,"2024",FundRaw!$F$4:$F$233,"gpu_debt_talks",FundRaw!$O$4:$O$233,1))</f>
        <v/>
      </c>
      <c r="V5" s="32" t="str">
        <f aca="false">IF((COUNTIFS(FundRaw!$C$4:$C$233,"msft",FundRaw!$E$4:$E$233,"2024",FundRaw!$F$4:$F$233,"bridge_refi",FundRaw!$O$4:$O$233,1))=0,"",SUMIFS(FundRaw!$G$4:$G$233,FundRaw!$C$4:$C$233,"msft",FundRaw!$E$4:$E$233,"2024",FundRaw!$F$4:$F$233,"bridge_refi",FundRaw!$O$4:$O$233,1))</f>
        <v/>
      </c>
      <c r="W5" s="32" t="str">
        <f aca="false">IF(H5&lt;&gt;"",H5,IF(F5&lt;&gt;"",F5+N(G5),""))</f>
        <v/>
      </c>
      <c r="X5" s="32" t="str">
        <f aca="false">IF(OR(W5="",E5=""),"",MAX(0,MIN(N(E5),W5-N(Y5))))</f>
        <v/>
      </c>
      <c r="Y5" s="32" t="str">
        <f aca="false">IF(W5="","",IF(AND(H5&lt;&gt;"",F5&lt;&gt;""),MAX(0,H5-F5),N(G5)))</f>
        <v/>
      </c>
      <c r="Z5" s="32" t="str">
        <f aca="false">IF(W5="","",MAX(0,MIN(N(R5),W5-N(X5)-N(Y5))))</f>
        <v/>
      </c>
      <c r="AA5" s="32" t="str">
        <f aca="false">IF(W5="","",MAX(0,MIN(N(J5)+N(K5)+N(L5)+N(M5),W5-N(X5)-N(Y5)-N(Z5))))</f>
        <v/>
      </c>
      <c r="AB5" s="32" t="str">
        <f aca="false">IF(W5="","",W5-N(X5)-N(Y5)-N(Z5)-N(AA5))</f>
        <v/>
      </c>
      <c r="AC5" s="37" t="str">
        <f aca="false">IF(OR(W5="",N(W5)=0,X5=""),"",X5/W5)</f>
        <v/>
      </c>
      <c r="AD5" s="37" t="str">
        <f aca="false">IF(OR(W5="",N(W5)=0,Y5=""),"",Y5/W5)</f>
        <v/>
      </c>
      <c r="AE5" s="37" t="str">
        <f aca="false">IF(OR(W5="",N(W5)=0,Z5=""),"",Z5/W5)</f>
        <v/>
      </c>
      <c r="AF5" s="37" t="str">
        <f aca="false">IF(OR(W5="",N(W5)=0,AA5=""),"",AA5/W5)</f>
        <v/>
      </c>
      <c r="AG5" s="37" t="str">
        <f aca="false">IF(OR(W5="",N(W5)=0,AB5=""),"",AB5/W5)</f>
        <v/>
      </c>
      <c r="AH5" s="32" t="n">
        <f aca="false">N(J5)+N(K5)+N(L5)+N(M5)+N(R5)+N(G5)</f>
        <v>24.395</v>
      </c>
      <c r="AI5" s="22" t="n">
        <f aca="false">IF(N(AH5)=0,"",(N(J5)+N(K5)+N(L5)+N(M5))/AH5)</f>
        <v>1</v>
      </c>
      <c r="AJ5" s="22" t="n">
        <f aca="false">IF(N(AH5)=0,"",(N(R5))/AH5)</f>
        <v>0</v>
      </c>
      <c r="AK5" s="22" t="n">
        <f aca="false">IF(N(AH5)=0,"",(N(G5))/AH5)</f>
        <v>0</v>
      </c>
      <c r="AL5" s="32" t="n">
        <f aca="false">N(J5)+N(K5)+N(L5)+N(M5)+IF(AND(H5&lt;&gt;"",F5&lt;&gt;""),MAX(0,H5-F5),N(G5))+N(P5)+N(R5)</f>
        <v>24.395</v>
      </c>
      <c r="AM5" s="37" t="str">
        <f aca="false">IF(OR(W5="",N(W5)=0),"",AL5/W5)</f>
        <v/>
      </c>
      <c r="AN5" s="37" t="str">
        <f aca="false">IF(OR(W5="",N(W5)=0,E5=""),"",E5/W5)</f>
        <v/>
      </c>
      <c r="AO5" s="22" t="str">
        <f aca="false">IF(OR(W5="",N(W5)=0),"",(N(J5)+N(K5)+N(L5)+N(M5))/W5)</f>
        <v/>
      </c>
      <c r="AP5" s="22" t="str">
        <f aca="false">IF(OR(W5="",N(W5)=0),"",N(R5)/W5)</f>
        <v/>
      </c>
      <c r="AQ5" s="22" t="str">
        <f aca="false">IF(OR(W5="",N(W5)=0),"",(IF(AND(H5&lt;&gt;"",F5&lt;&gt;""),MAX(0,H5-F5),N(G5))+N(P5))/W5)</f>
        <v/>
      </c>
    </row>
    <row r="6" customFormat="false" ht="15" hidden="false" customHeight="false" outlineLevel="0" collapsed="false">
      <c r="A6" s="0" t="s">
        <v>1683</v>
      </c>
      <c r="B6" s="0" t="s">
        <v>506</v>
      </c>
      <c r="C6" s="0" t="n">
        <v>2025</v>
      </c>
      <c r="D6" s="0" t="s">
        <v>1685</v>
      </c>
      <c r="E6" s="32" t="n">
        <f aca="false">IF((COUNTIFS(FundRaw!$C$4:$C$233,"msft",FundRaw!$E$4:$E$233,"2025",FundRaw!$F$4:$F$233,"ocf",FundRaw!$O$4:$O$233,1))=0,"",SUMIFS(FundRaw!$G$4:$G$233,FundRaw!$C$4:$C$233,"msft",FundRaw!$E$4:$E$233,"2025",FundRaw!$F$4:$F$233,"ocf",FundRaw!$O$4:$O$233,1))</f>
        <v>136.162</v>
      </c>
      <c r="F6" s="32" t="n">
        <f aca="false">IF((COUNTIFS(FundRaw!$C$4:$C$233,"msft",FundRaw!$E$4:$E$233,"2025",FundRaw!$F$4:$F$233,"capex_cash",FundRaw!$O$4:$O$233,1))=0,"",SUMIFS(FundRaw!$G$4:$G$233,FundRaw!$C$4:$C$233,"msft",FundRaw!$E$4:$E$233,"2025",FundRaw!$F$4:$F$233,"capex_cash",FundRaw!$O$4:$O$233,1))</f>
        <v>64.551</v>
      </c>
      <c r="G6" s="32" t="n">
        <f aca="false">IF((COUNTIFS(FundRaw!$C$4:$C$233,"msft",FundRaw!$E$4:$E$233,"2025",FundRaw!$F$4:$F$233,"fin_lease_new",FundRaw!$O$4:$O$233,1))=0,"",SUMIFS(FundRaw!$G$4:$G$233,FundRaw!$C$4:$C$233,"msft",FundRaw!$E$4:$E$233,"2025",FundRaw!$F$4:$F$233,"fin_lease_new",FundRaw!$O$4:$O$233,1))</f>
        <v>20.511</v>
      </c>
      <c r="H6" s="32" t="n">
        <f aca="false">IF((COUNTIFS(FundRaw!$C$4:$C$233,"msft",FundRaw!$E$4:$E$233,"2025",FundRaw!$F$4:$F$233,"capex_incl_fl",FundRaw!$O$4:$O$233,1))=0,"",SUMIFS(FundRaw!$G$4:$G$233,FundRaw!$C$4:$C$233,"msft",FundRaw!$E$4:$E$233,"2025",FundRaw!$F$4:$F$233,"capex_incl_fl",FundRaw!$O$4:$O$233,1))</f>
        <v>85.062</v>
      </c>
      <c r="I6" s="32" t="str">
        <f aca="false">IF((COUNTIFS(FundRaw!$C$4:$C$233,"msft",FundRaw!$E$4:$E$233,"2025",FundRaw!$F$4:$F$233,"fcf",FundRaw!$O$4:$O$233,1))=0,"",SUMIFS(FundRaw!$G$4:$G$233,FundRaw!$C$4:$C$233,"msft",FundRaw!$E$4:$E$233,"2025",FundRaw!$F$4:$F$233,"fcf",FundRaw!$O$4:$O$233,1))</f>
        <v/>
      </c>
      <c r="J6" s="32" t="n">
        <f aca="false">IF((COUNTIFS(FundRaw!$C$4:$C$233,"msft",FundRaw!$E$4:$E$233,"2025",FundRaw!$F$4:$F$233,"bond_issue",FundRaw!$O$4:$O$233,1))=0,"",SUMIFS(FundRaw!$G$4:$G$233,FundRaw!$C$4:$C$233,"msft",FundRaw!$E$4:$E$233,"2025",FundRaw!$F$4:$F$233,"bond_issue",FundRaw!$O$4:$O$233,1))</f>
        <v>0</v>
      </c>
      <c r="K6" s="32" t="str">
        <f aca="false">IF((COUNTIFS(FundRaw!$C$4:$C$233,"msft",FundRaw!$E$4:$E$233,"2025",FundRaw!$F$4:$F$233,"term_loan",FundRaw!$O$4:$O$233,1))=0,"",SUMIFS(FundRaw!$G$4:$G$233,FundRaw!$C$4:$C$233,"msft",FundRaw!$E$4:$E$233,"2025",FundRaw!$F$4:$F$233,"term_loan",FundRaw!$O$4:$O$233,1))</f>
        <v/>
      </c>
      <c r="L6" s="32" t="str">
        <f aca="false">IF((COUNTIFS(FundRaw!$C$4:$C$233,"msft",FundRaw!$E$4:$E$233,"2025",FundRaw!$F$4:$F$233,"gpu_debt",FundRaw!$O$4:$O$233,1))=0,"",SUMIFS(FundRaw!$G$4:$G$233,FundRaw!$C$4:$C$233,"msft",FundRaw!$E$4:$E$233,"2025",FundRaw!$F$4:$F$233,"gpu_debt",FundRaw!$O$4:$O$233,1))</f>
        <v/>
      </c>
      <c r="M6" s="32" t="str">
        <f aca="false">IF((COUNTIFS(FundRaw!$C$4:$C$233,"msft",FundRaw!$E$4:$E$233,"2025",FundRaw!$F$4:$F$233,"private_credit",FundRaw!$O$4:$O$233,1))=0,"",SUMIFS(FundRaw!$G$4:$G$233,FundRaw!$C$4:$C$233,"msft",FundRaw!$E$4:$E$233,"2025",FundRaw!$F$4:$F$233,"private_credit",FundRaw!$O$4:$O$233,1))</f>
        <v/>
      </c>
      <c r="N6" s="32" t="str">
        <f aca="false">IF((COUNTIFS(FundRaw!$C$4:$C$233,"msft",FundRaw!$E$4:$E$233,"2025",FundRaw!$F$4:$F$233,"net_debt_change",FundRaw!$O$4:$O$233,1))=0,"",SUMIFS(FundRaw!$G$4:$G$233,FundRaw!$C$4:$C$233,"msft",FundRaw!$E$4:$E$233,"2025",FundRaw!$F$4:$F$233,"net_debt_change",FundRaw!$O$4:$O$233,1))</f>
        <v/>
      </c>
      <c r="O6" s="32" t="n">
        <f aca="false">IF((COUNTIFS(FundRaw!$C$4:$C$233,"msft",FundRaw!$E$4:$E$233,"2025",FundRaw!$F$4:$F$233,"lease_not_commenced",FundRaw!$O$4:$O$233,1))=0,"",SUMIFS(FundRaw!$G$4:$G$233,FundRaw!$C$4:$C$233,"msft",FundRaw!$E$4:$E$233,"2025",FundRaw!$F$4:$F$233,"lease_not_commenced",FundRaw!$O$4:$O$233,1))</f>
        <v>92.7</v>
      </c>
      <c r="P6" s="32" t="str">
        <f aca="false">IF((COUNTIFS(FundRaw!$C$4:$C$233,"msft",FundRaw!$E$4:$E$233,"2025",FundRaw!$F$4:$F$233,"jv_offbalance",FundRaw!$O$4:$O$233,1))=0,"",SUMIFS(FundRaw!$G$4:$G$233,FundRaw!$C$4:$C$233,"msft",FundRaw!$E$4:$E$233,"2025",FundRaw!$F$4:$F$233,"jv_offbalance",FundRaw!$O$4:$O$233,1))</f>
        <v/>
      </c>
      <c r="Q6" s="32" t="str">
        <f aca="false">IF((COUNTIFS(FundRaw!$C$4:$C$233,"msft",FundRaw!$E$4:$E$233,"2025",FundRaw!$F$4:$F$233,"jv_exposure",FundRaw!$O$4:$O$233,1))=0,"",SUMIFS(FundRaw!$G$4:$G$233,FundRaw!$C$4:$C$233,"msft",FundRaw!$E$4:$E$233,"2025",FundRaw!$F$4:$F$233,"jv_exposure",FundRaw!$O$4:$O$233,1))</f>
        <v/>
      </c>
      <c r="R6" s="32" t="str">
        <f aca="false">IF((COUNTIFS(FundRaw!$C$4:$C$233,"msft",FundRaw!$E$4:$E$233,"2025",FundRaw!$F$4:$F$233,"equity_round",FundRaw!$O$4:$O$233,1))=0,"",SUMIFS(FundRaw!$G$4:$G$233,FundRaw!$C$4:$C$233,"msft",FundRaw!$E$4:$E$233,"2025",FundRaw!$F$4:$F$233,"equity_round",FundRaw!$O$4:$O$233,1))</f>
        <v/>
      </c>
      <c r="S6" s="32" t="str">
        <f aca="false">IF((COUNTIFS(FundRaw!$C$4:$C$233,"msft",FundRaw!$E$4:$E$233,"2025",FundRaw!$F$4:$F$233,"vendor_financing",FundRaw!$O$4:$O$233,1))=0,"",SUMIFS(FundRaw!$G$4:$G$233,FundRaw!$C$4:$C$233,"msft",FundRaw!$E$4:$E$233,"2025",FundRaw!$F$4:$F$233,"vendor_financing",FundRaw!$O$4:$O$233,1))</f>
        <v/>
      </c>
      <c r="T6" s="32" t="n">
        <f aca="false">IF((COUNTIFS(FundRaw!$C$4:$C$233,"msft",FundRaw!$E$4:$E$233,"2025",FundRaw!$F$4:$F$233,"buyback_div",FundRaw!$O$4:$O$233,1))=0,"",SUMIFS(FundRaw!$G$4:$G$233,FundRaw!$C$4:$C$233,"msft",FundRaw!$E$4:$E$233,"2025",FundRaw!$F$4:$F$233,"buyback_div",FundRaw!$O$4:$O$233,1))</f>
        <v>42.502</v>
      </c>
      <c r="U6" s="32" t="str">
        <f aca="false">IF((COUNTIFS(FundRaw!$C$4:$C$233,"msft",FundRaw!$E$4:$E$233,"2025",FundRaw!$F$4:$F$233,"gpu_debt_talks",FundRaw!$O$4:$O$233,1))=0,"",SUMIFS(FundRaw!$G$4:$G$233,FundRaw!$C$4:$C$233,"msft",FundRaw!$E$4:$E$233,"2025",FundRaw!$F$4:$F$233,"gpu_debt_talks",FundRaw!$O$4:$O$233,1))</f>
        <v/>
      </c>
      <c r="V6" s="32" t="str">
        <f aca="false">IF((COUNTIFS(FundRaw!$C$4:$C$233,"msft",FundRaw!$E$4:$E$233,"2025",FundRaw!$F$4:$F$233,"bridge_refi",FundRaw!$O$4:$O$233,1))=0,"",SUMIFS(FundRaw!$G$4:$G$233,FundRaw!$C$4:$C$233,"msft",FundRaw!$E$4:$E$233,"2025",FundRaw!$F$4:$F$233,"bridge_refi",FundRaw!$O$4:$O$233,1))</f>
        <v/>
      </c>
      <c r="W6" s="32" t="n">
        <f aca="false">IF(H6&lt;&gt;"",H6,IF(F6&lt;&gt;"",F6+N(G6),""))</f>
        <v>85.062</v>
      </c>
      <c r="X6" s="32" t="n">
        <f aca="false">IF(OR(W6="",E6=""),"",MAX(0,MIN(N(E6),W6-N(Y6))))</f>
        <v>64.551</v>
      </c>
      <c r="Y6" s="32" t="n">
        <f aca="false">IF(W6="","",IF(AND(H6&lt;&gt;"",F6&lt;&gt;""),MAX(0,H6-F6),N(G6)))</f>
        <v>20.511</v>
      </c>
      <c r="Z6" s="32" t="n">
        <f aca="false">IF(W6="","",MAX(0,MIN(N(R6),W6-N(X6)-N(Y6))))</f>
        <v>0</v>
      </c>
      <c r="AA6" s="32" t="n">
        <f aca="false">IF(W6="","",MAX(0,MIN(N(J6)+N(K6)+N(L6)+N(M6),W6-N(X6)-N(Y6)-N(Z6))))</f>
        <v>0</v>
      </c>
      <c r="AB6" s="32" t="n">
        <f aca="false">IF(W6="","",W6-N(X6)-N(Y6)-N(Z6)-N(AA6))</f>
        <v>0</v>
      </c>
      <c r="AC6" s="37" t="n">
        <f aca="false">IF(OR(W6="",N(W6)=0,X6=""),"",X6/W6)</f>
        <v>0.758870000705368</v>
      </c>
      <c r="AD6" s="37" t="n">
        <f aca="false">IF(OR(W6="",N(W6)=0,Y6=""),"",Y6/W6)</f>
        <v>0.241129999294632</v>
      </c>
      <c r="AE6" s="37" t="n">
        <f aca="false">IF(OR(W6="",N(W6)=0,Z6=""),"",Z6/W6)</f>
        <v>0</v>
      </c>
      <c r="AF6" s="37" t="n">
        <f aca="false">IF(OR(W6="",N(W6)=0,AA6=""),"",AA6/W6)</f>
        <v>0</v>
      </c>
      <c r="AG6" s="37" t="n">
        <f aca="false">IF(OR(W6="",N(W6)=0,AB6=""),"",AB6/W6)</f>
        <v>0</v>
      </c>
      <c r="AH6" s="32" t="n">
        <f aca="false">N(J6)+N(K6)+N(L6)+N(M6)+N(R6)+N(G6)</f>
        <v>20.511</v>
      </c>
      <c r="AI6" s="22" t="n">
        <f aca="false">IF(N(AH6)=0,"",(N(J6)+N(K6)+N(L6)+N(M6))/AH6)</f>
        <v>0</v>
      </c>
      <c r="AJ6" s="22" t="n">
        <f aca="false">IF(N(AH6)=0,"",(N(R6))/AH6)</f>
        <v>0</v>
      </c>
      <c r="AK6" s="22" t="n">
        <f aca="false">IF(N(AH6)=0,"",(N(G6))/AH6)</f>
        <v>1</v>
      </c>
      <c r="AL6" s="32" t="n">
        <f aca="false">N(J6)+N(K6)+N(L6)+N(M6)+IF(AND(H6&lt;&gt;"",F6&lt;&gt;""),MAX(0,H6-F6),N(G6))+N(P6)+N(R6)</f>
        <v>20.511</v>
      </c>
      <c r="AM6" s="37" t="n">
        <f aca="false">IF(OR(W6="",N(W6)=0),"",AL6/W6)</f>
        <v>0.241129999294632</v>
      </c>
      <c r="AN6" s="37" t="n">
        <f aca="false">IF(OR(W6="",N(W6)=0,E6=""),"",E6/W6)</f>
        <v>1.60073828501564</v>
      </c>
      <c r="AO6" s="22" t="n">
        <f aca="false">IF(OR(W6="",N(W6)=0),"",(N(J6)+N(K6)+N(L6)+N(M6))/W6)</f>
        <v>0</v>
      </c>
      <c r="AP6" s="22" t="n">
        <f aca="false">IF(OR(W6="",N(W6)=0),"",N(R6)/W6)</f>
        <v>0</v>
      </c>
      <c r="AQ6" s="22" t="n">
        <f aca="false">IF(OR(W6="",N(W6)=0),"",(IF(AND(H6&lt;&gt;"",F6&lt;&gt;""),MAX(0,H6-F6),N(G6))+N(P6))/W6)</f>
        <v>0.241129999294632</v>
      </c>
    </row>
    <row r="7" customFormat="false" ht="15" hidden="false" customHeight="false" outlineLevel="0" collapsed="false">
      <c r="A7" s="0" t="s">
        <v>1683</v>
      </c>
      <c r="B7" s="0" t="s">
        <v>506</v>
      </c>
      <c r="C7" s="0" t="n">
        <v>2026</v>
      </c>
      <c r="D7" s="0" t="s">
        <v>1686</v>
      </c>
      <c r="E7" s="32" t="n">
        <f aca="false">IF((COUNTIFS(FundRaw!$C$4:$C$233,"msft",FundRaw!$E$4:$E$233,"2026",FundRaw!$F$4:$F$233,"ocf",FundRaw!$O$4:$O$233,1))=0,"",SUMIFS(FundRaw!$G$4:$G$233,FundRaw!$C$4:$C$233,"msft",FundRaw!$E$4:$E$233,"2026",FundRaw!$F$4:$F$233,"ocf",FundRaw!$O$4:$O$233,1))</f>
        <v>182.935</v>
      </c>
      <c r="F7" s="32" t="n">
        <f aca="false">IF((COUNTIFS(FundRaw!$C$4:$C$233,"msft",FundRaw!$E$4:$E$233,"2026",FundRaw!$F$4:$F$233,"capex_cash",FundRaw!$O$4:$O$233,1))=0,"",SUMIFS(FundRaw!$G$4:$G$233,FundRaw!$C$4:$C$233,"msft",FundRaw!$E$4:$E$233,"2026",FundRaw!$F$4:$F$233,"capex_cash",FundRaw!$O$4:$O$233,1))</f>
        <v>115.948</v>
      </c>
      <c r="G7" s="32" t="str">
        <f aca="false">IF((COUNTIFS(FundRaw!$C$4:$C$233,"msft",FundRaw!$E$4:$E$233,"2026",FundRaw!$F$4:$F$233,"fin_lease_new",FundRaw!$O$4:$O$233,1))=0,"",SUMIFS(FundRaw!$G$4:$G$233,FundRaw!$C$4:$C$233,"msft",FundRaw!$E$4:$E$233,"2026",FundRaw!$F$4:$F$233,"fin_lease_new",FundRaw!$O$4:$O$233,1))</f>
        <v/>
      </c>
      <c r="H7" s="32" t="n">
        <f aca="false">IF((COUNTIFS(FundRaw!$C$4:$C$233,"msft",FundRaw!$E$4:$E$233,"2026",FundRaw!$F$4:$F$233,"capex_incl_fl",FundRaw!$O$4:$O$233,1))=0,"",SUMIFS(FundRaw!$G$4:$G$233,FundRaw!$C$4:$C$233,"msft",FundRaw!$E$4:$E$233,"2026",FundRaw!$F$4:$F$233,"capex_incl_fl",FundRaw!$O$4:$O$233,1))</f>
        <v>140.556</v>
      </c>
      <c r="I7" s="32" t="str">
        <f aca="false">IF((COUNTIFS(FundRaw!$C$4:$C$233,"msft",FundRaw!$E$4:$E$233,"2026",FundRaw!$F$4:$F$233,"fcf",FundRaw!$O$4:$O$233,1))=0,"",SUMIFS(FundRaw!$G$4:$G$233,FundRaw!$C$4:$C$233,"msft",FundRaw!$E$4:$E$233,"2026",FundRaw!$F$4:$F$233,"fcf",FundRaw!$O$4:$O$233,1))</f>
        <v/>
      </c>
      <c r="J7" s="32" t="n">
        <f aca="false">IF((COUNTIFS(FundRaw!$C$4:$C$233,"msft",FundRaw!$E$4:$E$233,"2026",FundRaw!$F$4:$F$233,"bond_issue",FundRaw!$O$4:$O$233,1))=0,"",SUMIFS(FundRaw!$G$4:$G$233,FundRaw!$C$4:$C$233,"msft",FundRaw!$E$4:$E$233,"2026",FundRaw!$F$4:$F$233,"bond_issue",FundRaw!$O$4:$O$233,1))</f>
        <v>0</v>
      </c>
      <c r="K7" s="32" t="str">
        <f aca="false">IF((COUNTIFS(FundRaw!$C$4:$C$233,"msft",FundRaw!$E$4:$E$233,"2026",FundRaw!$F$4:$F$233,"term_loan",FundRaw!$O$4:$O$233,1))=0,"",SUMIFS(FundRaw!$G$4:$G$233,FundRaw!$C$4:$C$233,"msft",FundRaw!$E$4:$E$233,"2026",FundRaw!$F$4:$F$233,"term_loan",FundRaw!$O$4:$O$233,1))</f>
        <v/>
      </c>
      <c r="L7" s="32" t="str">
        <f aca="false">IF((COUNTIFS(FundRaw!$C$4:$C$233,"msft",FundRaw!$E$4:$E$233,"2026",FundRaw!$F$4:$F$233,"gpu_debt",FundRaw!$O$4:$O$233,1))=0,"",SUMIFS(FundRaw!$G$4:$G$233,FundRaw!$C$4:$C$233,"msft",FundRaw!$E$4:$E$233,"2026",FundRaw!$F$4:$F$233,"gpu_debt",FundRaw!$O$4:$O$233,1))</f>
        <v/>
      </c>
      <c r="M7" s="32" t="str">
        <f aca="false">IF((COUNTIFS(FundRaw!$C$4:$C$233,"msft",FundRaw!$E$4:$E$233,"2026",FundRaw!$F$4:$F$233,"private_credit",FundRaw!$O$4:$O$233,1))=0,"",SUMIFS(FundRaw!$G$4:$G$233,FundRaw!$C$4:$C$233,"msft",FundRaw!$E$4:$E$233,"2026",FundRaw!$F$4:$F$233,"private_credit",FundRaw!$O$4:$O$233,1))</f>
        <v/>
      </c>
      <c r="N7" s="32" t="str">
        <f aca="false">IF((COUNTIFS(FundRaw!$C$4:$C$233,"msft",FundRaw!$E$4:$E$233,"2026",FundRaw!$F$4:$F$233,"net_debt_change",FundRaw!$O$4:$O$233,1))=0,"",SUMIFS(FundRaw!$G$4:$G$233,FundRaw!$C$4:$C$233,"msft",FundRaw!$E$4:$E$233,"2026",FundRaw!$F$4:$F$233,"net_debt_change",FundRaw!$O$4:$O$233,1))</f>
        <v/>
      </c>
      <c r="O7" s="32" t="n">
        <f aca="false">IF((COUNTIFS(FundRaw!$C$4:$C$233,"msft",FundRaw!$E$4:$E$233,"2026",FundRaw!$F$4:$F$233,"lease_not_commenced",FundRaw!$O$4:$O$233,1))=0,"",SUMIFS(FundRaw!$G$4:$G$233,FundRaw!$C$4:$C$233,"msft",FundRaw!$E$4:$E$233,"2026",FundRaw!$F$4:$F$233,"lease_not_commenced",FundRaw!$O$4:$O$233,1))</f>
        <v>329.1</v>
      </c>
      <c r="P7" s="32" t="str">
        <f aca="false">IF((COUNTIFS(FundRaw!$C$4:$C$233,"msft",FundRaw!$E$4:$E$233,"2026",FundRaw!$F$4:$F$233,"jv_offbalance",FundRaw!$O$4:$O$233,1))=0,"",SUMIFS(FundRaw!$G$4:$G$233,FundRaw!$C$4:$C$233,"msft",FundRaw!$E$4:$E$233,"2026",FundRaw!$F$4:$F$233,"jv_offbalance",FundRaw!$O$4:$O$233,1))</f>
        <v/>
      </c>
      <c r="Q7" s="32" t="str">
        <f aca="false">IF((COUNTIFS(FundRaw!$C$4:$C$233,"msft",FundRaw!$E$4:$E$233,"2026",FundRaw!$F$4:$F$233,"jv_exposure",FundRaw!$O$4:$O$233,1))=0,"",SUMIFS(FundRaw!$G$4:$G$233,FundRaw!$C$4:$C$233,"msft",FundRaw!$E$4:$E$233,"2026",FundRaw!$F$4:$F$233,"jv_exposure",FundRaw!$O$4:$O$233,1))</f>
        <v/>
      </c>
      <c r="R7" s="32" t="str">
        <f aca="false">IF((COUNTIFS(FundRaw!$C$4:$C$233,"msft",FundRaw!$E$4:$E$233,"2026",FundRaw!$F$4:$F$233,"equity_round",FundRaw!$O$4:$O$233,1))=0,"",SUMIFS(FundRaw!$G$4:$G$233,FundRaw!$C$4:$C$233,"msft",FundRaw!$E$4:$E$233,"2026",FundRaw!$F$4:$F$233,"equity_round",FundRaw!$O$4:$O$233,1))</f>
        <v/>
      </c>
      <c r="S7" s="32" t="str">
        <f aca="false">IF((COUNTIFS(FundRaw!$C$4:$C$233,"msft",FundRaw!$E$4:$E$233,"2026",FundRaw!$F$4:$F$233,"vendor_financing",FundRaw!$O$4:$O$233,1))=0,"",SUMIFS(FundRaw!$G$4:$G$233,FundRaw!$C$4:$C$233,"msft",FundRaw!$E$4:$E$233,"2026",FundRaw!$F$4:$F$233,"vendor_financing",FundRaw!$O$4:$O$233,1))</f>
        <v/>
      </c>
      <c r="T7" s="32" t="n">
        <f aca="false">IF((COUNTIFS(FundRaw!$C$4:$C$233,"msft",FundRaw!$E$4:$E$233,"2026",FundRaw!$F$4:$F$233,"buyback_div",FundRaw!$O$4:$O$233,1))=0,"",SUMIFS(FundRaw!$G$4:$G$233,FundRaw!$C$4:$C$233,"msft",FundRaw!$E$4:$E$233,"2026",FundRaw!$F$4:$F$233,"buyback_div",FundRaw!$O$4:$O$233,1))</f>
        <v>48.716</v>
      </c>
      <c r="U7" s="32" t="str">
        <f aca="false">IF((COUNTIFS(FundRaw!$C$4:$C$233,"msft",FundRaw!$E$4:$E$233,"2026",FundRaw!$F$4:$F$233,"gpu_debt_talks",FundRaw!$O$4:$O$233,1))=0,"",SUMIFS(FundRaw!$G$4:$G$233,FundRaw!$C$4:$C$233,"msft",FundRaw!$E$4:$E$233,"2026",FundRaw!$F$4:$F$233,"gpu_debt_talks",FundRaw!$O$4:$O$233,1))</f>
        <v/>
      </c>
      <c r="V7" s="32" t="str">
        <f aca="false">IF((COUNTIFS(FundRaw!$C$4:$C$233,"msft",FundRaw!$E$4:$E$233,"2026",FundRaw!$F$4:$F$233,"bridge_refi",FundRaw!$O$4:$O$233,1))=0,"",SUMIFS(FundRaw!$G$4:$G$233,FundRaw!$C$4:$C$233,"msft",FundRaw!$E$4:$E$233,"2026",FundRaw!$F$4:$F$233,"bridge_refi",FundRaw!$O$4:$O$233,1))</f>
        <v/>
      </c>
      <c r="W7" s="32" t="n">
        <f aca="false">IF(H7&lt;&gt;"",H7,IF(F7&lt;&gt;"",F7+N(G7),""))</f>
        <v>140.556</v>
      </c>
      <c r="X7" s="32" t="n">
        <f aca="false">IF(OR(W7="",E7=""),"",MAX(0,MIN(N(E7),W7-N(Y7))))</f>
        <v>115.948</v>
      </c>
      <c r="Y7" s="32" t="n">
        <f aca="false">IF(W7="","",IF(AND(H7&lt;&gt;"",F7&lt;&gt;""),MAX(0,H7-F7),N(G7)))</f>
        <v>24.608</v>
      </c>
      <c r="Z7" s="32" t="n">
        <f aca="false">IF(W7="","",MAX(0,MIN(N(R7),W7-N(X7)-N(Y7))))</f>
        <v>0</v>
      </c>
      <c r="AA7" s="32" t="n">
        <f aca="false">IF(W7="","",MAX(0,MIN(N(J7)+N(K7)+N(L7)+N(M7),W7-N(X7)-N(Y7)-N(Z7))))</f>
        <v>0</v>
      </c>
      <c r="AB7" s="32" t="n">
        <f aca="false">IF(W7="","",W7-N(X7)-N(Y7)-N(Z7)-N(AA7))</f>
        <v>0</v>
      </c>
      <c r="AC7" s="37" t="n">
        <f aca="false">IF(OR(W7="",N(W7)=0,X7=""),"",X7/W7)</f>
        <v>0.824923873758502</v>
      </c>
      <c r="AD7" s="37" t="n">
        <f aca="false">IF(OR(W7="",N(W7)=0,Y7=""),"",Y7/W7)</f>
        <v>0.175076126241498</v>
      </c>
      <c r="AE7" s="37" t="n">
        <f aca="false">IF(OR(W7="",N(W7)=0,Z7=""),"",Z7/W7)</f>
        <v>0</v>
      </c>
      <c r="AF7" s="37" t="n">
        <f aca="false">IF(OR(W7="",N(W7)=0,AA7=""),"",AA7/W7)</f>
        <v>0</v>
      </c>
      <c r="AG7" s="37" t="n">
        <f aca="false">IF(OR(W7="",N(W7)=0,AB7=""),"",AB7/W7)</f>
        <v>0</v>
      </c>
      <c r="AH7" s="32" t="n">
        <f aca="false">N(J7)+N(K7)+N(L7)+N(M7)+N(R7)+N(G7)</f>
        <v>0</v>
      </c>
      <c r="AI7" s="22" t="str">
        <f aca="false">IF(N(AH7)=0,"",(N(J7)+N(K7)+N(L7)+N(M7))/AH7)</f>
        <v/>
      </c>
      <c r="AJ7" s="22" t="str">
        <f aca="false">IF(N(AH7)=0,"",(N(R7))/AH7)</f>
        <v/>
      </c>
      <c r="AK7" s="22" t="str">
        <f aca="false">IF(N(AH7)=0,"",(N(G7))/AH7)</f>
        <v/>
      </c>
      <c r="AL7" s="32" t="n">
        <f aca="false">N(J7)+N(K7)+N(L7)+N(M7)+IF(AND(H7&lt;&gt;"",F7&lt;&gt;""),MAX(0,H7-F7),N(G7))+N(P7)+N(R7)</f>
        <v>24.608</v>
      </c>
      <c r="AM7" s="37" t="n">
        <f aca="false">IF(OR(W7="",N(W7)=0),"",AL7/W7)</f>
        <v>0.175076126241498</v>
      </c>
      <c r="AN7" s="37" t="n">
        <f aca="false">IF(OR(W7="",N(W7)=0,E7=""),"",E7/W7)</f>
        <v>1.30150971854634</v>
      </c>
      <c r="AO7" s="22" t="n">
        <f aca="false">IF(OR(W7="",N(W7)=0),"",(N(J7)+N(K7)+N(L7)+N(M7))/W7)</f>
        <v>0</v>
      </c>
      <c r="AP7" s="22" t="n">
        <f aca="false">IF(OR(W7="",N(W7)=0),"",N(R7)/W7)</f>
        <v>0</v>
      </c>
      <c r="AQ7" s="22" t="n">
        <f aca="false">IF(OR(W7="",N(W7)=0),"",(IF(AND(H7&lt;&gt;"",F7&lt;&gt;""),MAX(0,H7-F7),N(G7))+N(P7))/W7)</f>
        <v>0.175076126241498</v>
      </c>
    </row>
    <row r="8" customFormat="false" ht="15" hidden="false" customHeight="false" outlineLevel="0" collapsed="false">
      <c r="A8" s="0" t="s">
        <v>1687</v>
      </c>
      <c r="B8" s="0" t="s">
        <v>511</v>
      </c>
      <c r="C8" s="0" t="n">
        <v>2024</v>
      </c>
      <c r="D8" s="0" t="s">
        <v>1688</v>
      </c>
      <c r="E8" s="32" t="str">
        <f aca="false">IF((COUNTIFS(FundRaw!$C$4:$C$233,"googl",FundRaw!$E$4:$E$233,"2024",FundRaw!$F$4:$F$233,"ocf",FundRaw!$O$4:$O$233,1))=0,"",SUMIFS(FundRaw!$G$4:$G$233,FundRaw!$C$4:$C$233,"googl",FundRaw!$E$4:$E$233,"2024",FundRaw!$F$4:$F$233,"ocf",FundRaw!$O$4:$O$233,1))</f>
        <v/>
      </c>
      <c r="F8" s="32" t="str">
        <f aca="false">IF((COUNTIFS(FundRaw!$C$4:$C$233,"googl",FundRaw!$E$4:$E$233,"2024",FundRaw!$F$4:$F$233,"capex_cash",FundRaw!$O$4:$O$233,1))=0,"",SUMIFS(FundRaw!$G$4:$G$233,FundRaw!$C$4:$C$233,"googl",FundRaw!$E$4:$E$233,"2024",FundRaw!$F$4:$F$233,"capex_cash",FundRaw!$O$4:$O$233,1))</f>
        <v/>
      </c>
      <c r="G8" s="32" t="str">
        <f aca="false">IF((COUNTIFS(FundRaw!$C$4:$C$233,"googl",FundRaw!$E$4:$E$233,"2024",FundRaw!$F$4:$F$233,"fin_lease_new",FundRaw!$O$4:$O$233,1))=0,"",SUMIFS(FundRaw!$G$4:$G$233,FundRaw!$C$4:$C$233,"googl",FundRaw!$E$4:$E$233,"2024",FundRaw!$F$4:$F$233,"fin_lease_new",FundRaw!$O$4:$O$233,1))</f>
        <v/>
      </c>
      <c r="H8" s="32" t="str">
        <f aca="false">IF((COUNTIFS(FundRaw!$C$4:$C$233,"googl",FundRaw!$E$4:$E$233,"2024",FundRaw!$F$4:$F$233,"capex_incl_fl",FundRaw!$O$4:$O$233,1))=0,"",SUMIFS(FundRaw!$G$4:$G$233,FundRaw!$C$4:$C$233,"googl",FundRaw!$E$4:$E$233,"2024",FundRaw!$F$4:$F$233,"capex_incl_fl",FundRaw!$O$4:$O$233,1))</f>
        <v/>
      </c>
      <c r="I8" s="32" t="str">
        <f aca="false">IF((COUNTIFS(FundRaw!$C$4:$C$233,"googl",FundRaw!$E$4:$E$233,"2024",FundRaw!$F$4:$F$233,"fcf",FundRaw!$O$4:$O$233,1))=0,"",SUMIFS(FundRaw!$G$4:$G$233,FundRaw!$C$4:$C$233,"googl",FundRaw!$E$4:$E$233,"2024",FundRaw!$F$4:$F$233,"fcf",FundRaw!$O$4:$O$233,1))</f>
        <v/>
      </c>
      <c r="J8" s="32" t="str">
        <f aca="false">IF((COUNTIFS(FundRaw!$C$4:$C$233,"googl",FundRaw!$E$4:$E$233,"2024",FundRaw!$F$4:$F$233,"bond_issue",FundRaw!$O$4:$O$233,1))=0,"",SUMIFS(FundRaw!$G$4:$G$233,FundRaw!$C$4:$C$233,"googl",FundRaw!$E$4:$E$233,"2024",FundRaw!$F$4:$F$233,"bond_issue",FundRaw!$O$4:$O$233,1))</f>
        <v/>
      </c>
      <c r="K8" s="32" t="str">
        <f aca="false">IF((COUNTIFS(FundRaw!$C$4:$C$233,"googl",FundRaw!$E$4:$E$233,"2024",FundRaw!$F$4:$F$233,"term_loan",FundRaw!$O$4:$O$233,1))=0,"",SUMIFS(FundRaw!$G$4:$G$233,FundRaw!$C$4:$C$233,"googl",FundRaw!$E$4:$E$233,"2024",FundRaw!$F$4:$F$233,"term_loan",FundRaw!$O$4:$O$233,1))</f>
        <v/>
      </c>
      <c r="L8" s="32" t="str">
        <f aca="false">IF((COUNTIFS(FundRaw!$C$4:$C$233,"googl",FundRaw!$E$4:$E$233,"2024",FundRaw!$F$4:$F$233,"gpu_debt",FundRaw!$O$4:$O$233,1))=0,"",SUMIFS(FundRaw!$G$4:$G$233,FundRaw!$C$4:$C$233,"googl",FundRaw!$E$4:$E$233,"2024",FundRaw!$F$4:$F$233,"gpu_debt",FundRaw!$O$4:$O$233,1))</f>
        <v/>
      </c>
      <c r="M8" s="32" t="str">
        <f aca="false">IF((COUNTIFS(FundRaw!$C$4:$C$233,"googl",FundRaw!$E$4:$E$233,"2024",FundRaw!$F$4:$F$233,"private_credit",FundRaw!$O$4:$O$233,1))=0,"",SUMIFS(FundRaw!$G$4:$G$233,FundRaw!$C$4:$C$233,"googl",FundRaw!$E$4:$E$233,"2024",FundRaw!$F$4:$F$233,"private_credit",FundRaw!$O$4:$O$233,1))</f>
        <v/>
      </c>
      <c r="N8" s="32" t="str">
        <f aca="false">IF((COUNTIFS(FundRaw!$C$4:$C$233,"googl",FundRaw!$E$4:$E$233,"2024",FundRaw!$F$4:$F$233,"net_debt_change",FundRaw!$O$4:$O$233,1))=0,"",SUMIFS(FundRaw!$G$4:$G$233,FundRaw!$C$4:$C$233,"googl",FundRaw!$E$4:$E$233,"2024",FundRaw!$F$4:$F$233,"net_debt_change",FundRaw!$O$4:$O$233,1))</f>
        <v/>
      </c>
      <c r="O8" s="32" t="str">
        <f aca="false">IF((COUNTIFS(FundRaw!$C$4:$C$233,"googl",FundRaw!$E$4:$E$233,"2024",FundRaw!$F$4:$F$233,"lease_not_commenced",FundRaw!$O$4:$O$233,1))=0,"",SUMIFS(FundRaw!$G$4:$G$233,FundRaw!$C$4:$C$233,"googl",FundRaw!$E$4:$E$233,"2024",FundRaw!$F$4:$F$233,"lease_not_commenced",FundRaw!$O$4:$O$233,1))</f>
        <v/>
      </c>
      <c r="P8" s="32" t="str">
        <f aca="false">IF((COUNTIFS(FundRaw!$C$4:$C$233,"googl",FundRaw!$E$4:$E$233,"2024",FundRaw!$F$4:$F$233,"jv_offbalance",FundRaw!$O$4:$O$233,1))=0,"",SUMIFS(FundRaw!$G$4:$G$233,FundRaw!$C$4:$C$233,"googl",FundRaw!$E$4:$E$233,"2024",FundRaw!$F$4:$F$233,"jv_offbalance",FundRaw!$O$4:$O$233,1))</f>
        <v/>
      </c>
      <c r="Q8" s="32" t="str">
        <f aca="false">IF((COUNTIFS(FundRaw!$C$4:$C$233,"googl",FundRaw!$E$4:$E$233,"2024",FundRaw!$F$4:$F$233,"jv_exposure",FundRaw!$O$4:$O$233,1))=0,"",SUMIFS(FundRaw!$G$4:$G$233,FundRaw!$C$4:$C$233,"googl",FundRaw!$E$4:$E$233,"2024",FundRaw!$F$4:$F$233,"jv_exposure",FundRaw!$O$4:$O$233,1))</f>
        <v/>
      </c>
      <c r="R8" s="32" t="str">
        <f aca="false">IF((COUNTIFS(FundRaw!$C$4:$C$233,"googl",FundRaw!$E$4:$E$233,"2024",FundRaw!$F$4:$F$233,"equity_round",FundRaw!$O$4:$O$233,1))=0,"",SUMIFS(FundRaw!$G$4:$G$233,FundRaw!$C$4:$C$233,"googl",FundRaw!$E$4:$E$233,"2024",FundRaw!$F$4:$F$233,"equity_round",FundRaw!$O$4:$O$233,1))</f>
        <v/>
      </c>
      <c r="S8" s="32" t="str">
        <f aca="false">IF((COUNTIFS(FundRaw!$C$4:$C$233,"googl",FundRaw!$E$4:$E$233,"2024",FundRaw!$F$4:$F$233,"vendor_financing",FundRaw!$O$4:$O$233,1))=0,"",SUMIFS(FundRaw!$G$4:$G$233,FundRaw!$C$4:$C$233,"googl",FundRaw!$E$4:$E$233,"2024",FundRaw!$F$4:$F$233,"vendor_financing",FundRaw!$O$4:$O$233,1))</f>
        <v/>
      </c>
      <c r="T8" s="32" t="str">
        <f aca="false">IF((COUNTIFS(FundRaw!$C$4:$C$233,"googl",FundRaw!$E$4:$E$233,"2024",FundRaw!$F$4:$F$233,"buyback_div",FundRaw!$O$4:$O$233,1))=0,"",SUMIFS(FundRaw!$G$4:$G$233,FundRaw!$C$4:$C$233,"googl",FundRaw!$E$4:$E$233,"2024",FundRaw!$F$4:$F$233,"buyback_div",FundRaw!$O$4:$O$233,1))</f>
        <v/>
      </c>
      <c r="U8" s="32" t="str">
        <f aca="false">IF((COUNTIFS(FundRaw!$C$4:$C$233,"googl",FundRaw!$E$4:$E$233,"2024",FundRaw!$F$4:$F$233,"gpu_debt_talks",FundRaw!$O$4:$O$233,1))=0,"",SUMIFS(FundRaw!$G$4:$G$233,FundRaw!$C$4:$C$233,"googl",FundRaw!$E$4:$E$233,"2024",FundRaw!$F$4:$F$233,"gpu_debt_talks",FundRaw!$O$4:$O$233,1))</f>
        <v/>
      </c>
      <c r="V8" s="32" t="str">
        <f aca="false">IF((COUNTIFS(FundRaw!$C$4:$C$233,"googl",FundRaw!$E$4:$E$233,"2024",FundRaw!$F$4:$F$233,"bridge_refi",FundRaw!$O$4:$O$233,1))=0,"",SUMIFS(FundRaw!$G$4:$G$233,FundRaw!$C$4:$C$233,"googl",FundRaw!$E$4:$E$233,"2024",FundRaw!$F$4:$F$233,"bridge_refi",FundRaw!$O$4:$O$233,1))</f>
        <v/>
      </c>
      <c r="W8" s="32" t="str">
        <f aca="false">IF(H8&lt;&gt;"",H8,IF(F8&lt;&gt;"",F8+N(G8),""))</f>
        <v/>
      </c>
      <c r="X8" s="32" t="str">
        <f aca="false">IF(OR(W8="",E8=""),"",MAX(0,MIN(N(E8),W8-N(Y8))))</f>
        <v/>
      </c>
      <c r="Y8" s="32" t="str">
        <f aca="false">IF(W8="","",IF(AND(H8&lt;&gt;"",F8&lt;&gt;""),MAX(0,H8-F8),N(G8)))</f>
        <v/>
      </c>
      <c r="Z8" s="32" t="str">
        <f aca="false">IF(W8="","",MAX(0,MIN(N(R8),W8-N(X8)-N(Y8))))</f>
        <v/>
      </c>
      <c r="AA8" s="32" t="str">
        <f aca="false">IF(W8="","",MAX(0,MIN(N(J8)+N(K8)+N(L8)+N(M8),W8-N(X8)-N(Y8)-N(Z8))))</f>
        <v/>
      </c>
      <c r="AB8" s="32" t="str">
        <f aca="false">IF(W8="","",W8-N(X8)-N(Y8)-N(Z8)-N(AA8))</f>
        <v/>
      </c>
      <c r="AC8" s="37" t="str">
        <f aca="false">IF(OR(W8="",N(W8)=0,X8=""),"",X8/W8)</f>
        <v/>
      </c>
      <c r="AD8" s="37" t="str">
        <f aca="false">IF(OR(W8="",N(W8)=0,Y8=""),"",Y8/W8)</f>
        <v/>
      </c>
      <c r="AE8" s="37" t="str">
        <f aca="false">IF(OR(W8="",N(W8)=0,Z8=""),"",Z8/W8)</f>
        <v/>
      </c>
      <c r="AF8" s="37" t="str">
        <f aca="false">IF(OR(W8="",N(W8)=0,AA8=""),"",AA8/W8)</f>
        <v/>
      </c>
      <c r="AG8" s="37" t="str">
        <f aca="false">IF(OR(W8="",N(W8)=0,AB8=""),"",AB8/W8)</f>
        <v/>
      </c>
      <c r="AH8" s="32" t="n">
        <f aca="false">N(J8)+N(K8)+N(L8)+N(M8)+N(R8)+N(G8)</f>
        <v>0</v>
      </c>
      <c r="AI8" s="22" t="str">
        <f aca="false">IF(N(AH8)=0,"",(N(J8)+N(K8)+N(L8)+N(M8))/AH8)</f>
        <v/>
      </c>
      <c r="AJ8" s="22" t="str">
        <f aca="false">IF(N(AH8)=0,"",(N(R8))/AH8)</f>
        <v/>
      </c>
      <c r="AK8" s="22" t="str">
        <f aca="false">IF(N(AH8)=0,"",(N(G8))/AH8)</f>
        <v/>
      </c>
      <c r="AL8" s="32" t="n">
        <f aca="false">N(J8)+N(K8)+N(L8)+N(M8)+IF(AND(H8&lt;&gt;"",F8&lt;&gt;""),MAX(0,H8-F8),N(G8))+N(P8)+N(R8)</f>
        <v>0</v>
      </c>
      <c r="AM8" s="37" t="str">
        <f aca="false">IF(OR(W8="",N(W8)=0),"",AL8/W8)</f>
        <v/>
      </c>
      <c r="AN8" s="37" t="str">
        <f aca="false">IF(OR(W8="",N(W8)=0,E8=""),"",E8/W8)</f>
        <v/>
      </c>
      <c r="AO8" s="22" t="str">
        <f aca="false">IF(OR(W8="",N(W8)=0),"",(N(J8)+N(K8)+N(L8)+N(M8))/W8)</f>
        <v/>
      </c>
      <c r="AP8" s="22" t="str">
        <f aca="false">IF(OR(W8="",N(W8)=0),"",N(R8)/W8)</f>
        <v/>
      </c>
      <c r="AQ8" s="22" t="str">
        <f aca="false">IF(OR(W8="",N(W8)=0),"",(IF(AND(H8&lt;&gt;"",F8&lt;&gt;""),MAX(0,H8-F8),N(G8))+N(P8))/W8)</f>
        <v/>
      </c>
    </row>
    <row r="9" customFormat="false" ht="15" hidden="false" customHeight="false" outlineLevel="0" collapsed="false">
      <c r="A9" s="0" t="s">
        <v>1687</v>
      </c>
      <c r="B9" s="0" t="s">
        <v>511</v>
      </c>
      <c r="C9" s="0" t="n">
        <v>2025</v>
      </c>
      <c r="D9" s="0" t="s">
        <v>1689</v>
      </c>
      <c r="E9" s="32" t="n">
        <f aca="false">IF((COUNTIFS(FundRaw!$C$4:$C$233,"googl",FundRaw!$E$4:$E$233,"2025",FundRaw!$F$4:$F$233,"ocf",FundRaw!$O$4:$O$233,1))=0,"",SUMIFS(FundRaw!$G$4:$G$233,FundRaw!$C$4:$C$233,"googl",FundRaw!$E$4:$E$233,"2025",FundRaw!$F$4:$F$233,"ocf",FundRaw!$O$4:$O$233,1))</f>
        <v>164.713</v>
      </c>
      <c r="F9" s="32" t="n">
        <f aca="false">IF((COUNTIFS(FundRaw!$C$4:$C$233,"googl",FundRaw!$E$4:$E$233,"2025",FundRaw!$F$4:$F$233,"capex_cash",FundRaw!$O$4:$O$233,1))=0,"",SUMIFS(FundRaw!$G$4:$G$233,FundRaw!$C$4:$C$233,"googl",FundRaw!$E$4:$E$233,"2025",FundRaw!$F$4:$F$233,"capex_cash",FundRaw!$O$4:$O$233,1))</f>
        <v>91.447</v>
      </c>
      <c r="G9" s="32" t="str">
        <f aca="false">IF((COUNTIFS(FundRaw!$C$4:$C$233,"googl",FundRaw!$E$4:$E$233,"2025",FundRaw!$F$4:$F$233,"fin_lease_new",FundRaw!$O$4:$O$233,1))=0,"",SUMIFS(FundRaw!$G$4:$G$233,FundRaw!$C$4:$C$233,"googl",FundRaw!$E$4:$E$233,"2025",FundRaw!$F$4:$F$233,"fin_lease_new",FundRaw!$O$4:$O$233,1))</f>
        <v/>
      </c>
      <c r="H9" s="32" t="str">
        <f aca="false">IF((COUNTIFS(FundRaw!$C$4:$C$233,"googl",FundRaw!$E$4:$E$233,"2025",FundRaw!$F$4:$F$233,"capex_incl_fl",FundRaw!$O$4:$O$233,1))=0,"",SUMIFS(FundRaw!$G$4:$G$233,FundRaw!$C$4:$C$233,"googl",FundRaw!$E$4:$E$233,"2025",FundRaw!$F$4:$F$233,"capex_incl_fl",FundRaw!$O$4:$O$233,1))</f>
        <v/>
      </c>
      <c r="I9" s="32" t="n">
        <f aca="false">IF((COUNTIFS(FundRaw!$C$4:$C$233,"googl",FundRaw!$E$4:$E$233,"2025",FundRaw!$F$4:$F$233,"fcf",FundRaw!$O$4:$O$233,1))=0,"",SUMIFS(FundRaw!$G$4:$G$233,FundRaw!$C$4:$C$233,"googl",FundRaw!$E$4:$E$233,"2025",FundRaw!$F$4:$F$233,"fcf",FundRaw!$O$4:$O$233,1))</f>
        <v>73.266</v>
      </c>
      <c r="J9" s="32" t="n">
        <f aca="false">IF((COUNTIFS(FundRaw!$C$4:$C$233,"googl",FundRaw!$E$4:$E$233,"2025",FundRaw!$F$4:$F$233,"bond_issue",FundRaw!$O$4:$O$233,1))=0,"",SUMIFS(FundRaw!$G$4:$G$233,FundRaw!$C$4:$C$233,"googl",FundRaw!$E$4:$E$233,"2025",FundRaw!$F$4:$F$233,"bond_issue",FundRaw!$O$4:$O$233,1))</f>
        <v>64.564</v>
      </c>
      <c r="K9" s="32" t="str">
        <f aca="false">IF((COUNTIFS(FundRaw!$C$4:$C$233,"googl",FundRaw!$E$4:$E$233,"2025",FundRaw!$F$4:$F$233,"term_loan",FundRaw!$O$4:$O$233,1))=0,"",SUMIFS(FundRaw!$G$4:$G$233,FundRaw!$C$4:$C$233,"googl",FundRaw!$E$4:$E$233,"2025",FundRaw!$F$4:$F$233,"term_loan",FundRaw!$O$4:$O$233,1))</f>
        <v/>
      </c>
      <c r="L9" s="32" t="str">
        <f aca="false">IF((COUNTIFS(FundRaw!$C$4:$C$233,"googl",FundRaw!$E$4:$E$233,"2025",FundRaw!$F$4:$F$233,"gpu_debt",FundRaw!$O$4:$O$233,1))=0,"",SUMIFS(FundRaw!$G$4:$G$233,FundRaw!$C$4:$C$233,"googl",FundRaw!$E$4:$E$233,"2025",FundRaw!$F$4:$F$233,"gpu_debt",FundRaw!$O$4:$O$233,1))</f>
        <v/>
      </c>
      <c r="M9" s="32" t="str">
        <f aca="false">IF((COUNTIFS(FundRaw!$C$4:$C$233,"googl",FundRaw!$E$4:$E$233,"2025",FundRaw!$F$4:$F$233,"private_credit",FundRaw!$O$4:$O$233,1))=0,"",SUMIFS(FundRaw!$G$4:$G$233,FundRaw!$C$4:$C$233,"googl",FundRaw!$E$4:$E$233,"2025",FundRaw!$F$4:$F$233,"private_credit",FundRaw!$O$4:$O$233,1))</f>
        <v/>
      </c>
      <c r="N9" s="32" t="str">
        <f aca="false">IF((COUNTIFS(FundRaw!$C$4:$C$233,"googl",FundRaw!$E$4:$E$233,"2025",FundRaw!$F$4:$F$233,"net_debt_change",FundRaw!$O$4:$O$233,1))=0,"",SUMIFS(FundRaw!$G$4:$G$233,FundRaw!$C$4:$C$233,"googl",FundRaw!$E$4:$E$233,"2025",FundRaw!$F$4:$F$233,"net_debt_change",FundRaw!$O$4:$O$233,1))</f>
        <v/>
      </c>
      <c r="O9" s="32" t="str">
        <f aca="false">IF((COUNTIFS(FundRaw!$C$4:$C$233,"googl",FundRaw!$E$4:$E$233,"2025",FundRaw!$F$4:$F$233,"lease_not_commenced",FundRaw!$O$4:$O$233,1))=0,"",SUMIFS(FundRaw!$G$4:$G$233,FundRaw!$C$4:$C$233,"googl",FundRaw!$E$4:$E$233,"2025",FundRaw!$F$4:$F$233,"lease_not_commenced",FundRaw!$O$4:$O$233,1))</f>
        <v/>
      </c>
      <c r="P9" s="32" t="str">
        <f aca="false">IF((COUNTIFS(FundRaw!$C$4:$C$233,"googl",FundRaw!$E$4:$E$233,"2025",FundRaw!$F$4:$F$233,"jv_offbalance",FundRaw!$O$4:$O$233,1))=0,"",SUMIFS(FundRaw!$G$4:$G$233,FundRaw!$C$4:$C$233,"googl",FundRaw!$E$4:$E$233,"2025",FundRaw!$F$4:$F$233,"jv_offbalance",FundRaw!$O$4:$O$233,1))</f>
        <v/>
      </c>
      <c r="Q9" s="32" t="str">
        <f aca="false">IF((COUNTIFS(FundRaw!$C$4:$C$233,"googl",FundRaw!$E$4:$E$233,"2025",FundRaw!$F$4:$F$233,"jv_exposure",FundRaw!$O$4:$O$233,1))=0,"",SUMIFS(FundRaw!$G$4:$G$233,FundRaw!$C$4:$C$233,"googl",FundRaw!$E$4:$E$233,"2025",FundRaw!$F$4:$F$233,"jv_exposure",FundRaw!$O$4:$O$233,1))</f>
        <v/>
      </c>
      <c r="R9" s="32" t="str">
        <f aca="false">IF((COUNTIFS(FundRaw!$C$4:$C$233,"googl",FundRaw!$E$4:$E$233,"2025",FundRaw!$F$4:$F$233,"equity_round",FundRaw!$O$4:$O$233,1))=0,"",SUMIFS(FundRaw!$G$4:$G$233,FundRaw!$C$4:$C$233,"googl",FundRaw!$E$4:$E$233,"2025",FundRaw!$F$4:$F$233,"equity_round",FundRaw!$O$4:$O$233,1))</f>
        <v/>
      </c>
      <c r="S9" s="32" t="str">
        <f aca="false">IF((COUNTIFS(FundRaw!$C$4:$C$233,"googl",FundRaw!$E$4:$E$233,"2025",FundRaw!$F$4:$F$233,"vendor_financing",FundRaw!$O$4:$O$233,1))=0,"",SUMIFS(FundRaw!$G$4:$G$233,FundRaw!$C$4:$C$233,"googl",FundRaw!$E$4:$E$233,"2025",FundRaw!$F$4:$F$233,"vendor_financing",FundRaw!$O$4:$O$233,1))</f>
        <v/>
      </c>
      <c r="T9" s="32" t="n">
        <f aca="false">IF((COUNTIFS(FundRaw!$C$4:$C$233,"googl",FundRaw!$E$4:$E$233,"2025",FundRaw!$F$4:$F$233,"buyback_div",FundRaw!$O$4:$O$233,1))=0,"",SUMIFS(FundRaw!$G$4:$G$233,FundRaw!$C$4:$C$233,"googl",FundRaw!$E$4:$E$233,"2025",FundRaw!$F$4:$F$233,"buyback_div",FundRaw!$O$4:$O$233,1))</f>
        <v>55.758</v>
      </c>
      <c r="U9" s="32" t="str">
        <f aca="false">IF((COUNTIFS(FundRaw!$C$4:$C$233,"googl",FundRaw!$E$4:$E$233,"2025",FundRaw!$F$4:$F$233,"gpu_debt_talks",FundRaw!$O$4:$O$233,1))=0,"",SUMIFS(FundRaw!$G$4:$G$233,FundRaw!$C$4:$C$233,"googl",FundRaw!$E$4:$E$233,"2025",FundRaw!$F$4:$F$233,"gpu_debt_talks",FundRaw!$O$4:$O$233,1))</f>
        <v/>
      </c>
      <c r="V9" s="32" t="str">
        <f aca="false">IF((COUNTIFS(FundRaw!$C$4:$C$233,"googl",FundRaw!$E$4:$E$233,"2025",FundRaw!$F$4:$F$233,"bridge_refi",FundRaw!$O$4:$O$233,1))=0,"",SUMIFS(FundRaw!$G$4:$G$233,FundRaw!$C$4:$C$233,"googl",FundRaw!$E$4:$E$233,"2025",FundRaw!$F$4:$F$233,"bridge_refi",FundRaw!$O$4:$O$233,1))</f>
        <v/>
      </c>
      <c r="W9" s="32" t="n">
        <f aca="false">IF(H9&lt;&gt;"",H9,IF(F9&lt;&gt;"",F9+N(G9),""))</f>
        <v>91.447</v>
      </c>
      <c r="X9" s="32" t="n">
        <f aca="false">IF(OR(W9="",E9=""),"",MAX(0,MIN(N(E9),W9-N(Y9))))</f>
        <v>91.447</v>
      </c>
      <c r="Y9" s="32" t="n">
        <f aca="false">IF(W9="","",IF(AND(H9&lt;&gt;"",F9&lt;&gt;""),MAX(0,H9-F9),N(G9)))</f>
        <v>0</v>
      </c>
      <c r="Z9" s="32" t="n">
        <f aca="false">IF(W9="","",MAX(0,MIN(N(R9),W9-N(X9)-N(Y9))))</f>
        <v>0</v>
      </c>
      <c r="AA9" s="32" t="n">
        <f aca="false">IF(W9="","",MAX(0,MIN(N(J9)+N(K9)+N(L9)+N(M9),W9-N(X9)-N(Y9)-N(Z9))))</f>
        <v>0</v>
      </c>
      <c r="AB9" s="32" t="n">
        <f aca="false">IF(W9="","",W9-N(X9)-N(Y9)-N(Z9)-N(AA9))</f>
        <v>0</v>
      </c>
      <c r="AC9" s="37" t="n">
        <f aca="false">IF(OR(W9="",N(W9)=0,X9=""),"",X9/W9)</f>
        <v>1</v>
      </c>
      <c r="AD9" s="37" t="n">
        <f aca="false">IF(OR(W9="",N(W9)=0,Y9=""),"",Y9/W9)</f>
        <v>0</v>
      </c>
      <c r="AE9" s="37" t="n">
        <f aca="false">IF(OR(W9="",N(W9)=0,Z9=""),"",Z9/W9)</f>
        <v>0</v>
      </c>
      <c r="AF9" s="37" t="n">
        <f aca="false">IF(OR(W9="",N(W9)=0,AA9=""),"",AA9/W9)</f>
        <v>0</v>
      </c>
      <c r="AG9" s="37" t="n">
        <f aca="false">IF(OR(W9="",N(W9)=0,AB9=""),"",AB9/W9)</f>
        <v>0</v>
      </c>
      <c r="AH9" s="32" t="n">
        <f aca="false">N(J9)+N(K9)+N(L9)+N(M9)+N(R9)+N(G9)</f>
        <v>64.564</v>
      </c>
      <c r="AI9" s="22" t="n">
        <f aca="false">IF(N(AH9)=0,"",(N(J9)+N(K9)+N(L9)+N(M9))/AH9)</f>
        <v>1</v>
      </c>
      <c r="AJ9" s="22" t="n">
        <f aca="false">IF(N(AH9)=0,"",(N(R9))/AH9)</f>
        <v>0</v>
      </c>
      <c r="AK9" s="22" t="n">
        <f aca="false">IF(N(AH9)=0,"",(N(G9))/AH9)</f>
        <v>0</v>
      </c>
      <c r="AL9" s="32" t="n">
        <f aca="false">N(J9)+N(K9)+N(L9)+N(M9)+IF(AND(H9&lt;&gt;"",F9&lt;&gt;""),MAX(0,H9-F9),N(G9))+N(P9)+N(R9)</f>
        <v>64.564</v>
      </c>
      <c r="AM9" s="37" t="n">
        <f aca="false">IF(OR(W9="",N(W9)=0),"",AL9/W9)</f>
        <v>0.706026441545376</v>
      </c>
      <c r="AN9" s="37" t="n">
        <f aca="false">IF(OR(W9="",N(W9)=0,E9=""),"",E9/W9)</f>
        <v>1.80118538607062</v>
      </c>
      <c r="AO9" s="22" t="n">
        <f aca="false">IF(OR(W9="",N(W9)=0),"",(N(J9)+N(K9)+N(L9)+N(M9))/W9)</f>
        <v>0.706026441545376</v>
      </c>
      <c r="AP9" s="22" t="n">
        <f aca="false">IF(OR(W9="",N(W9)=0),"",N(R9)/W9)</f>
        <v>0</v>
      </c>
      <c r="AQ9" s="22" t="n">
        <f aca="false">IF(OR(W9="",N(W9)=0),"",(IF(AND(H9&lt;&gt;"",F9&lt;&gt;""),MAX(0,H9-F9),N(G9))+N(P9))/W9)</f>
        <v>0</v>
      </c>
    </row>
    <row r="10" customFormat="false" ht="15" hidden="false" customHeight="false" outlineLevel="0" collapsed="false">
      <c r="A10" s="0" t="s">
        <v>1687</v>
      </c>
      <c r="B10" s="0" t="s">
        <v>511</v>
      </c>
      <c r="C10" s="0" t="n">
        <v>2026</v>
      </c>
      <c r="D10" s="0" t="s">
        <v>1690</v>
      </c>
      <c r="E10" s="32" t="n">
        <f aca="false">IF((COUNTIFS(FundRaw!$C$4:$C$233,"googl",FundRaw!$E$4:$E$233,"2026",FundRaw!$F$4:$F$233,"ocf",FundRaw!$O$4:$O$233,1))=0,"",SUMIFS(FundRaw!$G$4:$G$233,FundRaw!$C$4:$C$233,"googl",FundRaw!$E$4:$E$233,"2026",FundRaw!$F$4:$F$233,"ocf",FundRaw!$O$4:$O$233,1))</f>
        <v>84.859</v>
      </c>
      <c r="F10" s="32" t="n">
        <f aca="false">IF((COUNTIFS(FundRaw!$C$4:$C$233,"googl",FundRaw!$E$4:$E$233,"2026",FundRaw!$F$4:$F$233,"capex_cash",FundRaw!$O$4:$O$233,1))=0,"",SUMIFS(FundRaw!$G$4:$G$233,FundRaw!$C$4:$C$233,"googl",FundRaw!$E$4:$E$233,"2026",FundRaw!$F$4:$F$233,"capex_cash",FundRaw!$O$4:$O$233,1))</f>
        <v>80.598</v>
      </c>
      <c r="G10" s="32" t="str">
        <f aca="false">IF((COUNTIFS(FundRaw!$C$4:$C$233,"googl",FundRaw!$E$4:$E$233,"2026",FundRaw!$F$4:$F$233,"fin_lease_new",FundRaw!$O$4:$O$233,1))=0,"",SUMIFS(FundRaw!$G$4:$G$233,FundRaw!$C$4:$C$233,"googl",FundRaw!$E$4:$E$233,"2026",FundRaw!$F$4:$F$233,"fin_lease_new",FundRaw!$O$4:$O$233,1))</f>
        <v/>
      </c>
      <c r="H10" s="32" t="str">
        <f aca="false">IF((COUNTIFS(FundRaw!$C$4:$C$233,"googl",FundRaw!$E$4:$E$233,"2026",FundRaw!$F$4:$F$233,"capex_incl_fl",FundRaw!$O$4:$O$233,1))=0,"",SUMIFS(FundRaw!$G$4:$G$233,FundRaw!$C$4:$C$233,"googl",FundRaw!$E$4:$E$233,"2026",FundRaw!$F$4:$F$233,"capex_incl_fl",FundRaw!$O$4:$O$233,1))</f>
        <v/>
      </c>
      <c r="I10" s="32" t="n">
        <f aca="false">IF((COUNTIFS(FundRaw!$C$4:$C$233,"googl",FundRaw!$E$4:$E$233,"2026",FundRaw!$F$4:$F$233,"fcf",FundRaw!$O$4:$O$233,1))=0,"",SUMIFS(FundRaw!$G$4:$G$233,FundRaw!$C$4:$C$233,"googl",FundRaw!$E$4:$E$233,"2026",FundRaw!$F$4:$F$233,"fcf",FundRaw!$O$4:$O$233,1))</f>
        <v>4.261</v>
      </c>
      <c r="J10" s="32" t="str">
        <f aca="false">IF((COUNTIFS(FundRaw!$C$4:$C$233,"googl",FundRaw!$E$4:$E$233,"2026",FundRaw!$F$4:$F$233,"bond_issue",FundRaw!$O$4:$O$233,1))=0,"",SUMIFS(FundRaw!$G$4:$G$233,FundRaw!$C$4:$C$233,"googl",FundRaw!$E$4:$E$233,"2026",FundRaw!$F$4:$F$233,"bond_issue",FundRaw!$O$4:$O$233,1))</f>
        <v/>
      </c>
      <c r="K10" s="32" t="str">
        <f aca="false">IF((COUNTIFS(FundRaw!$C$4:$C$233,"googl",FundRaw!$E$4:$E$233,"2026",FundRaw!$F$4:$F$233,"term_loan",FundRaw!$O$4:$O$233,1))=0,"",SUMIFS(FundRaw!$G$4:$G$233,FundRaw!$C$4:$C$233,"googl",FundRaw!$E$4:$E$233,"2026",FundRaw!$F$4:$F$233,"term_loan",FundRaw!$O$4:$O$233,1))</f>
        <v/>
      </c>
      <c r="L10" s="32" t="str">
        <f aca="false">IF((COUNTIFS(FundRaw!$C$4:$C$233,"googl",FundRaw!$E$4:$E$233,"2026",FundRaw!$F$4:$F$233,"gpu_debt",FundRaw!$O$4:$O$233,1))=0,"",SUMIFS(FundRaw!$G$4:$G$233,FundRaw!$C$4:$C$233,"googl",FundRaw!$E$4:$E$233,"2026",FundRaw!$F$4:$F$233,"gpu_debt",FundRaw!$O$4:$O$233,1))</f>
        <v/>
      </c>
      <c r="M10" s="32" t="str">
        <f aca="false">IF((COUNTIFS(FundRaw!$C$4:$C$233,"googl",FundRaw!$E$4:$E$233,"2026",FundRaw!$F$4:$F$233,"private_credit",FundRaw!$O$4:$O$233,1))=0,"",SUMIFS(FundRaw!$G$4:$G$233,FundRaw!$C$4:$C$233,"googl",FundRaw!$E$4:$E$233,"2026",FundRaw!$F$4:$F$233,"private_credit",FundRaw!$O$4:$O$233,1))</f>
        <v/>
      </c>
      <c r="N10" s="32" t="str">
        <f aca="false">IF((COUNTIFS(FundRaw!$C$4:$C$233,"googl",FundRaw!$E$4:$E$233,"2026",FundRaw!$F$4:$F$233,"net_debt_change",FundRaw!$O$4:$O$233,1))=0,"",SUMIFS(FundRaw!$G$4:$G$233,FundRaw!$C$4:$C$233,"googl",FundRaw!$E$4:$E$233,"2026",FundRaw!$F$4:$F$233,"net_debt_change",FundRaw!$O$4:$O$233,1))</f>
        <v/>
      </c>
      <c r="O10" s="32" t="n">
        <f aca="false">IF((COUNTIFS(FundRaw!$C$4:$C$233,"googl",FundRaw!$E$4:$E$233,"2026",FundRaw!$F$4:$F$233,"lease_not_commenced",FundRaw!$O$4:$O$233,1))=0,"",SUMIFS(FundRaw!$G$4:$G$233,FundRaw!$C$4:$C$233,"googl",FundRaw!$E$4:$E$233,"2026",FundRaw!$F$4:$F$233,"lease_not_commenced",FundRaw!$O$4:$O$233,1))</f>
        <v>85.2</v>
      </c>
      <c r="P10" s="32" t="str">
        <f aca="false">IF((COUNTIFS(FundRaw!$C$4:$C$233,"googl",FundRaw!$E$4:$E$233,"2026",FundRaw!$F$4:$F$233,"jv_offbalance",FundRaw!$O$4:$O$233,1))=0,"",SUMIFS(FundRaw!$G$4:$G$233,FundRaw!$C$4:$C$233,"googl",FundRaw!$E$4:$E$233,"2026",FundRaw!$F$4:$F$233,"jv_offbalance",FundRaw!$O$4:$O$233,1))</f>
        <v/>
      </c>
      <c r="Q10" s="32" t="str">
        <f aca="false">IF((COUNTIFS(FundRaw!$C$4:$C$233,"googl",FundRaw!$E$4:$E$233,"2026",FundRaw!$F$4:$F$233,"jv_exposure",FundRaw!$O$4:$O$233,1))=0,"",SUMIFS(FundRaw!$G$4:$G$233,FundRaw!$C$4:$C$233,"googl",FundRaw!$E$4:$E$233,"2026",FundRaw!$F$4:$F$233,"jv_exposure",FundRaw!$O$4:$O$233,1))</f>
        <v/>
      </c>
      <c r="R10" s="32" t="n">
        <f aca="false">IF((COUNTIFS(FundRaw!$C$4:$C$233,"googl",FundRaw!$E$4:$E$233,"2026",FundRaw!$F$4:$F$233,"equity_round",FundRaw!$O$4:$O$233,1))=0,"",SUMIFS(FundRaw!$G$4:$G$233,FundRaw!$C$4:$C$233,"googl",FundRaw!$E$4:$E$233,"2026",FundRaw!$F$4:$F$233,"equity_round",FundRaw!$O$4:$O$233,1))</f>
        <v>84.75</v>
      </c>
      <c r="S10" s="32" t="n">
        <f aca="false">IF((COUNTIFS(FundRaw!$C$4:$C$233,"googl",FundRaw!$E$4:$E$233,"2026",FundRaw!$F$4:$F$233,"vendor_financing",FundRaw!$O$4:$O$233,1))=0,"",SUMIFS(FundRaw!$G$4:$G$233,FundRaw!$C$4:$C$233,"googl",FundRaw!$E$4:$E$233,"2026",FundRaw!$F$4:$F$233,"vendor_financing",FundRaw!$O$4:$O$233,1))</f>
        <v>40</v>
      </c>
      <c r="T10" s="32" t="n">
        <f aca="false">IF((COUNTIFS(FundRaw!$C$4:$C$233,"googl",FundRaw!$E$4:$E$233,"2026",FundRaw!$F$4:$F$233,"buyback_div",FundRaw!$O$4:$O$233,1))=0,"",SUMIFS(FundRaw!$G$4:$G$233,FundRaw!$C$4:$C$233,"googl",FundRaw!$E$4:$E$233,"2026",FundRaw!$F$4:$F$233,"buyback_div",FundRaw!$O$4:$O$233,1))</f>
        <v>5.231</v>
      </c>
      <c r="U10" s="32" t="str">
        <f aca="false">IF((COUNTIFS(FundRaw!$C$4:$C$233,"googl",FundRaw!$E$4:$E$233,"2026",FundRaw!$F$4:$F$233,"gpu_debt_talks",FundRaw!$O$4:$O$233,1))=0,"",SUMIFS(FundRaw!$G$4:$G$233,FundRaw!$C$4:$C$233,"googl",FundRaw!$E$4:$E$233,"2026",FundRaw!$F$4:$F$233,"gpu_debt_talks",FundRaw!$O$4:$O$233,1))</f>
        <v/>
      </c>
      <c r="V10" s="32" t="str">
        <f aca="false">IF((COUNTIFS(FundRaw!$C$4:$C$233,"googl",FundRaw!$E$4:$E$233,"2026",FundRaw!$F$4:$F$233,"bridge_refi",FundRaw!$O$4:$O$233,1))=0,"",SUMIFS(FundRaw!$G$4:$G$233,FundRaw!$C$4:$C$233,"googl",FundRaw!$E$4:$E$233,"2026",FundRaw!$F$4:$F$233,"bridge_refi",FundRaw!$O$4:$O$233,1))</f>
        <v/>
      </c>
      <c r="W10" s="32" t="n">
        <f aca="false">IF(H10&lt;&gt;"",H10,IF(F10&lt;&gt;"",F10+N(G10),""))</f>
        <v>80.598</v>
      </c>
      <c r="X10" s="32" t="n">
        <f aca="false">IF(OR(W10="",E10=""),"",MAX(0,MIN(N(E10),W10-N(Y10))))</f>
        <v>80.598</v>
      </c>
      <c r="Y10" s="32" t="n">
        <f aca="false">IF(W10="","",IF(AND(H10&lt;&gt;"",F10&lt;&gt;""),MAX(0,H10-F10),N(G10)))</f>
        <v>0</v>
      </c>
      <c r="Z10" s="32" t="n">
        <f aca="false">IF(W10="","",MAX(0,MIN(N(R10),W10-N(X10)-N(Y10))))</f>
        <v>0</v>
      </c>
      <c r="AA10" s="32" t="n">
        <f aca="false">IF(W10="","",MAX(0,MIN(N(J10)+N(K10)+N(L10)+N(M10),W10-N(X10)-N(Y10)-N(Z10))))</f>
        <v>0</v>
      </c>
      <c r="AB10" s="32" t="n">
        <f aca="false">IF(W10="","",W10-N(X10)-N(Y10)-N(Z10)-N(AA10))</f>
        <v>0</v>
      </c>
      <c r="AC10" s="37" t="n">
        <f aca="false">IF(OR(W10="",N(W10)=0,X10=""),"",X10/W10)</f>
        <v>1</v>
      </c>
      <c r="AD10" s="37" t="n">
        <f aca="false">IF(OR(W10="",N(W10)=0,Y10=""),"",Y10/W10)</f>
        <v>0</v>
      </c>
      <c r="AE10" s="37" t="n">
        <f aca="false">IF(OR(W10="",N(W10)=0,Z10=""),"",Z10/W10)</f>
        <v>0</v>
      </c>
      <c r="AF10" s="37" t="n">
        <f aca="false">IF(OR(W10="",N(W10)=0,AA10=""),"",AA10/W10)</f>
        <v>0</v>
      </c>
      <c r="AG10" s="37" t="n">
        <f aca="false">IF(OR(W10="",N(W10)=0,AB10=""),"",AB10/W10)</f>
        <v>0</v>
      </c>
      <c r="AH10" s="32" t="n">
        <f aca="false">N(J10)+N(K10)+N(L10)+N(M10)+N(R10)+N(G10)</f>
        <v>84.75</v>
      </c>
      <c r="AI10" s="22" t="n">
        <f aca="false">IF(N(AH10)=0,"",(N(J10)+N(K10)+N(L10)+N(M10))/AH10)</f>
        <v>0</v>
      </c>
      <c r="AJ10" s="22" t="n">
        <f aca="false">IF(N(AH10)=0,"",(N(R10))/AH10)</f>
        <v>1</v>
      </c>
      <c r="AK10" s="22" t="n">
        <f aca="false">IF(N(AH10)=0,"",(N(G10))/AH10)</f>
        <v>0</v>
      </c>
      <c r="AL10" s="32" t="n">
        <f aca="false">N(J10)+N(K10)+N(L10)+N(M10)+IF(AND(H10&lt;&gt;"",F10&lt;&gt;""),MAX(0,H10-F10),N(G10))+N(P10)+N(R10)</f>
        <v>84.75</v>
      </c>
      <c r="AM10" s="37" t="n">
        <f aca="false">IF(OR(W10="",N(W10)=0),"",AL10/W10)</f>
        <v>1.05151492592868</v>
      </c>
      <c r="AN10" s="37" t="n">
        <f aca="false">IF(OR(W10="",N(W10)=0,E10=""),"",E10/W10)</f>
        <v>1.05286731680687</v>
      </c>
      <c r="AO10" s="22" t="n">
        <f aca="false">IF(OR(W10="",N(W10)=0),"",(N(J10)+N(K10)+N(L10)+N(M10))/W10)</f>
        <v>0</v>
      </c>
      <c r="AP10" s="22" t="n">
        <f aca="false">IF(OR(W10="",N(W10)=0),"",N(R10)/W10)</f>
        <v>1.05151492592868</v>
      </c>
      <c r="AQ10" s="22" t="n">
        <f aca="false">IF(OR(W10="",N(W10)=0),"",(IF(AND(H10&lt;&gt;"",F10&lt;&gt;""),MAX(0,H10-F10),N(G10))+N(P10))/W10)</f>
        <v>0</v>
      </c>
    </row>
    <row r="11" customFormat="false" ht="15" hidden="false" customHeight="false" outlineLevel="0" collapsed="false">
      <c r="A11" s="0" t="s">
        <v>1691</v>
      </c>
      <c r="B11" s="0" t="s">
        <v>519</v>
      </c>
      <c r="C11" s="0" t="n">
        <v>2024</v>
      </c>
      <c r="D11" s="0" t="s">
        <v>1688</v>
      </c>
      <c r="E11" s="32" t="str">
        <f aca="false">IF((COUNTIFS(FundRaw!$C$4:$C$233,"amzn",FundRaw!$E$4:$E$233,"2024",FundRaw!$F$4:$F$233,"ocf",FundRaw!$O$4:$O$233,1))=0,"",SUMIFS(FundRaw!$G$4:$G$233,FundRaw!$C$4:$C$233,"amzn",FundRaw!$E$4:$E$233,"2024",FundRaw!$F$4:$F$233,"ocf",FundRaw!$O$4:$O$233,1))</f>
        <v/>
      </c>
      <c r="F11" s="32" t="str">
        <f aca="false">IF((COUNTIFS(FundRaw!$C$4:$C$233,"amzn",FundRaw!$E$4:$E$233,"2024",FundRaw!$F$4:$F$233,"capex_cash",FundRaw!$O$4:$O$233,1))=0,"",SUMIFS(FundRaw!$G$4:$G$233,FundRaw!$C$4:$C$233,"amzn",FundRaw!$E$4:$E$233,"2024",FundRaw!$F$4:$F$233,"capex_cash",FundRaw!$O$4:$O$233,1))</f>
        <v/>
      </c>
      <c r="G11" s="32" t="str">
        <f aca="false">IF((COUNTIFS(FundRaw!$C$4:$C$233,"amzn",FundRaw!$E$4:$E$233,"2024",FundRaw!$F$4:$F$233,"fin_lease_new",FundRaw!$O$4:$O$233,1))=0,"",SUMIFS(FundRaw!$G$4:$G$233,FundRaw!$C$4:$C$233,"amzn",FundRaw!$E$4:$E$233,"2024",FundRaw!$F$4:$F$233,"fin_lease_new",FundRaw!$O$4:$O$233,1))</f>
        <v/>
      </c>
      <c r="H11" s="32" t="str">
        <f aca="false">IF((COUNTIFS(FundRaw!$C$4:$C$233,"amzn",FundRaw!$E$4:$E$233,"2024",FundRaw!$F$4:$F$233,"capex_incl_fl",FundRaw!$O$4:$O$233,1))=0,"",SUMIFS(FundRaw!$G$4:$G$233,FundRaw!$C$4:$C$233,"amzn",FundRaw!$E$4:$E$233,"2024",FundRaw!$F$4:$F$233,"capex_incl_fl",FundRaw!$O$4:$O$233,1))</f>
        <v/>
      </c>
      <c r="I11" s="32" t="str">
        <f aca="false">IF((COUNTIFS(FundRaw!$C$4:$C$233,"amzn",FundRaw!$E$4:$E$233,"2024",FundRaw!$F$4:$F$233,"fcf",FundRaw!$O$4:$O$233,1))=0,"",SUMIFS(FundRaw!$G$4:$G$233,FundRaw!$C$4:$C$233,"amzn",FundRaw!$E$4:$E$233,"2024",FundRaw!$F$4:$F$233,"fcf",FundRaw!$O$4:$O$233,1))</f>
        <v/>
      </c>
      <c r="J11" s="32" t="str">
        <f aca="false">IF((COUNTIFS(FundRaw!$C$4:$C$233,"amzn",FundRaw!$E$4:$E$233,"2024",FundRaw!$F$4:$F$233,"bond_issue",FundRaw!$O$4:$O$233,1))=0,"",SUMIFS(FundRaw!$G$4:$G$233,FundRaw!$C$4:$C$233,"amzn",FundRaw!$E$4:$E$233,"2024",FundRaw!$F$4:$F$233,"bond_issue",FundRaw!$O$4:$O$233,1))</f>
        <v/>
      </c>
      <c r="K11" s="32" t="str">
        <f aca="false">IF((COUNTIFS(FundRaw!$C$4:$C$233,"amzn",FundRaw!$E$4:$E$233,"2024",FundRaw!$F$4:$F$233,"term_loan",FundRaw!$O$4:$O$233,1))=0,"",SUMIFS(FundRaw!$G$4:$G$233,FundRaw!$C$4:$C$233,"amzn",FundRaw!$E$4:$E$233,"2024",FundRaw!$F$4:$F$233,"term_loan",FundRaw!$O$4:$O$233,1))</f>
        <v/>
      </c>
      <c r="L11" s="32" t="str">
        <f aca="false">IF((COUNTIFS(FundRaw!$C$4:$C$233,"amzn",FundRaw!$E$4:$E$233,"2024",FundRaw!$F$4:$F$233,"gpu_debt",FundRaw!$O$4:$O$233,1))=0,"",SUMIFS(FundRaw!$G$4:$G$233,FundRaw!$C$4:$C$233,"amzn",FundRaw!$E$4:$E$233,"2024",FundRaw!$F$4:$F$233,"gpu_debt",FundRaw!$O$4:$O$233,1))</f>
        <v/>
      </c>
      <c r="M11" s="32" t="str">
        <f aca="false">IF((COUNTIFS(FundRaw!$C$4:$C$233,"amzn",FundRaw!$E$4:$E$233,"2024",FundRaw!$F$4:$F$233,"private_credit",FundRaw!$O$4:$O$233,1))=0,"",SUMIFS(FundRaw!$G$4:$G$233,FundRaw!$C$4:$C$233,"amzn",FundRaw!$E$4:$E$233,"2024",FundRaw!$F$4:$F$233,"private_credit",FundRaw!$O$4:$O$233,1))</f>
        <v/>
      </c>
      <c r="N11" s="32" t="str">
        <f aca="false">IF((COUNTIFS(FundRaw!$C$4:$C$233,"amzn",FundRaw!$E$4:$E$233,"2024",FundRaw!$F$4:$F$233,"net_debt_change",FundRaw!$O$4:$O$233,1))=0,"",SUMIFS(FundRaw!$G$4:$G$233,FundRaw!$C$4:$C$233,"amzn",FundRaw!$E$4:$E$233,"2024",FundRaw!$F$4:$F$233,"net_debt_change",FundRaw!$O$4:$O$233,1))</f>
        <v/>
      </c>
      <c r="O11" s="32" t="str">
        <f aca="false">IF((COUNTIFS(FundRaw!$C$4:$C$233,"amzn",FundRaw!$E$4:$E$233,"2024",FundRaw!$F$4:$F$233,"lease_not_commenced",FundRaw!$O$4:$O$233,1))=0,"",SUMIFS(FundRaw!$G$4:$G$233,FundRaw!$C$4:$C$233,"amzn",FundRaw!$E$4:$E$233,"2024",FundRaw!$F$4:$F$233,"lease_not_commenced",FundRaw!$O$4:$O$233,1))</f>
        <v/>
      </c>
      <c r="P11" s="32" t="str">
        <f aca="false">IF((COUNTIFS(FundRaw!$C$4:$C$233,"amzn",FundRaw!$E$4:$E$233,"2024",FundRaw!$F$4:$F$233,"jv_offbalance",FundRaw!$O$4:$O$233,1))=0,"",SUMIFS(FundRaw!$G$4:$G$233,FundRaw!$C$4:$C$233,"amzn",FundRaw!$E$4:$E$233,"2024",FundRaw!$F$4:$F$233,"jv_offbalance",FundRaw!$O$4:$O$233,1))</f>
        <v/>
      </c>
      <c r="Q11" s="32" t="str">
        <f aca="false">IF((COUNTIFS(FundRaw!$C$4:$C$233,"amzn",FundRaw!$E$4:$E$233,"2024",FundRaw!$F$4:$F$233,"jv_exposure",FundRaw!$O$4:$O$233,1))=0,"",SUMIFS(FundRaw!$G$4:$G$233,FundRaw!$C$4:$C$233,"amzn",FundRaw!$E$4:$E$233,"2024",FundRaw!$F$4:$F$233,"jv_exposure",FundRaw!$O$4:$O$233,1))</f>
        <v/>
      </c>
      <c r="R11" s="32" t="str">
        <f aca="false">IF((COUNTIFS(FundRaw!$C$4:$C$233,"amzn",FundRaw!$E$4:$E$233,"2024",FundRaw!$F$4:$F$233,"equity_round",FundRaw!$O$4:$O$233,1))=0,"",SUMIFS(FundRaw!$G$4:$G$233,FundRaw!$C$4:$C$233,"amzn",FundRaw!$E$4:$E$233,"2024",FundRaw!$F$4:$F$233,"equity_round",FundRaw!$O$4:$O$233,1))</f>
        <v/>
      </c>
      <c r="S11" s="32" t="str">
        <f aca="false">IF((COUNTIFS(FundRaw!$C$4:$C$233,"amzn",FundRaw!$E$4:$E$233,"2024",FundRaw!$F$4:$F$233,"vendor_financing",FundRaw!$O$4:$O$233,1))=0,"",SUMIFS(FundRaw!$G$4:$G$233,FundRaw!$C$4:$C$233,"amzn",FundRaw!$E$4:$E$233,"2024",FundRaw!$F$4:$F$233,"vendor_financing",FundRaw!$O$4:$O$233,1))</f>
        <v/>
      </c>
      <c r="T11" s="32" t="str">
        <f aca="false">IF((COUNTIFS(FundRaw!$C$4:$C$233,"amzn",FundRaw!$E$4:$E$233,"2024",FundRaw!$F$4:$F$233,"buyback_div",FundRaw!$O$4:$O$233,1))=0,"",SUMIFS(FundRaw!$G$4:$G$233,FundRaw!$C$4:$C$233,"amzn",FundRaw!$E$4:$E$233,"2024",FundRaw!$F$4:$F$233,"buyback_div",FundRaw!$O$4:$O$233,1))</f>
        <v/>
      </c>
      <c r="U11" s="32" t="str">
        <f aca="false">IF((COUNTIFS(FundRaw!$C$4:$C$233,"amzn",FundRaw!$E$4:$E$233,"2024",FundRaw!$F$4:$F$233,"gpu_debt_talks",FundRaw!$O$4:$O$233,1))=0,"",SUMIFS(FundRaw!$G$4:$G$233,FundRaw!$C$4:$C$233,"amzn",FundRaw!$E$4:$E$233,"2024",FundRaw!$F$4:$F$233,"gpu_debt_talks",FundRaw!$O$4:$O$233,1))</f>
        <v/>
      </c>
      <c r="V11" s="32" t="str">
        <f aca="false">IF((COUNTIFS(FundRaw!$C$4:$C$233,"amzn",FundRaw!$E$4:$E$233,"2024",FundRaw!$F$4:$F$233,"bridge_refi",FundRaw!$O$4:$O$233,1))=0,"",SUMIFS(FundRaw!$G$4:$G$233,FundRaw!$C$4:$C$233,"amzn",FundRaw!$E$4:$E$233,"2024",FundRaw!$F$4:$F$233,"bridge_refi",FundRaw!$O$4:$O$233,1))</f>
        <v/>
      </c>
      <c r="W11" s="32" t="str">
        <f aca="false">IF(H11&lt;&gt;"",H11,IF(F11&lt;&gt;"",F11+N(G11),""))</f>
        <v/>
      </c>
      <c r="X11" s="32" t="str">
        <f aca="false">IF(OR(W11="",E11=""),"",MAX(0,MIN(N(E11),W11-N(Y11))))</f>
        <v/>
      </c>
      <c r="Y11" s="32" t="str">
        <f aca="false">IF(W11="","",IF(AND(H11&lt;&gt;"",F11&lt;&gt;""),MAX(0,H11-F11),N(G11)))</f>
        <v/>
      </c>
      <c r="Z11" s="32" t="str">
        <f aca="false">IF(W11="","",MAX(0,MIN(N(R11),W11-N(X11)-N(Y11))))</f>
        <v/>
      </c>
      <c r="AA11" s="32" t="str">
        <f aca="false">IF(W11="","",MAX(0,MIN(N(J11)+N(K11)+N(L11)+N(M11),W11-N(X11)-N(Y11)-N(Z11))))</f>
        <v/>
      </c>
      <c r="AB11" s="32" t="str">
        <f aca="false">IF(W11="","",W11-N(X11)-N(Y11)-N(Z11)-N(AA11))</f>
        <v/>
      </c>
      <c r="AC11" s="37" t="str">
        <f aca="false">IF(OR(W11="",N(W11)=0,X11=""),"",X11/W11)</f>
        <v/>
      </c>
      <c r="AD11" s="37" t="str">
        <f aca="false">IF(OR(W11="",N(W11)=0,Y11=""),"",Y11/W11)</f>
        <v/>
      </c>
      <c r="AE11" s="37" t="str">
        <f aca="false">IF(OR(W11="",N(W11)=0,Z11=""),"",Z11/W11)</f>
        <v/>
      </c>
      <c r="AF11" s="37" t="str">
        <f aca="false">IF(OR(W11="",N(W11)=0,AA11=""),"",AA11/W11)</f>
        <v/>
      </c>
      <c r="AG11" s="37" t="str">
        <f aca="false">IF(OR(W11="",N(W11)=0,AB11=""),"",AB11/W11)</f>
        <v/>
      </c>
      <c r="AH11" s="32" t="n">
        <f aca="false">N(J11)+N(K11)+N(L11)+N(M11)+N(R11)+N(G11)</f>
        <v>0</v>
      </c>
      <c r="AI11" s="22" t="str">
        <f aca="false">IF(N(AH11)=0,"",(N(J11)+N(K11)+N(L11)+N(M11))/AH11)</f>
        <v/>
      </c>
      <c r="AJ11" s="22" t="str">
        <f aca="false">IF(N(AH11)=0,"",(N(R11))/AH11)</f>
        <v/>
      </c>
      <c r="AK11" s="22" t="str">
        <f aca="false">IF(N(AH11)=0,"",(N(G11))/AH11)</f>
        <v/>
      </c>
      <c r="AL11" s="32" t="n">
        <f aca="false">N(J11)+N(K11)+N(L11)+N(M11)+IF(AND(H11&lt;&gt;"",F11&lt;&gt;""),MAX(0,H11-F11),N(G11))+N(P11)+N(R11)</f>
        <v>0</v>
      </c>
      <c r="AM11" s="37" t="str">
        <f aca="false">IF(OR(W11="",N(W11)=0),"",AL11/W11)</f>
        <v/>
      </c>
      <c r="AN11" s="37" t="str">
        <f aca="false">IF(OR(W11="",N(W11)=0,E11=""),"",E11/W11)</f>
        <v/>
      </c>
      <c r="AO11" s="22" t="str">
        <f aca="false">IF(OR(W11="",N(W11)=0),"",(N(J11)+N(K11)+N(L11)+N(M11))/W11)</f>
        <v/>
      </c>
      <c r="AP11" s="22" t="str">
        <f aca="false">IF(OR(W11="",N(W11)=0),"",N(R11)/W11)</f>
        <v/>
      </c>
      <c r="AQ11" s="22" t="str">
        <f aca="false">IF(OR(W11="",N(W11)=0),"",(IF(AND(H11&lt;&gt;"",F11&lt;&gt;""),MAX(0,H11-F11),N(G11))+N(P11))/W11)</f>
        <v/>
      </c>
    </row>
    <row r="12" customFormat="false" ht="15" hidden="false" customHeight="false" outlineLevel="0" collapsed="false">
      <c r="A12" s="0" t="s">
        <v>1691</v>
      </c>
      <c r="B12" s="0" t="s">
        <v>519</v>
      </c>
      <c r="C12" s="0" t="n">
        <v>2025</v>
      </c>
      <c r="D12" s="0" t="s">
        <v>1689</v>
      </c>
      <c r="E12" s="32" t="n">
        <f aca="false">IF((COUNTIFS(FundRaw!$C$4:$C$233,"amzn",FundRaw!$E$4:$E$233,"2025",FundRaw!$F$4:$F$233,"ocf",FundRaw!$O$4:$O$233,1))=0,"",SUMIFS(FundRaw!$G$4:$G$233,FundRaw!$C$4:$C$233,"amzn",FundRaw!$E$4:$E$233,"2025",FundRaw!$F$4:$F$233,"ocf",FundRaw!$O$4:$O$233,1))</f>
        <v>139.514</v>
      </c>
      <c r="F12" s="32" t="n">
        <f aca="false">IF((COUNTIFS(FundRaw!$C$4:$C$233,"amzn",FundRaw!$E$4:$E$233,"2025",FundRaw!$F$4:$F$233,"capex_cash",FundRaw!$O$4:$O$233,1))=0,"",SUMIFS(FundRaw!$G$4:$G$233,FundRaw!$C$4:$C$233,"amzn",FundRaw!$E$4:$E$233,"2025",FundRaw!$F$4:$F$233,"capex_cash",FundRaw!$O$4:$O$233,1))</f>
        <v>128.32</v>
      </c>
      <c r="G12" s="32" t="str">
        <f aca="false">IF((COUNTIFS(FundRaw!$C$4:$C$233,"amzn",FundRaw!$E$4:$E$233,"2025",FundRaw!$F$4:$F$233,"fin_lease_new",FundRaw!$O$4:$O$233,1))=0,"",SUMIFS(FundRaw!$G$4:$G$233,FundRaw!$C$4:$C$233,"amzn",FundRaw!$E$4:$E$233,"2025",FundRaw!$F$4:$F$233,"fin_lease_new",FundRaw!$O$4:$O$233,1))</f>
        <v/>
      </c>
      <c r="H12" s="32" t="n">
        <f aca="false">IF((COUNTIFS(FundRaw!$C$4:$C$233,"amzn",FundRaw!$E$4:$E$233,"2025",FundRaw!$F$4:$F$233,"capex_incl_fl",FundRaw!$O$4:$O$233,1))=0,"",SUMIFS(FundRaw!$G$4:$G$233,FundRaw!$C$4:$C$233,"amzn",FundRaw!$E$4:$E$233,"2025",FundRaw!$F$4:$F$233,"capex_incl_fl",FundRaw!$O$4:$O$233,1))</f>
        <v>131.231</v>
      </c>
      <c r="I12" s="32" t="n">
        <f aca="false">IF((COUNTIFS(FundRaw!$C$4:$C$233,"amzn",FundRaw!$E$4:$E$233,"2025",FundRaw!$F$4:$F$233,"fcf",FundRaw!$O$4:$O$233,1))=0,"",SUMIFS(FundRaw!$G$4:$G$233,FundRaw!$C$4:$C$233,"amzn",FundRaw!$E$4:$E$233,"2025",FundRaw!$F$4:$F$233,"fcf",FundRaw!$O$4:$O$233,1))</f>
        <v>11.194</v>
      </c>
      <c r="J12" s="32" t="n">
        <f aca="false">IF((COUNTIFS(FundRaw!$C$4:$C$233,"amzn",FundRaw!$E$4:$E$233,"2025",FundRaw!$F$4:$F$233,"bond_issue",FundRaw!$O$4:$O$233,1))=0,"",SUMIFS(FundRaw!$G$4:$G$233,FundRaw!$C$4:$C$233,"amzn",FundRaw!$E$4:$E$233,"2025",FundRaw!$F$4:$F$233,"bond_issue",FundRaw!$O$4:$O$233,1))</f>
        <v>15</v>
      </c>
      <c r="K12" s="32" t="str">
        <f aca="false">IF((COUNTIFS(FundRaw!$C$4:$C$233,"amzn",FundRaw!$E$4:$E$233,"2025",FundRaw!$F$4:$F$233,"term_loan",FundRaw!$O$4:$O$233,1))=0,"",SUMIFS(FundRaw!$G$4:$G$233,FundRaw!$C$4:$C$233,"amzn",FundRaw!$E$4:$E$233,"2025",FundRaw!$F$4:$F$233,"term_loan",FundRaw!$O$4:$O$233,1))</f>
        <v/>
      </c>
      <c r="L12" s="32" t="str">
        <f aca="false">IF((COUNTIFS(FundRaw!$C$4:$C$233,"amzn",FundRaw!$E$4:$E$233,"2025",FundRaw!$F$4:$F$233,"gpu_debt",FundRaw!$O$4:$O$233,1))=0,"",SUMIFS(FundRaw!$G$4:$G$233,FundRaw!$C$4:$C$233,"amzn",FundRaw!$E$4:$E$233,"2025",FundRaw!$F$4:$F$233,"gpu_debt",FundRaw!$O$4:$O$233,1))</f>
        <v/>
      </c>
      <c r="M12" s="32" t="str">
        <f aca="false">IF((COUNTIFS(FundRaw!$C$4:$C$233,"amzn",FundRaw!$E$4:$E$233,"2025",FundRaw!$F$4:$F$233,"private_credit",FundRaw!$O$4:$O$233,1))=0,"",SUMIFS(FundRaw!$G$4:$G$233,FundRaw!$C$4:$C$233,"amzn",FundRaw!$E$4:$E$233,"2025",FundRaw!$F$4:$F$233,"private_credit",FundRaw!$O$4:$O$233,1))</f>
        <v/>
      </c>
      <c r="N12" s="32" t="str">
        <f aca="false">IF((COUNTIFS(FundRaw!$C$4:$C$233,"amzn",FundRaw!$E$4:$E$233,"2025",FundRaw!$F$4:$F$233,"net_debt_change",FundRaw!$O$4:$O$233,1))=0,"",SUMIFS(FundRaw!$G$4:$G$233,FundRaw!$C$4:$C$233,"amzn",FundRaw!$E$4:$E$233,"2025",FundRaw!$F$4:$F$233,"net_debt_change",FundRaw!$O$4:$O$233,1))</f>
        <v/>
      </c>
      <c r="O12" s="32" t="n">
        <f aca="false">IF((COUNTIFS(FundRaw!$C$4:$C$233,"amzn",FundRaw!$E$4:$E$233,"2025",FundRaw!$F$4:$F$233,"lease_not_commenced",FundRaw!$O$4:$O$233,1))=0,"",SUMIFS(FundRaw!$G$4:$G$233,FundRaw!$C$4:$C$233,"amzn",FundRaw!$E$4:$E$233,"2025",FundRaw!$F$4:$F$233,"lease_not_commenced",FundRaw!$O$4:$O$233,1))</f>
        <v>96.4</v>
      </c>
      <c r="P12" s="32" t="str">
        <f aca="false">IF((COUNTIFS(FundRaw!$C$4:$C$233,"amzn",FundRaw!$E$4:$E$233,"2025",FundRaw!$F$4:$F$233,"jv_offbalance",FundRaw!$O$4:$O$233,1))=0,"",SUMIFS(FundRaw!$G$4:$G$233,FundRaw!$C$4:$C$233,"amzn",FundRaw!$E$4:$E$233,"2025",FundRaw!$F$4:$F$233,"jv_offbalance",FundRaw!$O$4:$O$233,1))</f>
        <v/>
      </c>
      <c r="Q12" s="32" t="str">
        <f aca="false">IF((COUNTIFS(FundRaw!$C$4:$C$233,"amzn",FundRaw!$E$4:$E$233,"2025",FundRaw!$F$4:$F$233,"jv_exposure",FundRaw!$O$4:$O$233,1))=0,"",SUMIFS(FundRaw!$G$4:$G$233,FundRaw!$C$4:$C$233,"amzn",FundRaw!$E$4:$E$233,"2025",FundRaw!$F$4:$F$233,"jv_exposure",FundRaw!$O$4:$O$233,1))</f>
        <v/>
      </c>
      <c r="R12" s="32" t="str">
        <f aca="false">IF((COUNTIFS(FundRaw!$C$4:$C$233,"amzn",FundRaw!$E$4:$E$233,"2025",FundRaw!$F$4:$F$233,"equity_round",FundRaw!$O$4:$O$233,1))=0,"",SUMIFS(FundRaw!$G$4:$G$233,FundRaw!$C$4:$C$233,"amzn",FundRaw!$E$4:$E$233,"2025",FundRaw!$F$4:$F$233,"equity_round",FundRaw!$O$4:$O$233,1))</f>
        <v/>
      </c>
      <c r="S12" s="32" t="str">
        <f aca="false">IF((COUNTIFS(FundRaw!$C$4:$C$233,"amzn",FundRaw!$E$4:$E$233,"2025",FundRaw!$F$4:$F$233,"vendor_financing",FundRaw!$O$4:$O$233,1))=0,"",SUMIFS(FundRaw!$G$4:$G$233,FundRaw!$C$4:$C$233,"amzn",FundRaw!$E$4:$E$233,"2025",FundRaw!$F$4:$F$233,"vendor_financing",FundRaw!$O$4:$O$233,1))</f>
        <v/>
      </c>
      <c r="T12" s="32" t="n">
        <f aca="false">IF((COUNTIFS(FundRaw!$C$4:$C$233,"amzn",FundRaw!$E$4:$E$233,"2025",FundRaw!$F$4:$F$233,"buyback_div",FundRaw!$O$4:$O$233,1))=0,"",SUMIFS(FundRaw!$G$4:$G$233,FundRaw!$C$4:$C$233,"amzn",FundRaw!$E$4:$E$233,"2025",FundRaw!$F$4:$F$233,"buyback_div",FundRaw!$O$4:$O$233,1))</f>
        <v>0</v>
      </c>
      <c r="U12" s="32" t="str">
        <f aca="false">IF((COUNTIFS(FundRaw!$C$4:$C$233,"amzn",FundRaw!$E$4:$E$233,"2025",FundRaw!$F$4:$F$233,"gpu_debt_talks",FundRaw!$O$4:$O$233,1))=0,"",SUMIFS(FundRaw!$G$4:$G$233,FundRaw!$C$4:$C$233,"amzn",FundRaw!$E$4:$E$233,"2025",FundRaw!$F$4:$F$233,"gpu_debt_talks",FundRaw!$O$4:$O$233,1))</f>
        <v/>
      </c>
      <c r="V12" s="32" t="str">
        <f aca="false">IF((COUNTIFS(FundRaw!$C$4:$C$233,"amzn",FundRaw!$E$4:$E$233,"2025",FundRaw!$F$4:$F$233,"bridge_refi",FundRaw!$O$4:$O$233,1))=0,"",SUMIFS(FundRaw!$G$4:$G$233,FundRaw!$C$4:$C$233,"amzn",FundRaw!$E$4:$E$233,"2025",FundRaw!$F$4:$F$233,"bridge_refi",FundRaw!$O$4:$O$233,1))</f>
        <v/>
      </c>
      <c r="W12" s="32" t="n">
        <f aca="false">IF(H12&lt;&gt;"",H12,IF(F12&lt;&gt;"",F12+N(G12),""))</f>
        <v>131.231</v>
      </c>
      <c r="X12" s="32" t="n">
        <f aca="false">IF(OR(W12="",E12=""),"",MAX(0,MIN(N(E12),W12-N(Y12))))</f>
        <v>128.32</v>
      </c>
      <c r="Y12" s="32" t="n">
        <f aca="false">IF(W12="","",IF(AND(H12&lt;&gt;"",F12&lt;&gt;""),MAX(0,H12-F12),N(G12)))</f>
        <v>2.911</v>
      </c>
      <c r="Z12" s="32" t="n">
        <f aca="false">IF(W12="","",MAX(0,MIN(N(R12),W12-N(X12)-N(Y12))))</f>
        <v>0</v>
      </c>
      <c r="AA12" s="32" t="n">
        <f aca="false">IF(W12="","",MAX(0,MIN(N(J12)+N(K12)+N(L12)+N(M12),W12-N(X12)-N(Y12)-N(Z12))))</f>
        <v>0</v>
      </c>
      <c r="AB12" s="32" t="n">
        <f aca="false">IF(W12="","",W12-N(X12)-N(Y12)-N(Z12)-N(AA12))</f>
        <v>0</v>
      </c>
      <c r="AC12" s="37" t="n">
        <f aca="false">IF(OR(W12="",N(W12)=0,X12=""),"",X12/W12)</f>
        <v>0.977817741234922</v>
      </c>
      <c r="AD12" s="37" t="n">
        <f aca="false">IF(OR(W12="",N(W12)=0,Y12=""),"",Y12/W12)</f>
        <v>0.0221822587650784</v>
      </c>
      <c r="AE12" s="37" t="n">
        <f aca="false">IF(OR(W12="",N(W12)=0,Z12=""),"",Z12/W12)</f>
        <v>0</v>
      </c>
      <c r="AF12" s="37" t="n">
        <f aca="false">IF(OR(W12="",N(W12)=0,AA12=""),"",AA12/W12)</f>
        <v>0</v>
      </c>
      <c r="AG12" s="37" t="n">
        <f aca="false">IF(OR(W12="",N(W12)=0,AB12=""),"",AB12/W12)</f>
        <v>0</v>
      </c>
      <c r="AH12" s="32" t="n">
        <f aca="false">N(J12)+N(K12)+N(L12)+N(M12)+N(R12)+N(G12)</f>
        <v>15</v>
      </c>
      <c r="AI12" s="22" t="n">
        <f aca="false">IF(N(AH12)=0,"",(N(J12)+N(K12)+N(L12)+N(M12))/AH12)</f>
        <v>1</v>
      </c>
      <c r="AJ12" s="22" t="n">
        <f aca="false">IF(N(AH12)=0,"",(N(R12))/AH12)</f>
        <v>0</v>
      </c>
      <c r="AK12" s="22" t="n">
        <f aca="false">IF(N(AH12)=0,"",(N(G12))/AH12)</f>
        <v>0</v>
      </c>
      <c r="AL12" s="32" t="n">
        <f aca="false">N(J12)+N(K12)+N(L12)+N(M12)+IF(AND(H12&lt;&gt;"",F12&lt;&gt;""),MAX(0,H12-F12),N(G12))+N(P12)+N(R12)</f>
        <v>17.911</v>
      </c>
      <c r="AM12" s="37" t="n">
        <f aca="false">IF(OR(W12="",N(W12)=0),"",AL12/W12)</f>
        <v>0.136484519663799</v>
      </c>
      <c r="AN12" s="37" t="n">
        <f aca="false">IF(OR(W12="",N(W12)=0,E12=""),"",E12/W12)</f>
        <v>1.06311770846827</v>
      </c>
      <c r="AO12" s="22" t="n">
        <f aca="false">IF(OR(W12="",N(W12)=0),"",(N(J12)+N(K12)+N(L12)+N(M12))/W12)</f>
        <v>0.114302260898721</v>
      </c>
      <c r="AP12" s="22" t="n">
        <f aca="false">IF(OR(W12="",N(W12)=0),"",N(R12)/W12)</f>
        <v>0</v>
      </c>
      <c r="AQ12" s="22" t="n">
        <f aca="false">IF(OR(W12="",N(W12)=0),"",(IF(AND(H12&lt;&gt;"",F12&lt;&gt;""),MAX(0,H12-F12),N(G12))+N(P12))/W12)</f>
        <v>0.0221822587650784</v>
      </c>
    </row>
    <row r="13" customFormat="false" ht="15" hidden="false" customHeight="false" outlineLevel="0" collapsed="false">
      <c r="A13" s="0" t="s">
        <v>1691</v>
      </c>
      <c r="B13" s="0" t="s">
        <v>519</v>
      </c>
      <c r="C13" s="0" t="n">
        <v>2026</v>
      </c>
      <c r="D13" s="0" t="s">
        <v>1690</v>
      </c>
      <c r="E13" s="32" t="n">
        <f aca="false">IF((COUNTIFS(FundRaw!$C$4:$C$233,"amzn",FundRaw!$E$4:$E$233,"2026",FundRaw!$F$4:$F$233,"ocf",FundRaw!$O$4:$O$233,1))=0,"",SUMIFS(FundRaw!$G$4:$G$233,FundRaw!$C$4:$C$233,"amzn",FundRaw!$E$4:$E$233,"2026",FundRaw!$F$4:$F$233,"ocf",FundRaw!$O$4:$O$233,1))</f>
        <v>71.419</v>
      </c>
      <c r="F13" s="32" t="n">
        <f aca="false">IF((COUNTIFS(FundRaw!$C$4:$C$233,"amzn",FundRaw!$E$4:$E$233,"2026",FundRaw!$F$4:$F$233,"capex_cash",FundRaw!$O$4:$O$233,1))=0,"",SUMIFS(FundRaw!$G$4:$G$233,FundRaw!$C$4:$C$233,"amzn",FundRaw!$E$4:$E$233,"2026",FundRaw!$F$4:$F$233,"capex_cash",FundRaw!$O$4:$O$233,1))</f>
        <v>96.31</v>
      </c>
      <c r="G13" s="32" t="n">
        <f aca="false">IF((COUNTIFS(FundRaw!$C$4:$C$233,"amzn",FundRaw!$E$4:$E$233,"2026",FundRaw!$F$4:$F$233,"fin_lease_new",FundRaw!$O$4:$O$233,1))=0,"",SUMIFS(FundRaw!$G$4:$G$233,FundRaw!$C$4:$C$233,"amzn",FundRaw!$E$4:$E$233,"2026",FundRaw!$F$4:$F$233,"fin_lease_new",FundRaw!$O$4:$O$233,1))</f>
        <v>2.128</v>
      </c>
      <c r="H13" s="32" t="str">
        <f aca="false">IF((COUNTIFS(FundRaw!$C$4:$C$233,"amzn",FundRaw!$E$4:$E$233,"2026",FundRaw!$F$4:$F$233,"capex_incl_fl",FundRaw!$O$4:$O$233,1))=0,"",SUMIFS(FundRaw!$G$4:$G$233,FundRaw!$C$4:$C$233,"amzn",FundRaw!$E$4:$E$233,"2026",FundRaw!$F$4:$F$233,"capex_incl_fl",FundRaw!$O$4:$O$233,1))</f>
        <v/>
      </c>
      <c r="I13" s="32" t="n">
        <f aca="false">IF((COUNTIFS(FundRaw!$C$4:$C$233,"amzn",FundRaw!$E$4:$E$233,"2026",FundRaw!$F$4:$F$233,"fcf",FundRaw!$O$4:$O$233,1))=0,"",SUMIFS(FundRaw!$G$4:$G$233,FundRaw!$C$4:$C$233,"amzn",FundRaw!$E$4:$E$233,"2026",FundRaw!$F$4:$F$233,"fcf",FundRaw!$O$4:$O$233,1))</f>
        <v>-24.891</v>
      </c>
      <c r="J13" s="32" t="n">
        <f aca="false">IF((COUNTIFS(FundRaw!$C$4:$C$233,"amzn",FundRaw!$E$4:$E$233,"2026",FundRaw!$F$4:$F$233,"bond_issue",FundRaw!$O$4:$O$233,1))=0,"",SUMIFS(FundRaw!$G$4:$G$233,FundRaw!$C$4:$C$233,"amzn",FundRaw!$E$4:$E$233,"2026",FundRaw!$F$4:$F$233,"bond_issue",FundRaw!$O$4:$O$233,1))</f>
        <v>53.8</v>
      </c>
      <c r="K13" s="32" t="str">
        <f aca="false">IF((COUNTIFS(FundRaw!$C$4:$C$233,"amzn",FundRaw!$E$4:$E$233,"2026",FundRaw!$F$4:$F$233,"term_loan",FundRaw!$O$4:$O$233,1))=0,"",SUMIFS(FundRaw!$G$4:$G$233,FundRaw!$C$4:$C$233,"amzn",FundRaw!$E$4:$E$233,"2026",FundRaw!$F$4:$F$233,"term_loan",FundRaw!$O$4:$O$233,1))</f>
        <v/>
      </c>
      <c r="L13" s="32" t="str">
        <f aca="false">IF((COUNTIFS(FundRaw!$C$4:$C$233,"amzn",FundRaw!$E$4:$E$233,"2026",FundRaw!$F$4:$F$233,"gpu_debt",FundRaw!$O$4:$O$233,1))=0,"",SUMIFS(FundRaw!$G$4:$G$233,FundRaw!$C$4:$C$233,"amzn",FundRaw!$E$4:$E$233,"2026",FundRaw!$F$4:$F$233,"gpu_debt",FundRaw!$O$4:$O$233,1))</f>
        <v/>
      </c>
      <c r="M13" s="32" t="str">
        <f aca="false">IF((COUNTIFS(FundRaw!$C$4:$C$233,"amzn",FundRaw!$E$4:$E$233,"2026",FundRaw!$F$4:$F$233,"private_credit",FundRaw!$O$4:$O$233,1))=0,"",SUMIFS(FundRaw!$G$4:$G$233,FundRaw!$C$4:$C$233,"amzn",FundRaw!$E$4:$E$233,"2026",FundRaw!$F$4:$F$233,"private_credit",FundRaw!$O$4:$O$233,1))</f>
        <v/>
      </c>
      <c r="N13" s="32" t="str">
        <f aca="false">IF((COUNTIFS(FundRaw!$C$4:$C$233,"amzn",FundRaw!$E$4:$E$233,"2026",FundRaw!$F$4:$F$233,"net_debt_change",FundRaw!$O$4:$O$233,1))=0,"",SUMIFS(FundRaw!$G$4:$G$233,FundRaw!$C$4:$C$233,"amzn",FundRaw!$E$4:$E$233,"2026",FundRaw!$F$4:$F$233,"net_debt_change",FundRaw!$O$4:$O$233,1))</f>
        <v/>
      </c>
      <c r="O13" s="32" t="n">
        <f aca="false">IF((COUNTIFS(FundRaw!$C$4:$C$233,"amzn",FundRaw!$E$4:$E$233,"2026",FundRaw!$F$4:$F$233,"lease_not_commenced",FundRaw!$O$4:$O$233,1))=0,"",SUMIFS(FundRaw!$G$4:$G$233,FundRaw!$C$4:$C$233,"amzn",FundRaw!$E$4:$E$233,"2026",FundRaw!$F$4:$F$233,"lease_not_commenced",FundRaw!$O$4:$O$233,1))</f>
        <v>137.214</v>
      </c>
      <c r="P13" s="32" t="str">
        <f aca="false">IF((COUNTIFS(FundRaw!$C$4:$C$233,"amzn",FundRaw!$E$4:$E$233,"2026",FundRaw!$F$4:$F$233,"jv_offbalance",FundRaw!$O$4:$O$233,1))=0,"",SUMIFS(FundRaw!$G$4:$G$233,FundRaw!$C$4:$C$233,"amzn",FundRaw!$E$4:$E$233,"2026",FundRaw!$F$4:$F$233,"jv_offbalance",FundRaw!$O$4:$O$233,1))</f>
        <v/>
      </c>
      <c r="Q13" s="32" t="str">
        <f aca="false">IF((COUNTIFS(FundRaw!$C$4:$C$233,"amzn",FundRaw!$E$4:$E$233,"2026",FundRaw!$F$4:$F$233,"jv_exposure",FundRaw!$O$4:$O$233,1))=0,"",SUMIFS(FundRaw!$G$4:$G$233,FundRaw!$C$4:$C$233,"amzn",FundRaw!$E$4:$E$233,"2026",FundRaw!$F$4:$F$233,"jv_exposure",FundRaw!$O$4:$O$233,1))</f>
        <v/>
      </c>
      <c r="R13" s="32" t="str">
        <f aca="false">IF((COUNTIFS(FundRaw!$C$4:$C$233,"amzn",FundRaw!$E$4:$E$233,"2026",FundRaw!$F$4:$F$233,"equity_round",FundRaw!$O$4:$O$233,1))=0,"",SUMIFS(FundRaw!$G$4:$G$233,FundRaw!$C$4:$C$233,"amzn",FundRaw!$E$4:$E$233,"2026",FundRaw!$F$4:$F$233,"equity_round",FundRaw!$O$4:$O$233,1))</f>
        <v/>
      </c>
      <c r="S13" s="32" t="n">
        <f aca="false">IF((COUNTIFS(FundRaw!$C$4:$C$233,"amzn",FundRaw!$E$4:$E$233,"2026",FundRaw!$F$4:$F$233,"vendor_financing",FundRaw!$O$4:$O$233,1))=0,"",SUMIFS(FundRaw!$G$4:$G$233,FundRaw!$C$4:$C$233,"amzn",FundRaw!$E$4:$E$233,"2026",FundRaw!$F$4:$F$233,"vendor_financing",FundRaw!$O$4:$O$233,1))</f>
        <v>18</v>
      </c>
      <c r="T13" s="32" t="str">
        <f aca="false">IF((COUNTIFS(FundRaw!$C$4:$C$233,"amzn",FundRaw!$E$4:$E$233,"2026",FundRaw!$F$4:$F$233,"buyback_div",FundRaw!$O$4:$O$233,1))=0,"",SUMIFS(FundRaw!$G$4:$G$233,FundRaw!$C$4:$C$233,"amzn",FundRaw!$E$4:$E$233,"2026",FundRaw!$F$4:$F$233,"buyback_div",FundRaw!$O$4:$O$233,1))</f>
        <v/>
      </c>
      <c r="U13" s="32" t="str">
        <f aca="false">IF((COUNTIFS(FundRaw!$C$4:$C$233,"amzn",FundRaw!$E$4:$E$233,"2026",FundRaw!$F$4:$F$233,"gpu_debt_talks",FundRaw!$O$4:$O$233,1))=0,"",SUMIFS(FundRaw!$G$4:$G$233,FundRaw!$C$4:$C$233,"amzn",FundRaw!$E$4:$E$233,"2026",FundRaw!$F$4:$F$233,"gpu_debt_talks",FundRaw!$O$4:$O$233,1))</f>
        <v/>
      </c>
      <c r="V13" s="32" t="str">
        <f aca="false">IF((COUNTIFS(FundRaw!$C$4:$C$233,"amzn",FundRaw!$E$4:$E$233,"2026",FundRaw!$F$4:$F$233,"bridge_refi",FundRaw!$O$4:$O$233,1))=0,"",SUMIFS(FundRaw!$G$4:$G$233,FundRaw!$C$4:$C$233,"amzn",FundRaw!$E$4:$E$233,"2026",FundRaw!$F$4:$F$233,"bridge_refi",FundRaw!$O$4:$O$233,1))</f>
        <v/>
      </c>
      <c r="W13" s="32" t="n">
        <f aca="false">IF(H13&lt;&gt;"",H13,IF(F13&lt;&gt;"",F13+N(G13),""))</f>
        <v>98.438</v>
      </c>
      <c r="X13" s="32" t="n">
        <f aca="false">IF(OR(W13="",E13=""),"",MAX(0,MIN(N(E13),W13-N(Y13))))</f>
        <v>71.419</v>
      </c>
      <c r="Y13" s="32" t="n">
        <f aca="false">IF(W13="","",IF(AND(H13&lt;&gt;"",F13&lt;&gt;""),MAX(0,H13-F13),N(G13)))</f>
        <v>2.128</v>
      </c>
      <c r="Z13" s="32" t="n">
        <f aca="false">IF(W13="","",MAX(0,MIN(N(R13),W13-N(X13)-N(Y13))))</f>
        <v>0</v>
      </c>
      <c r="AA13" s="32" t="n">
        <f aca="false">IF(W13="","",MAX(0,MIN(N(J13)+N(K13)+N(L13)+N(M13),W13-N(X13)-N(Y13)-N(Z13))))</f>
        <v>24.891</v>
      </c>
      <c r="AB13" s="32" t="n">
        <f aca="false">IF(W13="","",W13-N(X13)-N(Y13)-N(Z13)-N(AA13))</f>
        <v>0</v>
      </c>
      <c r="AC13" s="37" t="n">
        <f aca="false">IF(OR(W13="",N(W13)=0,X13=""),"",X13/W13)</f>
        <v>0.725522664011865</v>
      </c>
      <c r="AD13" s="37" t="n">
        <f aca="false">IF(OR(W13="",N(W13)=0,Y13=""),"",Y13/W13)</f>
        <v>0.02161766797375</v>
      </c>
      <c r="AE13" s="37" t="n">
        <f aca="false">IF(OR(W13="",N(W13)=0,Z13=""),"",Z13/W13)</f>
        <v>0</v>
      </c>
      <c r="AF13" s="37" t="n">
        <f aca="false">IF(OR(W13="",N(W13)=0,AA13=""),"",AA13/W13)</f>
        <v>0.252859668014385</v>
      </c>
      <c r="AG13" s="37" t="n">
        <f aca="false">IF(OR(W13="",N(W13)=0,AB13=""),"",AB13/W13)</f>
        <v>0</v>
      </c>
      <c r="AH13" s="32" t="n">
        <f aca="false">N(J13)+N(K13)+N(L13)+N(M13)+N(R13)+N(G13)</f>
        <v>55.928</v>
      </c>
      <c r="AI13" s="22" t="n">
        <f aca="false">IF(N(AH13)=0,"",(N(J13)+N(K13)+N(L13)+N(M13))/AH13)</f>
        <v>0.961951079959949</v>
      </c>
      <c r="AJ13" s="22" t="n">
        <f aca="false">IF(N(AH13)=0,"",(N(R13))/AH13)</f>
        <v>0</v>
      </c>
      <c r="AK13" s="22" t="n">
        <f aca="false">IF(N(AH13)=0,"",(N(G13))/AH13)</f>
        <v>0.0380489200400515</v>
      </c>
      <c r="AL13" s="32" t="n">
        <f aca="false">N(J13)+N(K13)+N(L13)+N(M13)+IF(AND(H13&lt;&gt;"",F13&lt;&gt;""),MAX(0,H13-F13),N(G13))+N(P13)+N(R13)</f>
        <v>55.928</v>
      </c>
      <c r="AM13" s="37" t="n">
        <f aca="false">IF(OR(W13="",N(W13)=0),"",AL13/W13)</f>
        <v>0.568154574452955</v>
      </c>
      <c r="AN13" s="37" t="n">
        <f aca="false">IF(OR(W13="",N(W13)=0,E13=""),"",E13/W13)</f>
        <v>0.725522664011865</v>
      </c>
      <c r="AO13" s="22" t="n">
        <f aca="false">IF(OR(W13="",N(W13)=0),"",(N(J13)+N(K13)+N(L13)+N(M13))/W13)</f>
        <v>0.546536906479205</v>
      </c>
      <c r="AP13" s="22" t="n">
        <f aca="false">IF(OR(W13="",N(W13)=0),"",N(R13)/W13)</f>
        <v>0</v>
      </c>
      <c r="AQ13" s="22" t="n">
        <f aca="false">IF(OR(W13="",N(W13)=0),"",(IF(AND(H13&lt;&gt;"",F13&lt;&gt;""),MAX(0,H13-F13),N(G13))+N(P13))/W13)</f>
        <v>0.02161766797375</v>
      </c>
    </row>
    <row r="14" customFormat="false" ht="15" hidden="false" customHeight="false" outlineLevel="0" collapsed="false">
      <c r="A14" s="0" t="s">
        <v>1038</v>
      </c>
      <c r="B14" s="0" t="s">
        <v>526</v>
      </c>
      <c r="C14" s="0" t="n">
        <v>2024</v>
      </c>
      <c r="D14" s="0" t="s">
        <v>1688</v>
      </c>
      <c r="E14" s="32" t="str">
        <f aca="false">IF((COUNTIFS(FundRaw!$C$4:$C$233,"meta",FundRaw!$E$4:$E$233,"2024",FundRaw!$F$4:$F$233,"ocf",FundRaw!$O$4:$O$233,1))=0,"",SUMIFS(FundRaw!$G$4:$G$233,FundRaw!$C$4:$C$233,"meta",FundRaw!$E$4:$E$233,"2024",FundRaw!$F$4:$F$233,"ocf",FundRaw!$O$4:$O$233,1))</f>
        <v/>
      </c>
      <c r="F14" s="32" t="str">
        <f aca="false">IF((COUNTIFS(FundRaw!$C$4:$C$233,"meta",FundRaw!$E$4:$E$233,"2024",FundRaw!$F$4:$F$233,"capex_cash",FundRaw!$O$4:$O$233,1))=0,"",SUMIFS(FundRaw!$G$4:$G$233,FundRaw!$C$4:$C$233,"meta",FundRaw!$E$4:$E$233,"2024",FundRaw!$F$4:$F$233,"capex_cash",FundRaw!$O$4:$O$233,1))</f>
        <v/>
      </c>
      <c r="G14" s="32" t="str">
        <f aca="false">IF((COUNTIFS(FundRaw!$C$4:$C$233,"meta",FundRaw!$E$4:$E$233,"2024",FundRaw!$F$4:$F$233,"fin_lease_new",FundRaw!$O$4:$O$233,1))=0,"",SUMIFS(FundRaw!$G$4:$G$233,FundRaw!$C$4:$C$233,"meta",FundRaw!$E$4:$E$233,"2024",FundRaw!$F$4:$F$233,"fin_lease_new",FundRaw!$O$4:$O$233,1))</f>
        <v/>
      </c>
      <c r="H14" s="32" t="str">
        <f aca="false">IF((COUNTIFS(FundRaw!$C$4:$C$233,"meta",FundRaw!$E$4:$E$233,"2024",FundRaw!$F$4:$F$233,"capex_incl_fl",FundRaw!$O$4:$O$233,1))=0,"",SUMIFS(FundRaw!$G$4:$G$233,FundRaw!$C$4:$C$233,"meta",FundRaw!$E$4:$E$233,"2024",FundRaw!$F$4:$F$233,"capex_incl_fl",FundRaw!$O$4:$O$233,1))</f>
        <v/>
      </c>
      <c r="I14" s="32" t="str">
        <f aca="false">IF((COUNTIFS(FundRaw!$C$4:$C$233,"meta",FundRaw!$E$4:$E$233,"2024",FundRaw!$F$4:$F$233,"fcf",FundRaw!$O$4:$O$233,1))=0,"",SUMIFS(FundRaw!$G$4:$G$233,FundRaw!$C$4:$C$233,"meta",FundRaw!$E$4:$E$233,"2024",FundRaw!$F$4:$F$233,"fcf",FundRaw!$O$4:$O$233,1))</f>
        <v/>
      </c>
      <c r="J14" s="32" t="str">
        <f aca="false">IF((COUNTIFS(FundRaw!$C$4:$C$233,"meta",FundRaw!$E$4:$E$233,"2024",FundRaw!$F$4:$F$233,"bond_issue",FundRaw!$O$4:$O$233,1))=0,"",SUMIFS(FundRaw!$G$4:$G$233,FundRaw!$C$4:$C$233,"meta",FundRaw!$E$4:$E$233,"2024",FundRaw!$F$4:$F$233,"bond_issue",FundRaw!$O$4:$O$233,1))</f>
        <v/>
      </c>
      <c r="K14" s="32" t="str">
        <f aca="false">IF((COUNTIFS(FundRaw!$C$4:$C$233,"meta",FundRaw!$E$4:$E$233,"2024",FundRaw!$F$4:$F$233,"term_loan",FundRaw!$O$4:$O$233,1))=0,"",SUMIFS(FundRaw!$G$4:$G$233,FundRaw!$C$4:$C$233,"meta",FundRaw!$E$4:$E$233,"2024",FundRaw!$F$4:$F$233,"term_loan",FundRaw!$O$4:$O$233,1))</f>
        <v/>
      </c>
      <c r="L14" s="32" t="str">
        <f aca="false">IF((COUNTIFS(FundRaw!$C$4:$C$233,"meta",FundRaw!$E$4:$E$233,"2024",FundRaw!$F$4:$F$233,"gpu_debt",FundRaw!$O$4:$O$233,1))=0,"",SUMIFS(FundRaw!$G$4:$G$233,FundRaw!$C$4:$C$233,"meta",FundRaw!$E$4:$E$233,"2024",FundRaw!$F$4:$F$233,"gpu_debt",FundRaw!$O$4:$O$233,1))</f>
        <v/>
      </c>
      <c r="M14" s="32" t="str">
        <f aca="false">IF((COUNTIFS(FundRaw!$C$4:$C$233,"meta",FundRaw!$E$4:$E$233,"2024",FundRaw!$F$4:$F$233,"private_credit",FundRaw!$O$4:$O$233,1))=0,"",SUMIFS(FundRaw!$G$4:$G$233,FundRaw!$C$4:$C$233,"meta",FundRaw!$E$4:$E$233,"2024",FundRaw!$F$4:$F$233,"private_credit",FundRaw!$O$4:$O$233,1))</f>
        <v/>
      </c>
      <c r="N14" s="32" t="str">
        <f aca="false">IF((COUNTIFS(FundRaw!$C$4:$C$233,"meta",FundRaw!$E$4:$E$233,"2024",FundRaw!$F$4:$F$233,"net_debt_change",FundRaw!$O$4:$O$233,1))=0,"",SUMIFS(FundRaw!$G$4:$G$233,FundRaw!$C$4:$C$233,"meta",FundRaw!$E$4:$E$233,"2024",FundRaw!$F$4:$F$233,"net_debt_change",FundRaw!$O$4:$O$233,1))</f>
        <v/>
      </c>
      <c r="O14" s="32" t="str">
        <f aca="false">IF((COUNTIFS(FundRaw!$C$4:$C$233,"meta",FundRaw!$E$4:$E$233,"2024",FundRaw!$F$4:$F$233,"lease_not_commenced",FundRaw!$O$4:$O$233,1))=0,"",SUMIFS(FundRaw!$G$4:$G$233,FundRaw!$C$4:$C$233,"meta",FundRaw!$E$4:$E$233,"2024",FundRaw!$F$4:$F$233,"lease_not_commenced",FundRaw!$O$4:$O$233,1))</f>
        <v/>
      </c>
      <c r="P14" s="32" t="str">
        <f aca="false">IF((COUNTIFS(FundRaw!$C$4:$C$233,"meta",FundRaw!$E$4:$E$233,"2024",FundRaw!$F$4:$F$233,"jv_offbalance",FundRaw!$O$4:$O$233,1))=0,"",SUMIFS(FundRaw!$G$4:$G$233,FundRaw!$C$4:$C$233,"meta",FundRaw!$E$4:$E$233,"2024",FundRaw!$F$4:$F$233,"jv_offbalance",FundRaw!$O$4:$O$233,1))</f>
        <v/>
      </c>
      <c r="Q14" s="32" t="str">
        <f aca="false">IF((COUNTIFS(FundRaw!$C$4:$C$233,"meta",FundRaw!$E$4:$E$233,"2024",FundRaw!$F$4:$F$233,"jv_exposure",FundRaw!$O$4:$O$233,1))=0,"",SUMIFS(FundRaw!$G$4:$G$233,FundRaw!$C$4:$C$233,"meta",FundRaw!$E$4:$E$233,"2024",FundRaw!$F$4:$F$233,"jv_exposure",FundRaw!$O$4:$O$233,1))</f>
        <v/>
      </c>
      <c r="R14" s="32" t="str">
        <f aca="false">IF((COUNTIFS(FundRaw!$C$4:$C$233,"meta",FundRaw!$E$4:$E$233,"2024",FundRaw!$F$4:$F$233,"equity_round",FundRaw!$O$4:$O$233,1))=0,"",SUMIFS(FundRaw!$G$4:$G$233,FundRaw!$C$4:$C$233,"meta",FundRaw!$E$4:$E$233,"2024",FundRaw!$F$4:$F$233,"equity_round",FundRaw!$O$4:$O$233,1))</f>
        <v/>
      </c>
      <c r="S14" s="32" t="str">
        <f aca="false">IF((COUNTIFS(FundRaw!$C$4:$C$233,"meta",FundRaw!$E$4:$E$233,"2024",FundRaw!$F$4:$F$233,"vendor_financing",FundRaw!$O$4:$O$233,1))=0,"",SUMIFS(FundRaw!$G$4:$G$233,FundRaw!$C$4:$C$233,"meta",FundRaw!$E$4:$E$233,"2024",FundRaw!$F$4:$F$233,"vendor_financing",FundRaw!$O$4:$O$233,1))</f>
        <v/>
      </c>
      <c r="T14" s="32" t="str">
        <f aca="false">IF((COUNTIFS(FundRaw!$C$4:$C$233,"meta",FundRaw!$E$4:$E$233,"2024",FundRaw!$F$4:$F$233,"buyback_div",FundRaw!$O$4:$O$233,1))=0,"",SUMIFS(FundRaw!$G$4:$G$233,FundRaw!$C$4:$C$233,"meta",FundRaw!$E$4:$E$233,"2024",FundRaw!$F$4:$F$233,"buyback_div",FundRaw!$O$4:$O$233,1))</f>
        <v/>
      </c>
      <c r="U14" s="32" t="str">
        <f aca="false">IF((COUNTIFS(FundRaw!$C$4:$C$233,"meta",FundRaw!$E$4:$E$233,"2024",FundRaw!$F$4:$F$233,"gpu_debt_talks",FundRaw!$O$4:$O$233,1))=0,"",SUMIFS(FundRaw!$G$4:$G$233,FundRaw!$C$4:$C$233,"meta",FundRaw!$E$4:$E$233,"2024",FundRaw!$F$4:$F$233,"gpu_debt_talks",FundRaw!$O$4:$O$233,1))</f>
        <v/>
      </c>
      <c r="V14" s="32" t="str">
        <f aca="false">IF((COUNTIFS(FundRaw!$C$4:$C$233,"meta",FundRaw!$E$4:$E$233,"2024",FundRaw!$F$4:$F$233,"bridge_refi",FundRaw!$O$4:$O$233,1))=0,"",SUMIFS(FundRaw!$G$4:$G$233,FundRaw!$C$4:$C$233,"meta",FundRaw!$E$4:$E$233,"2024",FundRaw!$F$4:$F$233,"bridge_refi",FundRaw!$O$4:$O$233,1))</f>
        <v/>
      </c>
      <c r="W14" s="32" t="str">
        <f aca="false">IF(H14&lt;&gt;"",H14,IF(F14&lt;&gt;"",F14+N(G14),""))</f>
        <v/>
      </c>
      <c r="X14" s="32" t="str">
        <f aca="false">IF(OR(W14="",E14=""),"",MAX(0,MIN(N(E14),W14-N(Y14))))</f>
        <v/>
      </c>
      <c r="Y14" s="32" t="str">
        <f aca="false">IF(W14="","",IF(AND(H14&lt;&gt;"",F14&lt;&gt;""),MAX(0,H14-F14),N(G14)))</f>
        <v/>
      </c>
      <c r="Z14" s="32" t="str">
        <f aca="false">IF(W14="","",MAX(0,MIN(N(R14),W14-N(X14)-N(Y14))))</f>
        <v/>
      </c>
      <c r="AA14" s="32" t="str">
        <f aca="false">IF(W14="","",MAX(0,MIN(N(J14)+N(K14)+N(L14)+N(M14),W14-N(X14)-N(Y14)-N(Z14))))</f>
        <v/>
      </c>
      <c r="AB14" s="32" t="str">
        <f aca="false">IF(W14="","",W14-N(X14)-N(Y14)-N(Z14)-N(AA14))</f>
        <v/>
      </c>
      <c r="AC14" s="37" t="str">
        <f aca="false">IF(OR(W14="",N(W14)=0,X14=""),"",X14/W14)</f>
        <v/>
      </c>
      <c r="AD14" s="37" t="str">
        <f aca="false">IF(OR(W14="",N(W14)=0,Y14=""),"",Y14/W14)</f>
        <v/>
      </c>
      <c r="AE14" s="37" t="str">
        <f aca="false">IF(OR(W14="",N(W14)=0,Z14=""),"",Z14/W14)</f>
        <v/>
      </c>
      <c r="AF14" s="37" t="str">
        <f aca="false">IF(OR(W14="",N(W14)=0,AA14=""),"",AA14/W14)</f>
        <v/>
      </c>
      <c r="AG14" s="37" t="str">
        <f aca="false">IF(OR(W14="",N(W14)=0,AB14=""),"",AB14/W14)</f>
        <v/>
      </c>
      <c r="AH14" s="32" t="n">
        <f aca="false">N(J14)+N(K14)+N(L14)+N(M14)+N(R14)+N(G14)</f>
        <v>0</v>
      </c>
      <c r="AI14" s="22" t="str">
        <f aca="false">IF(N(AH14)=0,"",(N(J14)+N(K14)+N(L14)+N(M14))/AH14)</f>
        <v/>
      </c>
      <c r="AJ14" s="22" t="str">
        <f aca="false">IF(N(AH14)=0,"",(N(R14))/AH14)</f>
        <v/>
      </c>
      <c r="AK14" s="22" t="str">
        <f aca="false">IF(N(AH14)=0,"",(N(G14))/AH14)</f>
        <v/>
      </c>
      <c r="AL14" s="32" t="n">
        <f aca="false">N(J14)+N(K14)+N(L14)+N(M14)+IF(AND(H14&lt;&gt;"",F14&lt;&gt;""),MAX(0,H14-F14),N(G14))+N(P14)+N(R14)</f>
        <v>0</v>
      </c>
      <c r="AM14" s="37" t="str">
        <f aca="false">IF(OR(W14="",N(W14)=0),"",AL14/W14)</f>
        <v/>
      </c>
      <c r="AN14" s="37" t="str">
        <f aca="false">IF(OR(W14="",N(W14)=0,E14=""),"",E14/W14)</f>
        <v/>
      </c>
      <c r="AO14" s="22" t="str">
        <f aca="false">IF(OR(W14="",N(W14)=0),"",(N(J14)+N(K14)+N(L14)+N(M14))/W14)</f>
        <v/>
      </c>
      <c r="AP14" s="22" t="str">
        <f aca="false">IF(OR(W14="",N(W14)=0),"",N(R14)/W14)</f>
        <v/>
      </c>
      <c r="AQ14" s="22" t="str">
        <f aca="false">IF(OR(W14="",N(W14)=0),"",(IF(AND(H14&lt;&gt;"",F14&lt;&gt;""),MAX(0,H14-F14),N(G14))+N(P14))/W14)</f>
        <v/>
      </c>
    </row>
    <row r="15" customFormat="false" ht="15" hidden="false" customHeight="false" outlineLevel="0" collapsed="false">
      <c r="A15" s="0" t="s">
        <v>1038</v>
      </c>
      <c r="B15" s="0" t="s">
        <v>526</v>
      </c>
      <c r="C15" s="0" t="n">
        <v>2025</v>
      </c>
      <c r="D15" s="0" t="s">
        <v>1689</v>
      </c>
      <c r="E15" s="32" t="n">
        <f aca="false">IF((COUNTIFS(FundRaw!$C$4:$C$233,"meta",FundRaw!$E$4:$E$233,"2025",FundRaw!$F$4:$F$233,"ocf",FundRaw!$O$4:$O$233,1))=0,"",SUMIFS(FundRaw!$G$4:$G$233,FundRaw!$C$4:$C$233,"meta",FundRaw!$E$4:$E$233,"2025",FundRaw!$F$4:$F$233,"ocf",FundRaw!$O$4:$O$233,1))</f>
        <v>115.8</v>
      </c>
      <c r="F15" s="32" t="str">
        <f aca="false">IF((COUNTIFS(FundRaw!$C$4:$C$233,"meta",FundRaw!$E$4:$E$233,"2025",FundRaw!$F$4:$F$233,"capex_cash",FundRaw!$O$4:$O$233,1))=0,"",SUMIFS(FundRaw!$G$4:$G$233,FundRaw!$C$4:$C$233,"meta",FundRaw!$E$4:$E$233,"2025",FundRaw!$F$4:$F$233,"capex_cash",FundRaw!$O$4:$O$233,1))</f>
        <v/>
      </c>
      <c r="G15" s="32" t="str">
        <f aca="false">IF((COUNTIFS(FundRaw!$C$4:$C$233,"meta",FundRaw!$E$4:$E$233,"2025",FundRaw!$F$4:$F$233,"fin_lease_new",FundRaw!$O$4:$O$233,1))=0,"",SUMIFS(FundRaw!$G$4:$G$233,FundRaw!$C$4:$C$233,"meta",FundRaw!$E$4:$E$233,"2025",FundRaw!$F$4:$F$233,"fin_lease_new",FundRaw!$O$4:$O$233,1))</f>
        <v/>
      </c>
      <c r="H15" s="32" t="n">
        <f aca="false">IF((COUNTIFS(FundRaw!$C$4:$C$233,"meta",FundRaw!$E$4:$E$233,"2025",FundRaw!$F$4:$F$233,"capex_incl_fl",FundRaw!$O$4:$O$233,1))=0,"",SUMIFS(FundRaw!$G$4:$G$233,FundRaw!$C$4:$C$233,"meta",FundRaw!$E$4:$E$233,"2025",FundRaw!$F$4:$F$233,"capex_incl_fl",FundRaw!$O$4:$O$233,1))</f>
        <v>72.215</v>
      </c>
      <c r="I15" s="32" t="n">
        <f aca="false">IF((COUNTIFS(FundRaw!$C$4:$C$233,"meta",FundRaw!$E$4:$E$233,"2025",FundRaw!$F$4:$F$233,"fcf",FundRaw!$O$4:$O$233,1))=0,"",SUMIFS(FundRaw!$G$4:$G$233,FundRaw!$C$4:$C$233,"meta",FundRaw!$E$4:$E$233,"2025",FundRaw!$F$4:$F$233,"fcf",FundRaw!$O$4:$O$233,1))</f>
        <v>43.585</v>
      </c>
      <c r="J15" s="32" t="n">
        <f aca="false">IF((COUNTIFS(FundRaw!$C$4:$C$233,"meta",FundRaw!$E$4:$E$233,"2025",FundRaw!$F$4:$F$233,"bond_issue",FundRaw!$O$4:$O$233,1))=0,"",SUMIFS(FundRaw!$G$4:$G$233,FundRaw!$C$4:$C$233,"meta",FundRaw!$E$4:$E$233,"2025",FundRaw!$F$4:$F$233,"bond_issue",FundRaw!$O$4:$O$233,1))</f>
        <v>30</v>
      </c>
      <c r="K15" s="32" t="str">
        <f aca="false">IF((COUNTIFS(FundRaw!$C$4:$C$233,"meta",FundRaw!$E$4:$E$233,"2025",FundRaw!$F$4:$F$233,"term_loan",FundRaw!$O$4:$O$233,1))=0,"",SUMIFS(FundRaw!$G$4:$G$233,FundRaw!$C$4:$C$233,"meta",FundRaw!$E$4:$E$233,"2025",FundRaw!$F$4:$F$233,"term_loan",FundRaw!$O$4:$O$233,1))</f>
        <v/>
      </c>
      <c r="L15" s="32" t="str">
        <f aca="false">IF((COUNTIFS(FundRaw!$C$4:$C$233,"meta",FundRaw!$E$4:$E$233,"2025",FundRaw!$F$4:$F$233,"gpu_debt",FundRaw!$O$4:$O$233,1))=0,"",SUMIFS(FundRaw!$G$4:$G$233,FundRaw!$C$4:$C$233,"meta",FundRaw!$E$4:$E$233,"2025",FundRaw!$F$4:$F$233,"gpu_debt",FundRaw!$O$4:$O$233,1))</f>
        <v/>
      </c>
      <c r="M15" s="32" t="str">
        <f aca="false">IF((COUNTIFS(FundRaw!$C$4:$C$233,"meta",FundRaw!$E$4:$E$233,"2025",FundRaw!$F$4:$F$233,"private_credit",FundRaw!$O$4:$O$233,1))=0,"",SUMIFS(FundRaw!$G$4:$G$233,FundRaw!$C$4:$C$233,"meta",FundRaw!$E$4:$E$233,"2025",FundRaw!$F$4:$F$233,"private_credit",FundRaw!$O$4:$O$233,1))</f>
        <v/>
      </c>
      <c r="N15" s="32" t="str">
        <f aca="false">IF((COUNTIFS(FundRaw!$C$4:$C$233,"meta",FundRaw!$E$4:$E$233,"2025",FundRaw!$F$4:$F$233,"net_debt_change",FundRaw!$O$4:$O$233,1))=0,"",SUMIFS(FundRaw!$G$4:$G$233,FundRaw!$C$4:$C$233,"meta",FundRaw!$E$4:$E$233,"2025",FundRaw!$F$4:$F$233,"net_debt_change",FundRaw!$O$4:$O$233,1))</f>
        <v/>
      </c>
      <c r="O15" s="32" t="str">
        <f aca="false">IF((COUNTIFS(FundRaw!$C$4:$C$233,"meta",FundRaw!$E$4:$E$233,"2025",FundRaw!$F$4:$F$233,"lease_not_commenced",FundRaw!$O$4:$O$233,1))=0,"",SUMIFS(FundRaw!$G$4:$G$233,FundRaw!$C$4:$C$233,"meta",FundRaw!$E$4:$E$233,"2025",FundRaw!$F$4:$F$233,"lease_not_commenced",FundRaw!$O$4:$O$233,1))</f>
        <v/>
      </c>
      <c r="P15" s="32" t="n">
        <f aca="false">IF((COUNTIFS(FundRaw!$C$4:$C$233,"meta",FundRaw!$E$4:$E$233,"2025",FundRaw!$F$4:$F$233,"jv_offbalance",FundRaw!$O$4:$O$233,1))=0,"",SUMIFS(FundRaw!$G$4:$G$233,FundRaw!$C$4:$C$233,"meta",FundRaw!$E$4:$E$233,"2025",FundRaw!$F$4:$F$233,"jv_offbalance",FundRaw!$O$4:$O$233,1))</f>
        <v>27.3</v>
      </c>
      <c r="Q15" s="32" t="str">
        <f aca="false">IF((COUNTIFS(FundRaw!$C$4:$C$233,"meta",FundRaw!$E$4:$E$233,"2025",FundRaw!$F$4:$F$233,"jv_exposure",FundRaw!$O$4:$O$233,1))=0,"",SUMIFS(FundRaw!$G$4:$G$233,FundRaw!$C$4:$C$233,"meta",FundRaw!$E$4:$E$233,"2025",FundRaw!$F$4:$F$233,"jv_exposure",FundRaw!$O$4:$O$233,1))</f>
        <v/>
      </c>
      <c r="R15" s="32" t="str">
        <f aca="false">IF((COUNTIFS(FundRaw!$C$4:$C$233,"meta",FundRaw!$E$4:$E$233,"2025",FundRaw!$F$4:$F$233,"equity_round",FundRaw!$O$4:$O$233,1))=0,"",SUMIFS(FundRaw!$G$4:$G$233,FundRaw!$C$4:$C$233,"meta",FundRaw!$E$4:$E$233,"2025",FundRaw!$F$4:$F$233,"equity_round",FundRaw!$O$4:$O$233,1))</f>
        <v/>
      </c>
      <c r="S15" s="32" t="str">
        <f aca="false">IF((COUNTIFS(FundRaw!$C$4:$C$233,"meta",FundRaw!$E$4:$E$233,"2025",FundRaw!$F$4:$F$233,"vendor_financing",FundRaw!$O$4:$O$233,1))=0,"",SUMIFS(FundRaw!$G$4:$G$233,FundRaw!$C$4:$C$233,"meta",FundRaw!$E$4:$E$233,"2025",FundRaw!$F$4:$F$233,"vendor_financing",FundRaw!$O$4:$O$233,1))</f>
        <v/>
      </c>
      <c r="T15" s="32" t="n">
        <f aca="false">IF((COUNTIFS(FundRaw!$C$4:$C$233,"meta",FundRaw!$E$4:$E$233,"2025",FundRaw!$F$4:$F$233,"buyback_div",FundRaw!$O$4:$O$233,1))=0,"",SUMIFS(FundRaw!$G$4:$G$233,FundRaw!$C$4:$C$233,"meta",FundRaw!$E$4:$E$233,"2025",FundRaw!$F$4:$F$233,"buyback_div",FundRaw!$O$4:$O$233,1))</f>
        <v>31.572</v>
      </c>
      <c r="U15" s="32" t="str">
        <f aca="false">IF((COUNTIFS(FundRaw!$C$4:$C$233,"meta",FundRaw!$E$4:$E$233,"2025",FundRaw!$F$4:$F$233,"gpu_debt_talks",FundRaw!$O$4:$O$233,1))=0,"",SUMIFS(FundRaw!$G$4:$G$233,FundRaw!$C$4:$C$233,"meta",FundRaw!$E$4:$E$233,"2025",FundRaw!$F$4:$F$233,"gpu_debt_talks",FundRaw!$O$4:$O$233,1))</f>
        <v/>
      </c>
      <c r="V15" s="32" t="str">
        <f aca="false">IF((COUNTIFS(FundRaw!$C$4:$C$233,"meta",FundRaw!$E$4:$E$233,"2025",FundRaw!$F$4:$F$233,"bridge_refi",FundRaw!$O$4:$O$233,1))=0,"",SUMIFS(FundRaw!$G$4:$G$233,FundRaw!$C$4:$C$233,"meta",FundRaw!$E$4:$E$233,"2025",FundRaw!$F$4:$F$233,"bridge_refi",FundRaw!$O$4:$O$233,1))</f>
        <v/>
      </c>
      <c r="W15" s="32" t="n">
        <f aca="false">IF(H15&lt;&gt;"",H15,IF(F15&lt;&gt;"",F15+N(G15),""))</f>
        <v>72.215</v>
      </c>
      <c r="X15" s="32" t="n">
        <f aca="false">IF(OR(W15="",E15=""),"",MAX(0,MIN(N(E15),W15-N(Y15))))</f>
        <v>72.215</v>
      </c>
      <c r="Y15" s="32" t="n">
        <f aca="false">IF(W15="","",IF(AND(H15&lt;&gt;"",F15&lt;&gt;""),MAX(0,H15-F15),N(G15)))</f>
        <v>0</v>
      </c>
      <c r="Z15" s="32" t="n">
        <f aca="false">IF(W15="","",MAX(0,MIN(N(R15),W15-N(X15)-N(Y15))))</f>
        <v>0</v>
      </c>
      <c r="AA15" s="32" t="n">
        <f aca="false">IF(W15="","",MAX(0,MIN(N(J15)+N(K15)+N(L15)+N(M15),W15-N(X15)-N(Y15)-N(Z15))))</f>
        <v>0</v>
      </c>
      <c r="AB15" s="32" t="n">
        <f aca="false">IF(W15="","",W15-N(X15)-N(Y15)-N(Z15)-N(AA15))</f>
        <v>0</v>
      </c>
      <c r="AC15" s="37" t="n">
        <f aca="false">IF(OR(W15="",N(W15)=0,X15=""),"",X15/W15)</f>
        <v>1</v>
      </c>
      <c r="AD15" s="37" t="n">
        <f aca="false">IF(OR(W15="",N(W15)=0,Y15=""),"",Y15/W15)</f>
        <v>0</v>
      </c>
      <c r="AE15" s="37" t="n">
        <f aca="false">IF(OR(W15="",N(W15)=0,Z15=""),"",Z15/W15)</f>
        <v>0</v>
      </c>
      <c r="AF15" s="37" t="n">
        <f aca="false">IF(OR(W15="",N(W15)=0,AA15=""),"",AA15/W15)</f>
        <v>0</v>
      </c>
      <c r="AG15" s="37" t="n">
        <f aca="false">IF(OR(W15="",N(W15)=0,AB15=""),"",AB15/W15)</f>
        <v>0</v>
      </c>
      <c r="AH15" s="32" t="n">
        <f aca="false">N(J15)+N(K15)+N(L15)+N(M15)+N(R15)+N(G15)</f>
        <v>30</v>
      </c>
      <c r="AI15" s="22" t="n">
        <f aca="false">IF(N(AH15)=0,"",(N(J15)+N(K15)+N(L15)+N(M15))/AH15)</f>
        <v>1</v>
      </c>
      <c r="AJ15" s="22" t="n">
        <f aca="false">IF(N(AH15)=0,"",(N(R15))/AH15)</f>
        <v>0</v>
      </c>
      <c r="AK15" s="22" t="n">
        <f aca="false">IF(N(AH15)=0,"",(N(G15))/AH15)</f>
        <v>0</v>
      </c>
      <c r="AL15" s="32" t="n">
        <f aca="false">N(J15)+N(K15)+N(L15)+N(M15)+IF(AND(H15&lt;&gt;"",F15&lt;&gt;""),MAX(0,H15-F15),N(G15))+N(P15)+N(R15)</f>
        <v>57.3</v>
      </c>
      <c r="AM15" s="37" t="n">
        <f aca="false">IF(OR(W15="",N(W15)=0),"",AL15/W15)</f>
        <v>0.793463961780793</v>
      </c>
      <c r="AN15" s="37" t="n">
        <f aca="false">IF(OR(W15="",N(W15)=0,E15=""),"",E15/W15)</f>
        <v>1.6035449698816</v>
      </c>
      <c r="AO15" s="22" t="n">
        <f aca="false">IF(OR(W15="",N(W15)=0),"",(N(J15)+N(K15)+N(L15)+N(M15))/W15)</f>
        <v>0.415426158000415</v>
      </c>
      <c r="AP15" s="22" t="n">
        <f aca="false">IF(OR(W15="",N(W15)=0),"",N(R15)/W15)</f>
        <v>0</v>
      </c>
      <c r="AQ15" s="22" t="n">
        <f aca="false">IF(OR(W15="",N(W15)=0),"",(IF(AND(H15&lt;&gt;"",F15&lt;&gt;""),MAX(0,H15-F15),N(G15))+N(P15))/W15)</f>
        <v>0.378037803780378</v>
      </c>
    </row>
    <row r="16" customFormat="false" ht="15" hidden="false" customHeight="false" outlineLevel="0" collapsed="false">
      <c r="A16" s="0" t="s">
        <v>1038</v>
      </c>
      <c r="B16" s="0" t="s">
        <v>526</v>
      </c>
      <c r="C16" s="0" t="n">
        <v>2026</v>
      </c>
      <c r="D16" s="0" t="s">
        <v>1692</v>
      </c>
      <c r="E16" s="32" t="n">
        <f aca="false">IF((COUNTIFS(FundRaw!$C$4:$C$233,"meta",FundRaw!$E$4:$E$233,"2026",FundRaw!$F$4:$F$233,"ocf",FundRaw!$O$4:$O$233,1))=0,"",SUMIFS(FundRaw!$G$4:$G$233,FundRaw!$C$4:$C$233,"meta",FundRaw!$E$4:$E$233,"2026",FundRaw!$F$4:$F$233,"ocf",FundRaw!$O$4:$O$233,1))</f>
        <v>96.873</v>
      </c>
      <c r="F16" s="32" t="n">
        <f aca="false">IF((COUNTIFS(FundRaw!$C$4:$C$233,"meta",FundRaw!$E$4:$E$233,"2026",FundRaw!$F$4:$F$233,"capex_cash",FundRaw!$O$4:$O$233,1))=0,"",SUMIFS(FundRaw!$G$4:$G$233,FundRaw!$C$4:$C$233,"meta",FundRaw!$E$4:$E$233,"2026",FundRaw!$F$4:$F$233,"capex_cash",FundRaw!$O$4:$O$233,1))</f>
        <v>83.055</v>
      </c>
      <c r="G16" s="32" t="str">
        <f aca="false">IF((COUNTIFS(FundRaw!$C$4:$C$233,"meta",FundRaw!$E$4:$E$233,"2026",FundRaw!$F$4:$F$233,"fin_lease_new",FundRaw!$O$4:$O$233,1))=0,"",SUMIFS(FundRaw!$G$4:$G$233,FundRaw!$C$4:$C$233,"meta",FundRaw!$E$4:$E$233,"2026",FundRaw!$F$4:$F$233,"fin_lease_new",FundRaw!$O$4:$O$233,1))</f>
        <v/>
      </c>
      <c r="H16" s="32" t="n">
        <f aca="false">IF((COUNTIFS(FundRaw!$C$4:$C$233,"meta",FundRaw!$E$4:$E$233,"2026",FundRaw!$F$4:$F$233,"capex_incl_fl",FundRaw!$O$4:$O$233,1))=0,"",SUMIFS(FundRaw!$G$4:$G$233,FundRaw!$C$4:$C$233,"meta",FundRaw!$E$4:$E$233,"2026",FundRaw!$F$4:$F$233,"capex_incl_fl",FundRaw!$O$4:$O$233,1))</f>
        <v>85.824</v>
      </c>
      <c r="I16" s="32" t="n">
        <f aca="false">IF((COUNTIFS(FundRaw!$C$4:$C$233,"meta",FundRaw!$E$4:$E$233,"2026",FundRaw!$F$4:$F$233,"fcf",FundRaw!$O$4:$O$233,1))=0,"",SUMIFS(FundRaw!$G$4:$G$233,FundRaw!$C$4:$C$233,"meta",FundRaw!$E$4:$E$233,"2026",FundRaw!$F$4:$F$233,"fcf",FundRaw!$O$4:$O$233,1))</f>
        <v>11.049</v>
      </c>
      <c r="J16" s="32" t="n">
        <f aca="false">IF((COUNTIFS(FundRaw!$C$4:$C$233,"meta",FundRaw!$E$4:$E$233,"2026",FundRaw!$F$4:$F$233,"bond_issue",FundRaw!$O$4:$O$233,1))=0,"",SUMIFS(FundRaw!$G$4:$G$233,FundRaw!$C$4:$C$233,"meta",FundRaw!$E$4:$E$233,"2026",FundRaw!$F$4:$F$233,"bond_issue",FundRaw!$O$4:$O$233,1))</f>
        <v>25</v>
      </c>
      <c r="K16" s="32" t="str">
        <f aca="false">IF((COUNTIFS(FundRaw!$C$4:$C$233,"meta",FundRaw!$E$4:$E$233,"2026",FundRaw!$F$4:$F$233,"term_loan",FundRaw!$O$4:$O$233,1))=0,"",SUMIFS(FundRaw!$G$4:$G$233,FundRaw!$C$4:$C$233,"meta",FundRaw!$E$4:$E$233,"2026",FundRaw!$F$4:$F$233,"term_loan",FundRaw!$O$4:$O$233,1))</f>
        <v/>
      </c>
      <c r="L16" s="32" t="str">
        <f aca="false">IF((COUNTIFS(FundRaw!$C$4:$C$233,"meta",FundRaw!$E$4:$E$233,"2026",FundRaw!$F$4:$F$233,"gpu_debt",FundRaw!$O$4:$O$233,1))=0,"",SUMIFS(FundRaw!$G$4:$G$233,FundRaw!$C$4:$C$233,"meta",FundRaw!$E$4:$E$233,"2026",FundRaw!$F$4:$F$233,"gpu_debt",FundRaw!$O$4:$O$233,1))</f>
        <v/>
      </c>
      <c r="M16" s="32" t="str">
        <f aca="false">IF((COUNTIFS(FundRaw!$C$4:$C$233,"meta",FundRaw!$E$4:$E$233,"2026",FundRaw!$F$4:$F$233,"private_credit",FundRaw!$O$4:$O$233,1))=0,"",SUMIFS(FundRaw!$G$4:$G$233,FundRaw!$C$4:$C$233,"meta",FundRaw!$E$4:$E$233,"2026",FundRaw!$F$4:$F$233,"private_credit",FundRaw!$O$4:$O$233,1))</f>
        <v/>
      </c>
      <c r="N16" s="32" t="n">
        <f aca="false">IF((COUNTIFS(FundRaw!$C$4:$C$233,"meta",FundRaw!$E$4:$E$233,"2026",FundRaw!$F$4:$F$233,"net_debt_change",FundRaw!$O$4:$O$233,1))=0,"",SUMIFS(FundRaw!$G$4:$G$233,FundRaw!$C$4:$C$233,"meta",FundRaw!$E$4:$E$233,"2026",FundRaw!$F$4:$F$233,"net_debt_change",FundRaw!$O$4:$O$233,1))</f>
        <v>22.178</v>
      </c>
      <c r="O16" s="32" t="n">
        <f aca="false">IF((COUNTIFS(FundRaw!$C$4:$C$233,"meta",FundRaw!$E$4:$E$233,"2026",FundRaw!$F$4:$F$233,"lease_not_commenced",FundRaw!$O$4:$O$233,1))=0,"",SUMIFS(FundRaw!$G$4:$G$233,FundRaw!$C$4:$C$233,"meta",FundRaw!$E$4:$E$233,"2026",FundRaw!$F$4:$F$233,"lease_not_commenced",FundRaw!$O$4:$O$233,1))</f>
        <v>355.73</v>
      </c>
      <c r="P16" s="32" t="n">
        <f aca="false">IF((COUNTIFS(FundRaw!$C$4:$C$233,"meta",FundRaw!$E$4:$E$233,"2026",FundRaw!$F$4:$F$233,"jv_offbalance",FundRaw!$O$4:$O$233,1))=0,"",SUMIFS(FundRaw!$G$4:$G$233,FundRaw!$C$4:$C$233,"meta",FundRaw!$E$4:$E$233,"2026",FundRaw!$F$4:$F$233,"jv_offbalance",FundRaw!$O$4:$O$233,1))</f>
        <v>14</v>
      </c>
      <c r="Q16" s="32" t="n">
        <f aca="false">IF((COUNTIFS(FundRaw!$C$4:$C$233,"meta",FundRaw!$E$4:$E$233,"2026",FundRaw!$F$4:$F$233,"jv_exposure",FundRaw!$O$4:$O$233,1))=0,"",SUMIFS(FundRaw!$G$4:$G$233,FundRaw!$C$4:$C$233,"meta",FundRaw!$E$4:$E$233,"2026",FundRaw!$F$4:$F$233,"jv_exposure",FundRaw!$O$4:$O$233,1))</f>
        <v>68.404</v>
      </c>
      <c r="R16" s="32" t="str">
        <f aca="false">IF((COUNTIFS(FundRaw!$C$4:$C$233,"meta",FundRaw!$E$4:$E$233,"2026",FundRaw!$F$4:$F$233,"equity_round",FundRaw!$O$4:$O$233,1))=0,"",SUMIFS(FundRaw!$G$4:$G$233,FundRaw!$C$4:$C$233,"meta",FundRaw!$E$4:$E$233,"2026",FundRaw!$F$4:$F$233,"equity_round",FundRaw!$O$4:$O$233,1))</f>
        <v/>
      </c>
      <c r="S16" s="32" t="str">
        <f aca="false">IF((COUNTIFS(FundRaw!$C$4:$C$233,"meta",FundRaw!$E$4:$E$233,"2026",FundRaw!$F$4:$F$233,"vendor_financing",FundRaw!$O$4:$O$233,1))=0,"",SUMIFS(FundRaw!$G$4:$G$233,FundRaw!$C$4:$C$233,"meta",FundRaw!$E$4:$E$233,"2026",FundRaw!$F$4:$F$233,"vendor_financing",FundRaw!$O$4:$O$233,1))</f>
        <v/>
      </c>
      <c r="T16" s="32" t="n">
        <f aca="false">IF((COUNTIFS(FundRaw!$C$4:$C$233,"meta",FundRaw!$E$4:$E$233,"2026",FundRaw!$F$4:$F$233,"buyback_div",FundRaw!$O$4:$O$233,1))=0,"",SUMIFS(FundRaw!$G$4:$G$233,FundRaw!$C$4:$C$233,"meta",FundRaw!$E$4:$E$233,"2026",FundRaw!$F$4:$F$233,"buyback_div",FundRaw!$O$4:$O$233,1))</f>
        <v>4.06</v>
      </c>
      <c r="U16" s="32" t="str">
        <f aca="false">IF((COUNTIFS(FundRaw!$C$4:$C$233,"meta",FundRaw!$E$4:$E$233,"2026",FundRaw!$F$4:$F$233,"gpu_debt_talks",FundRaw!$O$4:$O$233,1))=0,"",SUMIFS(FundRaw!$G$4:$G$233,FundRaw!$C$4:$C$233,"meta",FundRaw!$E$4:$E$233,"2026",FundRaw!$F$4:$F$233,"gpu_debt_talks",FundRaw!$O$4:$O$233,1))</f>
        <v/>
      </c>
      <c r="V16" s="32" t="str">
        <f aca="false">IF((COUNTIFS(FundRaw!$C$4:$C$233,"meta",FundRaw!$E$4:$E$233,"2026",FundRaw!$F$4:$F$233,"bridge_refi",FundRaw!$O$4:$O$233,1))=0,"",SUMIFS(FundRaw!$G$4:$G$233,FundRaw!$C$4:$C$233,"meta",FundRaw!$E$4:$E$233,"2026",FundRaw!$F$4:$F$233,"bridge_refi",FundRaw!$O$4:$O$233,1))</f>
        <v/>
      </c>
      <c r="W16" s="32" t="n">
        <f aca="false">IF(H16&lt;&gt;"",H16,IF(F16&lt;&gt;"",F16+N(G16),""))</f>
        <v>85.824</v>
      </c>
      <c r="X16" s="32" t="n">
        <f aca="false">IF(OR(W16="",E16=""),"",MAX(0,MIN(N(E16),W16-N(Y16))))</f>
        <v>83.055</v>
      </c>
      <c r="Y16" s="32" t="n">
        <f aca="false">IF(W16="","",IF(AND(H16&lt;&gt;"",F16&lt;&gt;""),MAX(0,H16-F16),N(G16)))</f>
        <v>2.76899999999999</v>
      </c>
      <c r="Z16" s="32" t="n">
        <f aca="false">IF(W16="","",MAX(0,MIN(N(R16),W16-N(X16)-N(Y16))))</f>
        <v>0</v>
      </c>
      <c r="AA16" s="32" t="n">
        <f aca="false">IF(W16="","",MAX(0,MIN(N(J16)+N(K16)+N(L16)+N(M16),W16-N(X16)-N(Y16)-N(Z16))))</f>
        <v>0</v>
      </c>
      <c r="AB16" s="32" t="n">
        <f aca="false">IF(W16="","",W16-N(X16)-N(Y16)-N(Z16)-N(AA16))</f>
        <v>0</v>
      </c>
      <c r="AC16" s="37" t="n">
        <f aca="false">IF(OR(W16="",N(W16)=0,X16=""),"",X16/W16)</f>
        <v>0.96773629753915</v>
      </c>
      <c r="AD16" s="37" t="n">
        <f aca="false">IF(OR(W16="",N(W16)=0,Y16=""),"",Y16/W16)</f>
        <v>0.03226370246085</v>
      </c>
      <c r="AE16" s="37" t="n">
        <f aca="false">IF(OR(W16="",N(W16)=0,Z16=""),"",Z16/W16)</f>
        <v>0</v>
      </c>
      <c r="AF16" s="37" t="n">
        <f aca="false">IF(OR(W16="",N(W16)=0,AA16=""),"",AA16/W16)</f>
        <v>0</v>
      </c>
      <c r="AG16" s="37" t="n">
        <f aca="false">IF(OR(W16="",N(W16)=0,AB16=""),"",AB16/W16)</f>
        <v>0</v>
      </c>
      <c r="AH16" s="32" t="n">
        <f aca="false">N(J16)+N(K16)+N(L16)+N(M16)+N(R16)+N(G16)</f>
        <v>25</v>
      </c>
      <c r="AI16" s="22" t="n">
        <f aca="false">IF(N(AH16)=0,"",(N(J16)+N(K16)+N(L16)+N(M16))/AH16)</f>
        <v>1</v>
      </c>
      <c r="AJ16" s="22" t="n">
        <f aca="false">IF(N(AH16)=0,"",(N(R16))/AH16)</f>
        <v>0</v>
      </c>
      <c r="AK16" s="22" t="n">
        <f aca="false">IF(N(AH16)=0,"",(N(G16))/AH16)</f>
        <v>0</v>
      </c>
      <c r="AL16" s="32" t="n">
        <f aca="false">N(J16)+N(K16)+N(L16)+N(M16)+IF(AND(H16&lt;&gt;"",F16&lt;&gt;""),MAX(0,H16-F16),N(G16))+N(P16)+N(R16)</f>
        <v>41.769</v>
      </c>
      <c r="AM16" s="37" t="n">
        <f aca="false">IF(OR(W16="",N(W16)=0),"",AL16/W16)</f>
        <v>0.486682046979866</v>
      </c>
      <c r="AN16" s="37" t="n">
        <f aca="false">IF(OR(W16="",N(W16)=0,E16=""),"",E16/W16)</f>
        <v>1.12874021252796</v>
      </c>
      <c r="AO16" s="22" t="n">
        <f aca="false">IF(OR(W16="",N(W16)=0),"",(N(J16)+N(K16)+N(L16)+N(M16))/W16)</f>
        <v>0.291293810589113</v>
      </c>
      <c r="AP16" s="22" t="n">
        <f aca="false">IF(OR(W16="",N(W16)=0),"",N(R16)/W16)</f>
        <v>0</v>
      </c>
      <c r="AQ16" s="22" t="n">
        <f aca="false">IF(OR(W16="",N(W16)=0),"",(IF(AND(H16&lt;&gt;"",F16&lt;&gt;""),MAX(0,H16-F16),N(G16))+N(P16))/W16)</f>
        <v>0.195388236390753</v>
      </c>
    </row>
    <row r="17" customFormat="false" ht="15" hidden="false" customHeight="false" outlineLevel="0" collapsed="false">
      <c r="A17" s="0" t="s">
        <v>1693</v>
      </c>
      <c r="B17" s="0" t="s">
        <v>530</v>
      </c>
      <c r="C17" s="0" t="n">
        <v>2024</v>
      </c>
      <c r="D17" s="0" t="s">
        <v>1684</v>
      </c>
      <c r="E17" s="32" t="str">
        <f aca="false">IF((COUNTIFS(FundRaw!$C$4:$C$233,"orcl",FundRaw!$E$4:$E$233,"2024",FundRaw!$F$4:$F$233,"ocf",FundRaw!$O$4:$O$233,1))=0,"",SUMIFS(FundRaw!$G$4:$G$233,FundRaw!$C$4:$C$233,"orcl",FundRaw!$E$4:$E$233,"2024",FundRaw!$F$4:$F$233,"ocf",FundRaw!$O$4:$O$233,1))</f>
        <v/>
      </c>
      <c r="F17" s="32" t="str">
        <f aca="false">IF((COUNTIFS(FundRaw!$C$4:$C$233,"orcl",FundRaw!$E$4:$E$233,"2024",FundRaw!$F$4:$F$233,"capex_cash",FundRaw!$O$4:$O$233,1))=0,"",SUMIFS(FundRaw!$G$4:$G$233,FundRaw!$C$4:$C$233,"orcl",FundRaw!$E$4:$E$233,"2024",FundRaw!$F$4:$F$233,"capex_cash",FundRaw!$O$4:$O$233,1))</f>
        <v/>
      </c>
      <c r="G17" s="32" t="str">
        <f aca="false">IF((COUNTIFS(FundRaw!$C$4:$C$233,"orcl",FundRaw!$E$4:$E$233,"2024",FundRaw!$F$4:$F$233,"fin_lease_new",FundRaw!$O$4:$O$233,1))=0,"",SUMIFS(FundRaw!$G$4:$G$233,FundRaw!$C$4:$C$233,"orcl",FundRaw!$E$4:$E$233,"2024",FundRaw!$F$4:$F$233,"fin_lease_new",FundRaw!$O$4:$O$233,1))</f>
        <v/>
      </c>
      <c r="H17" s="32" t="str">
        <f aca="false">IF((COUNTIFS(FundRaw!$C$4:$C$233,"orcl",FundRaw!$E$4:$E$233,"2024",FundRaw!$F$4:$F$233,"capex_incl_fl",FundRaw!$O$4:$O$233,1))=0,"",SUMIFS(FundRaw!$G$4:$G$233,FundRaw!$C$4:$C$233,"orcl",FundRaw!$E$4:$E$233,"2024",FundRaw!$F$4:$F$233,"capex_incl_fl",FundRaw!$O$4:$O$233,1))</f>
        <v/>
      </c>
      <c r="I17" s="32" t="str">
        <f aca="false">IF((COUNTIFS(FundRaw!$C$4:$C$233,"orcl",FundRaw!$E$4:$E$233,"2024",FundRaw!$F$4:$F$233,"fcf",FundRaw!$O$4:$O$233,1))=0,"",SUMIFS(FundRaw!$G$4:$G$233,FundRaw!$C$4:$C$233,"orcl",FundRaw!$E$4:$E$233,"2024",FundRaw!$F$4:$F$233,"fcf",FundRaw!$O$4:$O$233,1))</f>
        <v/>
      </c>
      <c r="J17" s="32" t="str">
        <f aca="false">IF((COUNTIFS(FundRaw!$C$4:$C$233,"orcl",FundRaw!$E$4:$E$233,"2024",FundRaw!$F$4:$F$233,"bond_issue",FundRaw!$O$4:$O$233,1))=0,"",SUMIFS(FundRaw!$G$4:$G$233,FundRaw!$C$4:$C$233,"orcl",FundRaw!$E$4:$E$233,"2024",FundRaw!$F$4:$F$233,"bond_issue",FundRaw!$O$4:$O$233,1))</f>
        <v/>
      </c>
      <c r="K17" s="32" t="str">
        <f aca="false">IF((COUNTIFS(FundRaw!$C$4:$C$233,"orcl",FundRaw!$E$4:$E$233,"2024",FundRaw!$F$4:$F$233,"term_loan",FundRaw!$O$4:$O$233,1))=0,"",SUMIFS(FundRaw!$G$4:$G$233,FundRaw!$C$4:$C$233,"orcl",FundRaw!$E$4:$E$233,"2024",FundRaw!$F$4:$F$233,"term_loan",FundRaw!$O$4:$O$233,1))</f>
        <v/>
      </c>
      <c r="L17" s="32" t="str">
        <f aca="false">IF((COUNTIFS(FundRaw!$C$4:$C$233,"orcl",FundRaw!$E$4:$E$233,"2024",FundRaw!$F$4:$F$233,"gpu_debt",FundRaw!$O$4:$O$233,1))=0,"",SUMIFS(FundRaw!$G$4:$G$233,FundRaw!$C$4:$C$233,"orcl",FundRaw!$E$4:$E$233,"2024",FundRaw!$F$4:$F$233,"gpu_debt",FundRaw!$O$4:$O$233,1))</f>
        <v/>
      </c>
      <c r="M17" s="32" t="str">
        <f aca="false">IF((COUNTIFS(FundRaw!$C$4:$C$233,"orcl",FundRaw!$E$4:$E$233,"2024",FundRaw!$F$4:$F$233,"private_credit",FundRaw!$O$4:$O$233,1))=0,"",SUMIFS(FundRaw!$G$4:$G$233,FundRaw!$C$4:$C$233,"orcl",FundRaw!$E$4:$E$233,"2024",FundRaw!$F$4:$F$233,"private_credit",FundRaw!$O$4:$O$233,1))</f>
        <v/>
      </c>
      <c r="N17" s="32" t="str">
        <f aca="false">IF((COUNTIFS(FundRaw!$C$4:$C$233,"orcl",FundRaw!$E$4:$E$233,"2024",FundRaw!$F$4:$F$233,"net_debt_change",FundRaw!$O$4:$O$233,1))=0,"",SUMIFS(FundRaw!$G$4:$G$233,FundRaw!$C$4:$C$233,"orcl",FundRaw!$E$4:$E$233,"2024",FundRaw!$F$4:$F$233,"net_debt_change",FundRaw!$O$4:$O$233,1))</f>
        <v/>
      </c>
      <c r="O17" s="32" t="str">
        <f aca="false">IF((COUNTIFS(FundRaw!$C$4:$C$233,"orcl",FundRaw!$E$4:$E$233,"2024",FundRaw!$F$4:$F$233,"lease_not_commenced",FundRaw!$O$4:$O$233,1))=0,"",SUMIFS(FundRaw!$G$4:$G$233,FundRaw!$C$4:$C$233,"orcl",FundRaw!$E$4:$E$233,"2024",FundRaw!$F$4:$F$233,"lease_not_commenced",FundRaw!$O$4:$O$233,1))</f>
        <v/>
      </c>
      <c r="P17" s="32" t="str">
        <f aca="false">IF((COUNTIFS(FundRaw!$C$4:$C$233,"orcl",FundRaw!$E$4:$E$233,"2024",FundRaw!$F$4:$F$233,"jv_offbalance",FundRaw!$O$4:$O$233,1))=0,"",SUMIFS(FundRaw!$G$4:$G$233,FundRaw!$C$4:$C$233,"orcl",FundRaw!$E$4:$E$233,"2024",FundRaw!$F$4:$F$233,"jv_offbalance",FundRaw!$O$4:$O$233,1))</f>
        <v/>
      </c>
      <c r="Q17" s="32" t="str">
        <f aca="false">IF((COUNTIFS(FundRaw!$C$4:$C$233,"orcl",FundRaw!$E$4:$E$233,"2024",FundRaw!$F$4:$F$233,"jv_exposure",FundRaw!$O$4:$O$233,1))=0,"",SUMIFS(FundRaw!$G$4:$G$233,FundRaw!$C$4:$C$233,"orcl",FundRaw!$E$4:$E$233,"2024",FundRaw!$F$4:$F$233,"jv_exposure",FundRaw!$O$4:$O$233,1))</f>
        <v/>
      </c>
      <c r="R17" s="32" t="str">
        <f aca="false">IF((COUNTIFS(FundRaw!$C$4:$C$233,"orcl",FundRaw!$E$4:$E$233,"2024",FundRaw!$F$4:$F$233,"equity_round",FundRaw!$O$4:$O$233,1))=0,"",SUMIFS(FundRaw!$G$4:$G$233,FundRaw!$C$4:$C$233,"orcl",FundRaw!$E$4:$E$233,"2024",FundRaw!$F$4:$F$233,"equity_round",FundRaw!$O$4:$O$233,1))</f>
        <v/>
      </c>
      <c r="S17" s="32" t="str">
        <f aca="false">IF((COUNTIFS(FundRaw!$C$4:$C$233,"orcl",FundRaw!$E$4:$E$233,"2024",FundRaw!$F$4:$F$233,"vendor_financing",FundRaw!$O$4:$O$233,1))=0,"",SUMIFS(FundRaw!$G$4:$G$233,FundRaw!$C$4:$C$233,"orcl",FundRaw!$E$4:$E$233,"2024",FundRaw!$F$4:$F$233,"vendor_financing",FundRaw!$O$4:$O$233,1))</f>
        <v/>
      </c>
      <c r="T17" s="32" t="str">
        <f aca="false">IF((COUNTIFS(FundRaw!$C$4:$C$233,"orcl",FundRaw!$E$4:$E$233,"2024",FundRaw!$F$4:$F$233,"buyback_div",FundRaw!$O$4:$O$233,1))=0,"",SUMIFS(FundRaw!$G$4:$G$233,FundRaw!$C$4:$C$233,"orcl",FundRaw!$E$4:$E$233,"2024",FundRaw!$F$4:$F$233,"buyback_div",FundRaw!$O$4:$O$233,1))</f>
        <v/>
      </c>
      <c r="U17" s="32" t="str">
        <f aca="false">IF((COUNTIFS(FundRaw!$C$4:$C$233,"orcl",FundRaw!$E$4:$E$233,"2024",FundRaw!$F$4:$F$233,"gpu_debt_talks",FundRaw!$O$4:$O$233,1))=0,"",SUMIFS(FundRaw!$G$4:$G$233,FundRaw!$C$4:$C$233,"orcl",FundRaw!$E$4:$E$233,"2024",FundRaw!$F$4:$F$233,"gpu_debt_talks",FundRaw!$O$4:$O$233,1))</f>
        <v/>
      </c>
      <c r="V17" s="32" t="str">
        <f aca="false">IF((COUNTIFS(FundRaw!$C$4:$C$233,"orcl",FundRaw!$E$4:$E$233,"2024",FundRaw!$F$4:$F$233,"bridge_refi",FundRaw!$O$4:$O$233,1))=0,"",SUMIFS(FundRaw!$G$4:$G$233,FundRaw!$C$4:$C$233,"orcl",FundRaw!$E$4:$E$233,"2024",FundRaw!$F$4:$F$233,"bridge_refi",FundRaw!$O$4:$O$233,1))</f>
        <v/>
      </c>
      <c r="W17" s="32" t="str">
        <f aca="false">IF(H17&lt;&gt;"",H17,IF(F17&lt;&gt;"",F17+N(G17),""))</f>
        <v/>
      </c>
      <c r="X17" s="32" t="str">
        <f aca="false">IF(OR(W17="",E17=""),"",MAX(0,MIN(N(E17),W17-N(Y17))))</f>
        <v/>
      </c>
      <c r="Y17" s="32" t="str">
        <f aca="false">IF(W17="","",IF(AND(H17&lt;&gt;"",F17&lt;&gt;""),MAX(0,H17-F17),N(G17)))</f>
        <v/>
      </c>
      <c r="Z17" s="32" t="str">
        <f aca="false">IF(W17="","",MAX(0,MIN(N(R17),W17-N(X17)-N(Y17))))</f>
        <v/>
      </c>
      <c r="AA17" s="32" t="str">
        <f aca="false">IF(W17="","",MAX(0,MIN(N(J17)+N(K17)+N(L17)+N(M17),W17-N(X17)-N(Y17)-N(Z17))))</f>
        <v/>
      </c>
      <c r="AB17" s="32" t="str">
        <f aca="false">IF(W17="","",W17-N(X17)-N(Y17)-N(Z17)-N(AA17))</f>
        <v/>
      </c>
      <c r="AC17" s="37" t="str">
        <f aca="false">IF(OR(W17="",N(W17)=0,X17=""),"",X17/W17)</f>
        <v/>
      </c>
      <c r="AD17" s="37" t="str">
        <f aca="false">IF(OR(W17="",N(W17)=0,Y17=""),"",Y17/W17)</f>
        <v/>
      </c>
      <c r="AE17" s="37" t="str">
        <f aca="false">IF(OR(W17="",N(W17)=0,Z17=""),"",Z17/W17)</f>
        <v/>
      </c>
      <c r="AF17" s="37" t="str">
        <f aca="false">IF(OR(W17="",N(W17)=0,AA17=""),"",AA17/W17)</f>
        <v/>
      </c>
      <c r="AG17" s="37" t="str">
        <f aca="false">IF(OR(W17="",N(W17)=0,AB17=""),"",AB17/W17)</f>
        <v/>
      </c>
      <c r="AH17" s="32" t="n">
        <f aca="false">N(J17)+N(K17)+N(L17)+N(M17)+N(R17)+N(G17)</f>
        <v>0</v>
      </c>
      <c r="AI17" s="22" t="str">
        <f aca="false">IF(N(AH17)=0,"",(N(J17)+N(K17)+N(L17)+N(M17))/AH17)</f>
        <v/>
      </c>
      <c r="AJ17" s="22" t="str">
        <f aca="false">IF(N(AH17)=0,"",(N(R17))/AH17)</f>
        <v/>
      </c>
      <c r="AK17" s="22" t="str">
        <f aca="false">IF(N(AH17)=0,"",(N(G17))/AH17)</f>
        <v/>
      </c>
      <c r="AL17" s="32" t="n">
        <f aca="false">N(J17)+N(K17)+N(L17)+N(M17)+IF(AND(H17&lt;&gt;"",F17&lt;&gt;""),MAX(0,H17-F17),N(G17))+N(P17)+N(R17)</f>
        <v>0</v>
      </c>
      <c r="AM17" s="37" t="str">
        <f aca="false">IF(OR(W17="",N(W17)=0),"",AL17/W17)</f>
        <v/>
      </c>
      <c r="AN17" s="37" t="str">
        <f aca="false">IF(OR(W17="",N(W17)=0,E17=""),"",E17/W17)</f>
        <v/>
      </c>
      <c r="AO17" s="22" t="str">
        <f aca="false">IF(OR(W17="",N(W17)=0),"",(N(J17)+N(K17)+N(L17)+N(M17))/W17)</f>
        <v/>
      </c>
      <c r="AP17" s="22" t="str">
        <f aca="false">IF(OR(W17="",N(W17)=0),"",N(R17)/W17)</f>
        <v/>
      </c>
      <c r="AQ17" s="22" t="str">
        <f aca="false">IF(OR(W17="",N(W17)=0),"",(IF(AND(H17&lt;&gt;"",F17&lt;&gt;""),MAX(0,H17-F17),N(G17))+N(P17))/W17)</f>
        <v/>
      </c>
    </row>
    <row r="18" customFormat="false" ht="15" hidden="false" customHeight="false" outlineLevel="0" collapsed="false">
      <c r="A18" s="0" t="s">
        <v>1693</v>
      </c>
      <c r="B18" s="0" t="s">
        <v>530</v>
      </c>
      <c r="C18" s="0" t="n">
        <v>2025</v>
      </c>
      <c r="D18" s="0" t="s">
        <v>1685</v>
      </c>
      <c r="E18" s="32" t="str">
        <f aca="false">IF((COUNTIFS(FundRaw!$C$4:$C$233,"orcl",FundRaw!$E$4:$E$233,"2025",FundRaw!$F$4:$F$233,"ocf",FundRaw!$O$4:$O$233,1))=0,"",SUMIFS(FundRaw!$G$4:$G$233,FundRaw!$C$4:$C$233,"orcl",FundRaw!$E$4:$E$233,"2025",FundRaw!$F$4:$F$233,"ocf",FundRaw!$O$4:$O$233,1))</f>
        <v/>
      </c>
      <c r="F18" s="32" t="str">
        <f aca="false">IF((COUNTIFS(FundRaw!$C$4:$C$233,"orcl",FundRaw!$E$4:$E$233,"2025",FundRaw!$F$4:$F$233,"capex_cash",FundRaw!$O$4:$O$233,1))=0,"",SUMIFS(FundRaw!$G$4:$G$233,FundRaw!$C$4:$C$233,"orcl",FundRaw!$E$4:$E$233,"2025",FundRaw!$F$4:$F$233,"capex_cash",FundRaw!$O$4:$O$233,1))</f>
        <v/>
      </c>
      <c r="G18" s="32" t="str">
        <f aca="false">IF((COUNTIFS(FundRaw!$C$4:$C$233,"orcl",FundRaw!$E$4:$E$233,"2025",FundRaw!$F$4:$F$233,"fin_lease_new",FundRaw!$O$4:$O$233,1))=0,"",SUMIFS(FundRaw!$G$4:$G$233,FundRaw!$C$4:$C$233,"orcl",FundRaw!$E$4:$E$233,"2025",FundRaw!$F$4:$F$233,"fin_lease_new",FundRaw!$O$4:$O$233,1))</f>
        <v/>
      </c>
      <c r="H18" s="32" t="str">
        <f aca="false">IF((COUNTIFS(FundRaw!$C$4:$C$233,"orcl",FundRaw!$E$4:$E$233,"2025",FundRaw!$F$4:$F$233,"capex_incl_fl",FundRaw!$O$4:$O$233,1))=0,"",SUMIFS(FundRaw!$G$4:$G$233,FundRaw!$C$4:$C$233,"orcl",FundRaw!$E$4:$E$233,"2025",FundRaw!$F$4:$F$233,"capex_incl_fl",FundRaw!$O$4:$O$233,1))</f>
        <v/>
      </c>
      <c r="I18" s="32" t="str">
        <f aca="false">IF((COUNTIFS(FundRaw!$C$4:$C$233,"orcl",FundRaw!$E$4:$E$233,"2025",FundRaw!$F$4:$F$233,"fcf",FundRaw!$O$4:$O$233,1))=0,"",SUMIFS(FundRaw!$G$4:$G$233,FundRaw!$C$4:$C$233,"orcl",FundRaw!$E$4:$E$233,"2025",FundRaw!$F$4:$F$233,"fcf",FundRaw!$O$4:$O$233,1))</f>
        <v/>
      </c>
      <c r="J18" s="32" t="str">
        <f aca="false">IF((COUNTIFS(FundRaw!$C$4:$C$233,"orcl",FundRaw!$E$4:$E$233,"2025",FundRaw!$F$4:$F$233,"bond_issue",FundRaw!$O$4:$O$233,1))=0,"",SUMIFS(FundRaw!$G$4:$G$233,FundRaw!$C$4:$C$233,"orcl",FundRaw!$E$4:$E$233,"2025",FundRaw!$F$4:$F$233,"bond_issue",FundRaw!$O$4:$O$233,1))</f>
        <v/>
      </c>
      <c r="K18" s="32" t="str">
        <f aca="false">IF((COUNTIFS(FundRaw!$C$4:$C$233,"orcl",FundRaw!$E$4:$E$233,"2025",FundRaw!$F$4:$F$233,"term_loan",FundRaw!$O$4:$O$233,1))=0,"",SUMIFS(FundRaw!$G$4:$G$233,FundRaw!$C$4:$C$233,"orcl",FundRaw!$E$4:$E$233,"2025",FundRaw!$F$4:$F$233,"term_loan",FundRaw!$O$4:$O$233,1))</f>
        <v/>
      </c>
      <c r="L18" s="32" t="str">
        <f aca="false">IF((COUNTIFS(FundRaw!$C$4:$C$233,"orcl",FundRaw!$E$4:$E$233,"2025",FundRaw!$F$4:$F$233,"gpu_debt",FundRaw!$O$4:$O$233,1))=0,"",SUMIFS(FundRaw!$G$4:$G$233,FundRaw!$C$4:$C$233,"orcl",FundRaw!$E$4:$E$233,"2025",FundRaw!$F$4:$F$233,"gpu_debt",FundRaw!$O$4:$O$233,1))</f>
        <v/>
      </c>
      <c r="M18" s="32" t="str">
        <f aca="false">IF((COUNTIFS(FundRaw!$C$4:$C$233,"orcl",FundRaw!$E$4:$E$233,"2025",FundRaw!$F$4:$F$233,"private_credit",FundRaw!$O$4:$O$233,1))=0,"",SUMIFS(FundRaw!$G$4:$G$233,FundRaw!$C$4:$C$233,"orcl",FundRaw!$E$4:$E$233,"2025",FundRaw!$F$4:$F$233,"private_credit",FundRaw!$O$4:$O$233,1))</f>
        <v/>
      </c>
      <c r="N18" s="32" t="str">
        <f aca="false">IF((COUNTIFS(FundRaw!$C$4:$C$233,"orcl",FundRaw!$E$4:$E$233,"2025",FundRaw!$F$4:$F$233,"net_debt_change",FundRaw!$O$4:$O$233,1))=0,"",SUMIFS(FundRaw!$G$4:$G$233,FundRaw!$C$4:$C$233,"orcl",FundRaw!$E$4:$E$233,"2025",FundRaw!$F$4:$F$233,"net_debt_change",FundRaw!$O$4:$O$233,1))</f>
        <v/>
      </c>
      <c r="O18" s="32" t="str">
        <f aca="false">IF((COUNTIFS(FundRaw!$C$4:$C$233,"orcl",FundRaw!$E$4:$E$233,"2025",FundRaw!$F$4:$F$233,"lease_not_commenced",FundRaw!$O$4:$O$233,1))=0,"",SUMIFS(FundRaw!$G$4:$G$233,FundRaw!$C$4:$C$233,"orcl",FundRaw!$E$4:$E$233,"2025",FundRaw!$F$4:$F$233,"lease_not_commenced",FundRaw!$O$4:$O$233,1))</f>
        <v/>
      </c>
      <c r="P18" s="32" t="n">
        <f aca="false">IF((COUNTIFS(FundRaw!$C$4:$C$233,"orcl",FundRaw!$E$4:$E$233,"2025",FundRaw!$F$4:$F$233,"jv_offbalance",FundRaw!$O$4:$O$233,1))=0,"",SUMIFS(FundRaw!$G$4:$G$233,FundRaw!$C$4:$C$233,"orcl",FundRaw!$E$4:$E$233,"2025",FundRaw!$F$4:$F$233,"jv_offbalance",FundRaw!$O$4:$O$233,1))</f>
        <v>15</v>
      </c>
      <c r="Q18" s="32" t="str">
        <f aca="false">IF((COUNTIFS(FundRaw!$C$4:$C$233,"orcl",FundRaw!$E$4:$E$233,"2025",FundRaw!$F$4:$F$233,"jv_exposure",FundRaw!$O$4:$O$233,1))=0,"",SUMIFS(FundRaw!$G$4:$G$233,FundRaw!$C$4:$C$233,"orcl",FundRaw!$E$4:$E$233,"2025",FundRaw!$F$4:$F$233,"jv_exposure",FundRaw!$O$4:$O$233,1))</f>
        <v/>
      </c>
      <c r="R18" s="32" t="str">
        <f aca="false">IF((COUNTIFS(FundRaw!$C$4:$C$233,"orcl",FundRaw!$E$4:$E$233,"2025",FundRaw!$F$4:$F$233,"equity_round",FundRaw!$O$4:$O$233,1))=0,"",SUMIFS(FundRaw!$G$4:$G$233,FundRaw!$C$4:$C$233,"orcl",FundRaw!$E$4:$E$233,"2025",FundRaw!$F$4:$F$233,"equity_round",FundRaw!$O$4:$O$233,1))</f>
        <v/>
      </c>
      <c r="S18" s="32" t="str">
        <f aca="false">IF((COUNTIFS(FundRaw!$C$4:$C$233,"orcl",FundRaw!$E$4:$E$233,"2025",FundRaw!$F$4:$F$233,"vendor_financing",FundRaw!$O$4:$O$233,1))=0,"",SUMIFS(FundRaw!$G$4:$G$233,FundRaw!$C$4:$C$233,"orcl",FundRaw!$E$4:$E$233,"2025",FundRaw!$F$4:$F$233,"vendor_financing",FundRaw!$O$4:$O$233,1))</f>
        <v/>
      </c>
      <c r="T18" s="32" t="str">
        <f aca="false">IF((COUNTIFS(FundRaw!$C$4:$C$233,"orcl",FundRaw!$E$4:$E$233,"2025",FundRaw!$F$4:$F$233,"buyback_div",FundRaw!$O$4:$O$233,1))=0,"",SUMIFS(FundRaw!$G$4:$G$233,FundRaw!$C$4:$C$233,"orcl",FundRaw!$E$4:$E$233,"2025",FundRaw!$F$4:$F$233,"buyback_div",FundRaw!$O$4:$O$233,1))</f>
        <v/>
      </c>
      <c r="U18" s="32" t="str">
        <f aca="false">IF((COUNTIFS(FundRaw!$C$4:$C$233,"orcl",FundRaw!$E$4:$E$233,"2025",FundRaw!$F$4:$F$233,"gpu_debt_talks",FundRaw!$O$4:$O$233,1))=0,"",SUMIFS(FundRaw!$G$4:$G$233,FundRaw!$C$4:$C$233,"orcl",FundRaw!$E$4:$E$233,"2025",FundRaw!$F$4:$F$233,"gpu_debt_talks",FundRaw!$O$4:$O$233,1))</f>
        <v/>
      </c>
      <c r="V18" s="32" t="str">
        <f aca="false">IF((COUNTIFS(FundRaw!$C$4:$C$233,"orcl",FundRaw!$E$4:$E$233,"2025",FundRaw!$F$4:$F$233,"bridge_refi",FundRaw!$O$4:$O$233,1))=0,"",SUMIFS(FundRaw!$G$4:$G$233,FundRaw!$C$4:$C$233,"orcl",FundRaw!$E$4:$E$233,"2025",FundRaw!$F$4:$F$233,"bridge_refi",FundRaw!$O$4:$O$233,1))</f>
        <v/>
      </c>
      <c r="W18" s="32" t="str">
        <f aca="false">IF(H18&lt;&gt;"",H18,IF(F18&lt;&gt;"",F18+N(G18),""))</f>
        <v/>
      </c>
      <c r="X18" s="32" t="str">
        <f aca="false">IF(OR(W18="",E18=""),"",MAX(0,MIN(N(E18),W18-N(Y18))))</f>
        <v/>
      </c>
      <c r="Y18" s="32" t="str">
        <f aca="false">IF(W18="","",IF(AND(H18&lt;&gt;"",F18&lt;&gt;""),MAX(0,H18-F18),N(G18)))</f>
        <v/>
      </c>
      <c r="Z18" s="32" t="str">
        <f aca="false">IF(W18="","",MAX(0,MIN(N(R18),W18-N(X18)-N(Y18))))</f>
        <v/>
      </c>
      <c r="AA18" s="32" t="str">
        <f aca="false">IF(W18="","",MAX(0,MIN(N(J18)+N(K18)+N(L18)+N(M18),W18-N(X18)-N(Y18)-N(Z18))))</f>
        <v/>
      </c>
      <c r="AB18" s="32" t="str">
        <f aca="false">IF(W18="","",W18-N(X18)-N(Y18)-N(Z18)-N(AA18))</f>
        <v/>
      </c>
      <c r="AC18" s="37" t="str">
        <f aca="false">IF(OR(W18="",N(W18)=0,X18=""),"",X18/W18)</f>
        <v/>
      </c>
      <c r="AD18" s="37" t="str">
        <f aca="false">IF(OR(W18="",N(W18)=0,Y18=""),"",Y18/W18)</f>
        <v/>
      </c>
      <c r="AE18" s="37" t="str">
        <f aca="false">IF(OR(W18="",N(W18)=0,Z18=""),"",Z18/W18)</f>
        <v/>
      </c>
      <c r="AF18" s="37" t="str">
        <f aca="false">IF(OR(W18="",N(W18)=0,AA18=""),"",AA18/W18)</f>
        <v/>
      </c>
      <c r="AG18" s="37" t="str">
        <f aca="false">IF(OR(W18="",N(W18)=0,AB18=""),"",AB18/W18)</f>
        <v/>
      </c>
      <c r="AH18" s="32" t="n">
        <f aca="false">N(J18)+N(K18)+N(L18)+N(M18)+N(R18)+N(G18)</f>
        <v>0</v>
      </c>
      <c r="AI18" s="22" t="str">
        <f aca="false">IF(N(AH18)=0,"",(N(J18)+N(K18)+N(L18)+N(M18))/AH18)</f>
        <v/>
      </c>
      <c r="AJ18" s="22" t="str">
        <f aca="false">IF(N(AH18)=0,"",(N(R18))/AH18)</f>
        <v/>
      </c>
      <c r="AK18" s="22" t="str">
        <f aca="false">IF(N(AH18)=0,"",(N(G18))/AH18)</f>
        <v/>
      </c>
      <c r="AL18" s="32" t="n">
        <f aca="false">N(J18)+N(K18)+N(L18)+N(M18)+IF(AND(H18&lt;&gt;"",F18&lt;&gt;""),MAX(0,H18-F18),N(G18))+N(P18)+N(R18)</f>
        <v>15</v>
      </c>
      <c r="AM18" s="37" t="str">
        <f aca="false">IF(OR(W18="",N(W18)=0),"",AL18/W18)</f>
        <v/>
      </c>
      <c r="AN18" s="37" t="str">
        <f aca="false">IF(OR(W18="",N(W18)=0,E18=""),"",E18/W18)</f>
        <v/>
      </c>
      <c r="AO18" s="22" t="str">
        <f aca="false">IF(OR(W18="",N(W18)=0),"",(N(J18)+N(K18)+N(L18)+N(M18))/W18)</f>
        <v/>
      </c>
      <c r="AP18" s="22" t="str">
        <f aca="false">IF(OR(W18="",N(W18)=0),"",N(R18)/W18)</f>
        <v/>
      </c>
      <c r="AQ18" s="22" t="str">
        <f aca="false">IF(OR(W18="",N(W18)=0),"",(IF(AND(H18&lt;&gt;"",F18&lt;&gt;""),MAX(0,H18-F18),N(G18))+N(P18))/W18)</f>
        <v/>
      </c>
    </row>
    <row r="19" customFormat="false" ht="15" hidden="false" customHeight="false" outlineLevel="0" collapsed="false">
      <c r="A19" s="0" t="s">
        <v>1693</v>
      </c>
      <c r="B19" s="0" t="s">
        <v>530</v>
      </c>
      <c r="C19" s="0" t="n">
        <v>2026</v>
      </c>
      <c r="D19" s="0" t="s">
        <v>1686</v>
      </c>
      <c r="E19" s="32" t="n">
        <f aca="false">IF((COUNTIFS(FundRaw!$C$4:$C$233,"orcl",FundRaw!$E$4:$E$233,"2026",FundRaw!$F$4:$F$233,"ocf",FundRaw!$O$4:$O$233,1))=0,"",SUMIFS(FundRaw!$G$4:$G$233,FundRaw!$C$4:$C$233,"orcl",FundRaw!$E$4:$E$233,"2026",FundRaw!$F$4:$F$233,"ocf",FundRaw!$O$4:$O$233,1))</f>
        <v>31.977</v>
      </c>
      <c r="F19" s="32" t="n">
        <f aca="false">IF((COUNTIFS(FundRaw!$C$4:$C$233,"orcl",FundRaw!$E$4:$E$233,"2026",FundRaw!$F$4:$F$233,"capex_cash",FundRaw!$O$4:$O$233,1))=0,"",SUMIFS(FundRaw!$G$4:$G$233,FundRaw!$C$4:$C$233,"orcl",FundRaw!$E$4:$E$233,"2026",FundRaw!$F$4:$F$233,"capex_cash",FundRaw!$O$4:$O$233,1))</f>
        <v>55.663</v>
      </c>
      <c r="G19" s="32" t="str">
        <f aca="false">IF((COUNTIFS(FundRaw!$C$4:$C$233,"orcl",FundRaw!$E$4:$E$233,"2026",FundRaw!$F$4:$F$233,"fin_lease_new",FundRaw!$O$4:$O$233,1))=0,"",SUMIFS(FundRaw!$G$4:$G$233,FundRaw!$C$4:$C$233,"orcl",FundRaw!$E$4:$E$233,"2026",FundRaw!$F$4:$F$233,"fin_lease_new",FundRaw!$O$4:$O$233,1))</f>
        <v/>
      </c>
      <c r="H19" s="32" t="str">
        <f aca="false">IF((COUNTIFS(FundRaw!$C$4:$C$233,"orcl",FundRaw!$E$4:$E$233,"2026",FundRaw!$F$4:$F$233,"capex_incl_fl",FundRaw!$O$4:$O$233,1))=0,"",SUMIFS(FundRaw!$G$4:$G$233,FundRaw!$C$4:$C$233,"orcl",FundRaw!$E$4:$E$233,"2026",FundRaw!$F$4:$F$233,"capex_incl_fl",FundRaw!$O$4:$O$233,1))</f>
        <v/>
      </c>
      <c r="I19" s="32" t="n">
        <f aca="false">IF((COUNTIFS(FundRaw!$C$4:$C$233,"orcl",FundRaw!$E$4:$E$233,"2026",FundRaw!$F$4:$F$233,"fcf",FundRaw!$O$4:$O$233,1))=0,"",SUMIFS(FundRaw!$G$4:$G$233,FundRaw!$C$4:$C$233,"orcl",FundRaw!$E$4:$E$233,"2026",FundRaw!$F$4:$F$233,"fcf",FundRaw!$O$4:$O$233,1))</f>
        <v>-23.686</v>
      </c>
      <c r="J19" s="32" t="n">
        <f aca="false">IF((COUNTIFS(FundRaw!$C$4:$C$233,"orcl",FundRaw!$E$4:$E$233,"2026",FundRaw!$F$4:$F$233,"bond_issue",FundRaw!$O$4:$O$233,1))=0,"",SUMIFS(FundRaw!$G$4:$G$233,FundRaw!$C$4:$C$233,"orcl",FundRaw!$E$4:$E$233,"2026",FundRaw!$F$4:$F$233,"bond_issue",FundRaw!$O$4:$O$233,1))</f>
        <v>43</v>
      </c>
      <c r="K19" s="32" t="str">
        <f aca="false">IF((COUNTIFS(FundRaw!$C$4:$C$233,"orcl",FundRaw!$E$4:$E$233,"2026",FundRaw!$F$4:$F$233,"term_loan",FundRaw!$O$4:$O$233,1))=0,"",SUMIFS(FundRaw!$G$4:$G$233,FundRaw!$C$4:$C$233,"orcl",FundRaw!$E$4:$E$233,"2026",FundRaw!$F$4:$F$233,"term_loan",FundRaw!$O$4:$O$233,1))</f>
        <v/>
      </c>
      <c r="L19" s="32" t="str">
        <f aca="false">IF((COUNTIFS(FundRaw!$C$4:$C$233,"orcl",FundRaw!$E$4:$E$233,"2026",FundRaw!$F$4:$F$233,"gpu_debt",FundRaw!$O$4:$O$233,1))=0,"",SUMIFS(FundRaw!$G$4:$G$233,FundRaw!$C$4:$C$233,"orcl",FundRaw!$E$4:$E$233,"2026",FundRaw!$F$4:$F$233,"gpu_debt",FundRaw!$O$4:$O$233,1))</f>
        <v/>
      </c>
      <c r="M19" s="32" t="str">
        <f aca="false">IF((COUNTIFS(FundRaw!$C$4:$C$233,"orcl",FundRaw!$E$4:$E$233,"2026",FundRaw!$F$4:$F$233,"private_credit",FundRaw!$O$4:$O$233,1))=0,"",SUMIFS(FundRaw!$G$4:$G$233,FundRaw!$C$4:$C$233,"orcl",FundRaw!$E$4:$E$233,"2026",FundRaw!$F$4:$F$233,"private_credit",FundRaw!$O$4:$O$233,1))</f>
        <v/>
      </c>
      <c r="N19" s="32" t="str">
        <f aca="false">IF((COUNTIFS(FundRaw!$C$4:$C$233,"orcl",FundRaw!$E$4:$E$233,"2026",FundRaw!$F$4:$F$233,"net_debt_change",FundRaw!$O$4:$O$233,1))=0,"",SUMIFS(FundRaw!$G$4:$G$233,FundRaw!$C$4:$C$233,"orcl",FundRaw!$E$4:$E$233,"2026",FundRaw!$F$4:$F$233,"net_debt_change",FundRaw!$O$4:$O$233,1))</f>
        <v/>
      </c>
      <c r="O19" s="32" t="n">
        <f aca="false">IF((COUNTIFS(FundRaw!$C$4:$C$233,"orcl",FundRaw!$E$4:$E$233,"2026",FundRaw!$F$4:$F$233,"lease_not_commenced",FundRaw!$O$4:$O$233,1))=0,"",SUMIFS(FundRaw!$G$4:$G$233,FundRaw!$C$4:$C$233,"orcl",FundRaw!$E$4:$E$233,"2026",FundRaw!$F$4:$F$233,"lease_not_commenced",FundRaw!$O$4:$O$233,1))</f>
        <v>260</v>
      </c>
      <c r="P19" s="32" t="n">
        <f aca="false">IF((COUNTIFS(FundRaw!$C$4:$C$233,"orcl",FundRaw!$E$4:$E$233,"2026",FundRaw!$F$4:$F$233,"jv_offbalance",FundRaw!$O$4:$O$233,1))=0,"",SUMIFS(FundRaw!$G$4:$G$233,FundRaw!$C$4:$C$233,"orcl",FundRaw!$E$4:$E$233,"2026",FundRaw!$F$4:$F$233,"jv_offbalance",FundRaw!$O$4:$O$233,1))</f>
        <v>56</v>
      </c>
      <c r="Q19" s="32" t="str">
        <f aca="false">IF((COUNTIFS(FundRaw!$C$4:$C$233,"orcl",FundRaw!$E$4:$E$233,"2026",FundRaw!$F$4:$F$233,"jv_exposure",FundRaw!$O$4:$O$233,1))=0,"",SUMIFS(FundRaw!$G$4:$G$233,FundRaw!$C$4:$C$233,"orcl",FundRaw!$E$4:$E$233,"2026",FundRaw!$F$4:$F$233,"jv_exposure",FundRaw!$O$4:$O$233,1))</f>
        <v/>
      </c>
      <c r="R19" s="32" t="n">
        <f aca="false">IF((COUNTIFS(FundRaw!$C$4:$C$233,"orcl",FundRaw!$E$4:$E$233,"2026",FundRaw!$F$4:$F$233,"equity_round",FundRaw!$O$4:$O$233,1))=0,"",SUMIFS(FundRaw!$G$4:$G$233,FundRaw!$C$4:$C$233,"orcl",FundRaw!$E$4:$E$233,"2026",FundRaw!$F$4:$F$233,"equity_round",FundRaw!$O$4:$O$233,1))</f>
        <v>5</v>
      </c>
      <c r="S19" s="32" t="str">
        <f aca="false">IF((COUNTIFS(FundRaw!$C$4:$C$233,"orcl",FundRaw!$E$4:$E$233,"2026",FundRaw!$F$4:$F$233,"vendor_financing",FundRaw!$O$4:$O$233,1))=0,"",SUMIFS(FundRaw!$G$4:$G$233,FundRaw!$C$4:$C$233,"orcl",FundRaw!$E$4:$E$233,"2026",FundRaw!$F$4:$F$233,"vendor_financing",FundRaw!$O$4:$O$233,1))</f>
        <v/>
      </c>
      <c r="T19" s="32" t="str">
        <f aca="false">IF((COUNTIFS(FundRaw!$C$4:$C$233,"orcl",FundRaw!$E$4:$E$233,"2026",FundRaw!$F$4:$F$233,"buyback_div",FundRaw!$O$4:$O$233,1))=0,"",SUMIFS(FundRaw!$G$4:$G$233,FundRaw!$C$4:$C$233,"orcl",FundRaw!$E$4:$E$233,"2026",FundRaw!$F$4:$F$233,"buyback_div",FundRaw!$O$4:$O$233,1))</f>
        <v/>
      </c>
      <c r="U19" s="32" t="str">
        <f aca="false">IF((COUNTIFS(FundRaw!$C$4:$C$233,"orcl",FundRaw!$E$4:$E$233,"2026",FundRaw!$F$4:$F$233,"gpu_debt_talks",FundRaw!$O$4:$O$233,1))=0,"",SUMIFS(FundRaw!$G$4:$G$233,FundRaw!$C$4:$C$233,"orcl",FundRaw!$E$4:$E$233,"2026",FundRaw!$F$4:$F$233,"gpu_debt_talks",FundRaw!$O$4:$O$233,1))</f>
        <v/>
      </c>
      <c r="V19" s="32" t="str">
        <f aca="false">IF((COUNTIFS(FundRaw!$C$4:$C$233,"orcl",FundRaw!$E$4:$E$233,"2026",FundRaw!$F$4:$F$233,"bridge_refi",FundRaw!$O$4:$O$233,1))=0,"",SUMIFS(FundRaw!$G$4:$G$233,FundRaw!$C$4:$C$233,"orcl",FundRaw!$E$4:$E$233,"2026",FundRaw!$F$4:$F$233,"bridge_refi",FundRaw!$O$4:$O$233,1))</f>
        <v/>
      </c>
      <c r="W19" s="32" t="n">
        <f aca="false">IF(H19&lt;&gt;"",H19,IF(F19&lt;&gt;"",F19+N(G19),""))</f>
        <v>55.663</v>
      </c>
      <c r="X19" s="32" t="n">
        <f aca="false">IF(OR(W19="",E19=""),"",MAX(0,MIN(N(E19),W19-N(Y19))))</f>
        <v>31.977</v>
      </c>
      <c r="Y19" s="32" t="n">
        <f aca="false">IF(W19="","",IF(AND(H19&lt;&gt;"",F19&lt;&gt;""),MAX(0,H19-F19),N(G19)))</f>
        <v>0</v>
      </c>
      <c r="Z19" s="32" t="n">
        <f aca="false">IF(W19="","",MAX(0,MIN(N(R19),W19-N(X19)-N(Y19))))</f>
        <v>5</v>
      </c>
      <c r="AA19" s="32" t="n">
        <f aca="false">IF(W19="","",MAX(0,MIN(N(J19)+N(K19)+N(L19)+N(M19),W19-N(X19)-N(Y19)-N(Z19))))</f>
        <v>18.686</v>
      </c>
      <c r="AB19" s="32" t="n">
        <f aca="false">IF(W19="","",W19-N(X19)-N(Y19)-N(Z19)-N(AA19))</f>
        <v>0</v>
      </c>
      <c r="AC19" s="37" t="n">
        <f aca="false">IF(OR(W19="",N(W19)=0,X19=""),"",X19/W19)</f>
        <v>0.574474965416884</v>
      </c>
      <c r="AD19" s="37" t="n">
        <f aca="false">IF(OR(W19="",N(W19)=0,Y19=""),"",Y19/W19)</f>
        <v>0</v>
      </c>
      <c r="AE19" s="37" t="n">
        <f aca="false">IF(OR(W19="",N(W19)=0,Z19=""),"",Z19/W19)</f>
        <v>0.0898262759822503</v>
      </c>
      <c r="AF19" s="37" t="n">
        <f aca="false">IF(OR(W19="",N(W19)=0,AA19=""),"",AA19/W19)</f>
        <v>0.335698758600866</v>
      </c>
      <c r="AG19" s="37" t="n">
        <f aca="false">IF(OR(W19="",N(W19)=0,AB19=""),"",AB19/W19)</f>
        <v>0</v>
      </c>
      <c r="AH19" s="32" t="n">
        <f aca="false">N(J19)+N(K19)+N(L19)+N(M19)+N(R19)+N(G19)</f>
        <v>48</v>
      </c>
      <c r="AI19" s="22" t="n">
        <f aca="false">IF(N(AH19)=0,"",(N(J19)+N(K19)+N(L19)+N(M19))/AH19)</f>
        <v>0.895833333333333</v>
      </c>
      <c r="AJ19" s="22" t="n">
        <f aca="false">IF(N(AH19)=0,"",(N(R19))/AH19)</f>
        <v>0.104166666666667</v>
      </c>
      <c r="AK19" s="22" t="n">
        <f aca="false">IF(N(AH19)=0,"",(N(G19))/AH19)</f>
        <v>0</v>
      </c>
      <c r="AL19" s="32" t="n">
        <f aca="false">N(J19)+N(K19)+N(L19)+N(M19)+IF(AND(H19&lt;&gt;"",F19&lt;&gt;""),MAX(0,H19-F19),N(G19))+N(P19)+N(R19)</f>
        <v>104</v>
      </c>
      <c r="AM19" s="37" t="n">
        <f aca="false">IF(OR(W19="",N(W19)=0),"",AL19/W19)</f>
        <v>1.86838654043081</v>
      </c>
      <c r="AN19" s="37" t="n">
        <f aca="false">IF(OR(W19="",N(W19)=0,E19=""),"",E19/W19)</f>
        <v>0.574474965416884</v>
      </c>
      <c r="AO19" s="22" t="n">
        <f aca="false">IF(OR(W19="",N(W19)=0),"",(N(J19)+N(K19)+N(L19)+N(M19))/W19)</f>
        <v>0.772505973447353</v>
      </c>
      <c r="AP19" s="22" t="n">
        <f aca="false">IF(OR(W19="",N(W19)=0),"",N(R19)/W19)</f>
        <v>0.0898262759822503</v>
      </c>
      <c r="AQ19" s="22" t="n">
        <f aca="false">IF(OR(W19="",N(W19)=0),"",(IF(AND(H19&lt;&gt;"",F19&lt;&gt;""),MAX(0,H19-F19),N(G19))+N(P19))/W19)</f>
        <v>1.0060542910012</v>
      </c>
    </row>
    <row r="20" customFormat="false" ht="15" hidden="false" customHeight="false" outlineLevel="0" collapsed="false">
      <c r="A20" s="0" t="s">
        <v>1076</v>
      </c>
      <c r="B20" s="0" t="s">
        <v>620</v>
      </c>
      <c r="C20" s="0" t="n">
        <v>2024</v>
      </c>
      <c r="D20" s="0" t="s">
        <v>1688</v>
      </c>
      <c r="E20" s="32" t="n">
        <f aca="false">IF((COUNTIFS(FundRaw!$C$4:$C$233,"crwv",FundRaw!$E$4:$E$233,"2024",FundRaw!$F$4:$F$233,"ocf",FundRaw!$O$4:$O$233,1))=0,"",SUMIFS(FundRaw!$G$4:$G$233,FundRaw!$C$4:$C$233,"crwv",FundRaw!$E$4:$E$233,"2024",FundRaw!$F$4:$F$233,"ocf",FundRaw!$O$4:$O$233,1))</f>
        <v>2.749</v>
      </c>
      <c r="F20" s="32" t="n">
        <f aca="false">IF((COUNTIFS(FundRaw!$C$4:$C$233,"crwv",FundRaw!$E$4:$E$233,"2024",FundRaw!$F$4:$F$233,"capex_cash",FundRaw!$O$4:$O$233,1))=0,"",SUMIFS(FundRaw!$G$4:$G$233,FundRaw!$C$4:$C$233,"crwv",FundRaw!$E$4:$E$233,"2024",FundRaw!$F$4:$F$233,"capex_cash",FundRaw!$O$4:$O$233,1))</f>
        <v>8.702</v>
      </c>
      <c r="G20" s="32" t="str">
        <f aca="false">IF((COUNTIFS(FundRaw!$C$4:$C$233,"crwv",FundRaw!$E$4:$E$233,"2024",FundRaw!$F$4:$F$233,"fin_lease_new",FundRaw!$O$4:$O$233,1))=0,"",SUMIFS(FundRaw!$G$4:$G$233,FundRaw!$C$4:$C$233,"crwv",FundRaw!$E$4:$E$233,"2024",FundRaw!$F$4:$F$233,"fin_lease_new",FundRaw!$O$4:$O$233,1))</f>
        <v/>
      </c>
      <c r="H20" s="32" t="str">
        <f aca="false">IF((COUNTIFS(FundRaw!$C$4:$C$233,"crwv",FundRaw!$E$4:$E$233,"2024",FundRaw!$F$4:$F$233,"capex_incl_fl",FundRaw!$O$4:$O$233,1))=0,"",SUMIFS(FundRaw!$G$4:$G$233,FundRaw!$C$4:$C$233,"crwv",FundRaw!$E$4:$E$233,"2024",FundRaw!$F$4:$F$233,"capex_incl_fl",FundRaw!$O$4:$O$233,1))</f>
        <v/>
      </c>
      <c r="I20" s="32" t="str">
        <f aca="false">IF((COUNTIFS(FundRaw!$C$4:$C$233,"crwv",FundRaw!$E$4:$E$233,"2024",FundRaw!$F$4:$F$233,"fcf",FundRaw!$O$4:$O$233,1))=0,"",SUMIFS(FundRaw!$G$4:$G$233,FundRaw!$C$4:$C$233,"crwv",FundRaw!$E$4:$E$233,"2024",FundRaw!$F$4:$F$233,"fcf",FundRaw!$O$4:$O$233,1))</f>
        <v/>
      </c>
      <c r="J20" s="32" t="str">
        <f aca="false">IF((COUNTIFS(FundRaw!$C$4:$C$233,"crwv",FundRaw!$E$4:$E$233,"2024",FundRaw!$F$4:$F$233,"bond_issue",FundRaw!$O$4:$O$233,1))=0,"",SUMIFS(FundRaw!$G$4:$G$233,FundRaw!$C$4:$C$233,"crwv",FundRaw!$E$4:$E$233,"2024",FundRaw!$F$4:$F$233,"bond_issue",FundRaw!$O$4:$O$233,1))</f>
        <v/>
      </c>
      <c r="K20" s="32" t="str">
        <f aca="false">IF((COUNTIFS(FundRaw!$C$4:$C$233,"crwv",FundRaw!$E$4:$E$233,"2024",FundRaw!$F$4:$F$233,"term_loan",FundRaw!$O$4:$O$233,1))=0,"",SUMIFS(FundRaw!$G$4:$G$233,FundRaw!$C$4:$C$233,"crwv",FundRaw!$E$4:$E$233,"2024",FundRaw!$F$4:$F$233,"term_loan",FundRaw!$O$4:$O$233,1))</f>
        <v/>
      </c>
      <c r="L20" s="32" t="n">
        <f aca="false">IF((COUNTIFS(FundRaw!$C$4:$C$233,"crwv",FundRaw!$E$4:$E$233,"2024",FundRaw!$F$4:$F$233,"gpu_debt",FundRaw!$O$4:$O$233,1))=0,"",SUMIFS(FundRaw!$G$4:$G$233,FundRaw!$C$4:$C$233,"crwv",FundRaw!$E$4:$E$233,"2024",FundRaw!$F$4:$F$233,"gpu_debt",FundRaw!$O$4:$O$233,1))</f>
        <v>7.018</v>
      </c>
      <c r="M20" s="32" t="str">
        <f aca="false">IF((COUNTIFS(FundRaw!$C$4:$C$233,"crwv",FundRaw!$E$4:$E$233,"2024",FundRaw!$F$4:$F$233,"private_credit",FundRaw!$O$4:$O$233,1))=0,"",SUMIFS(FundRaw!$G$4:$G$233,FundRaw!$C$4:$C$233,"crwv",FundRaw!$E$4:$E$233,"2024",FundRaw!$F$4:$F$233,"private_credit",FundRaw!$O$4:$O$233,1))</f>
        <v/>
      </c>
      <c r="N20" s="32" t="str">
        <f aca="false">IF((COUNTIFS(FundRaw!$C$4:$C$233,"crwv",FundRaw!$E$4:$E$233,"2024",FundRaw!$F$4:$F$233,"net_debt_change",FundRaw!$O$4:$O$233,1))=0,"",SUMIFS(FundRaw!$G$4:$G$233,FundRaw!$C$4:$C$233,"crwv",FundRaw!$E$4:$E$233,"2024",FundRaw!$F$4:$F$233,"net_debt_change",FundRaw!$O$4:$O$233,1))</f>
        <v/>
      </c>
      <c r="O20" s="32" t="str">
        <f aca="false">IF((COUNTIFS(FundRaw!$C$4:$C$233,"crwv",FundRaw!$E$4:$E$233,"2024",FundRaw!$F$4:$F$233,"lease_not_commenced",FundRaw!$O$4:$O$233,1))=0,"",SUMIFS(FundRaw!$G$4:$G$233,FundRaw!$C$4:$C$233,"crwv",FundRaw!$E$4:$E$233,"2024",FundRaw!$F$4:$F$233,"lease_not_commenced",FundRaw!$O$4:$O$233,1))</f>
        <v/>
      </c>
      <c r="P20" s="32" t="str">
        <f aca="false">IF((COUNTIFS(FundRaw!$C$4:$C$233,"crwv",FundRaw!$E$4:$E$233,"2024",FundRaw!$F$4:$F$233,"jv_offbalance",FundRaw!$O$4:$O$233,1))=0,"",SUMIFS(FundRaw!$G$4:$G$233,FundRaw!$C$4:$C$233,"crwv",FundRaw!$E$4:$E$233,"2024",FundRaw!$F$4:$F$233,"jv_offbalance",FundRaw!$O$4:$O$233,1))</f>
        <v/>
      </c>
      <c r="Q20" s="32" t="str">
        <f aca="false">IF((COUNTIFS(FundRaw!$C$4:$C$233,"crwv",FundRaw!$E$4:$E$233,"2024",FundRaw!$F$4:$F$233,"jv_exposure",FundRaw!$O$4:$O$233,1))=0,"",SUMIFS(FundRaw!$G$4:$G$233,FundRaw!$C$4:$C$233,"crwv",FundRaw!$E$4:$E$233,"2024",FundRaw!$F$4:$F$233,"jv_exposure",FundRaw!$O$4:$O$233,1))</f>
        <v/>
      </c>
      <c r="R20" s="32" t="str">
        <f aca="false">IF((COUNTIFS(FundRaw!$C$4:$C$233,"crwv",FundRaw!$E$4:$E$233,"2024",FundRaw!$F$4:$F$233,"equity_round",FundRaw!$O$4:$O$233,1))=0,"",SUMIFS(FundRaw!$G$4:$G$233,FundRaw!$C$4:$C$233,"crwv",FundRaw!$E$4:$E$233,"2024",FundRaw!$F$4:$F$233,"equity_round",FundRaw!$O$4:$O$233,1))</f>
        <v/>
      </c>
      <c r="S20" s="32" t="str">
        <f aca="false">IF((COUNTIFS(FundRaw!$C$4:$C$233,"crwv",FundRaw!$E$4:$E$233,"2024",FundRaw!$F$4:$F$233,"vendor_financing",FundRaw!$O$4:$O$233,1))=0,"",SUMIFS(FundRaw!$G$4:$G$233,FundRaw!$C$4:$C$233,"crwv",FundRaw!$E$4:$E$233,"2024",FundRaw!$F$4:$F$233,"vendor_financing",FundRaw!$O$4:$O$233,1))</f>
        <v/>
      </c>
      <c r="T20" s="32" t="str">
        <f aca="false">IF((COUNTIFS(FundRaw!$C$4:$C$233,"crwv",FundRaw!$E$4:$E$233,"2024",FundRaw!$F$4:$F$233,"buyback_div",FundRaw!$O$4:$O$233,1))=0,"",SUMIFS(FundRaw!$G$4:$G$233,FundRaw!$C$4:$C$233,"crwv",FundRaw!$E$4:$E$233,"2024",FundRaw!$F$4:$F$233,"buyback_div",FundRaw!$O$4:$O$233,1))</f>
        <v/>
      </c>
      <c r="U20" s="32" t="str">
        <f aca="false">IF((COUNTIFS(FundRaw!$C$4:$C$233,"crwv",FundRaw!$E$4:$E$233,"2024",FundRaw!$F$4:$F$233,"gpu_debt_talks",FundRaw!$O$4:$O$233,1))=0,"",SUMIFS(FundRaw!$G$4:$G$233,FundRaw!$C$4:$C$233,"crwv",FundRaw!$E$4:$E$233,"2024",FundRaw!$F$4:$F$233,"gpu_debt_talks",FundRaw!$O$4:$O$233,1))</f>
        <v/>
      </c>
      <c r="V20" s="32" t="str">
        <f aca="false">IF((COUNTIFS(FundRaw!$C$4:$C$233,"crwv",FundRaw!$E$4:$E$233,"2024",FundRaw!$F$4:$F$233,"bridge_refi",FundRaw!$O$4:$O$233,1))=0,"",SUMIFS(FundRaw!$G$4:$G$233,FundRaw!$C$4:$C$233,"crwv",FundRaw!$E$4:$E$233,"2024",FundRaw!$F$4:$F$233,"bridge_refi",FundRaw!$O$4:$O$233,1))</f>
        <v/>
      </c>
      <c r="W20" s="32" t="n">
        <f aca="false">IF(H20&lt;&gt;"",H20,IF(F20&lt;&gt;"",F20+N(G20),""))</f>
        <v>8.702</v>
      </c>
      <c r="X20" s="32" t="n">
        <f aca="false">IF(OR(W20="",E20=""),"",MAX(0,MIN(N(E20),W20-N(Y20))))</f>
        <v>2.749</v>
      </c>
      <c r="Y20" s="32" t="n">
        <f aca="false">IF(W20="","",IF(AND(H20&lt;&gt;"",F20&lt;&gt;""),MAX(0,H20-F20),N(G20)))</f>
        <v>0</v>
      </c>
      <c r="Z20" s="32" t="n">
        <f aca="false">IF(W20="","",MAX(0,MIN(N(R20),W20-N(X20)-N(Y20))))</f>
        <v>0</v>
      </c>
      <c r="AA20" s="32" t="n">
        <f aca="false">IF(W20="","",MAX(0,MIN(N(J20)+N(K20)+N(L20)+N(M20),W20-N(X20)-N(Y20)-N(Z20))))</f>
        <v>5.953</v>
      </c>
      <c r="AB20" s="32" t="n">
        <f aca="false">IF(W20="","",W20-N(X20)-N(Y20)-N(Z20)-N(AA20))</f>
        <v>0</v>
      </c>
      <c r="AC20" s="37" t="n">
        <f aca="false">IF(OR(W20="",N(W20)=0,X20=""),"",X20/W20)</f>
        <v>0.315904389795449</v>
      </c>
      <c r="AD20" s="37" t="n">
        <f aca="false">IF(OR(W20="",N(W20)=0,Y20=""),"",Y20/W20)</f>
        <v>0</v>
      </c>
      <c r="AE20" s="37" t="n">
        <f aca="false">IF(OR(W20="",N(W20)=0,Z20=""),"",Z20/W20)</f>
        <v>0</v>
      </c>
      <c r="AF20" s="37" t="n">
        <f aca="false">IF(OR(W20="",N(W20)=0,AA20=""),"",AA20/W20)</f>
        <v>0.684095610204551</v>
      </c>
      <c r="AG20" s="37" t="n">
        <f aca="false">IF(OR(W20="",N(W20)=0,AB20=""),"",AB20/W20)</f>
        <v>0</v>
      </c>
      <c r="AH20" s="32" t="n">
        <f aca="false">N(J20)+N(K20)+N(L20)+N(M20)+N(R20)+N(G20)</f>
        <v>7.018</v>
      </c>
      <c r="AI20" s="22" t="n">
        <f aca="false">IF(N(AH20)=0,"",(N(J20)+N(K20)+N(L20)+N(M20))/AH20)</f>
        <v>1</v>
      </c>
      <c r="AJ20" s="22" t="n">
        <f aca="false">IF(N(AH20)=0,"",(N(R20))/AH20)</f>
        <v>0</v>
      </c>
      <c r="AK20" s="22" t="n">
        <f aca="false">IF(N(AH20)=0,"",(N(G20))/AH20)</f>
        <v>0</v>
      </c>
      <c r="AL20" s="32" t="n">
        <f aca="false">N(J20)+N(K20)+N(L20)+N(M20)+IF(AND(H20&lt;&gt;"",F20&lt;&gt;""),MAX(0,H20-F20),N(G20))+N(P20)+N(R20)</f>
        <v>7.018</v>
      </c>
      <c r="AM20" s="37" t="n">
        <f aca="false">IF(OR(W20="",N(W20)=0),"",AL20/W20)</f>
        <v>0.806481268673868</v>
      </c>
      <c r="AN20" s="37" t="n">
        <f aca="false">IF(OR(W20="",N(W20)=0,E20=""),"",E20/W20)</f>
        <v>0.315904389795449</v>
      </c>
      <c r="AO20" s="22" t="n">
        <f aca="false">IF(OR(W20="",N(W20)=0),"",(N(J20)+N(K20)+N(L20)+N(M20))/W20)</f>
        <v>0.806481268673868</v>
      </c>
      <c r="AP20" s="22" t="n">
        <f aca="false">IF(OR(W20="",N(W20)=0),"",N(R20)/W20)</f>
        <v>0</v>
      </c>
      <c r="AQ20" s="22" t="n">
        <f aca="false">IF(OR(W20="",N(W20)=0),"",(IF(AND(H20&lt;&gt;"",F20&lt;&gt;""),MAX(0,H20-F20),N(G20))+N(P20))/W20)</f>
        <v>0</v>
      </c>
    </row>
    <row r="21" customFormat="false" ht="15" hidden="false" customHeight="false" outlineLevel="0" collapsed="false">
      <c r="A21" s="0" t="s">
        <v>1076</v>
      </c>
      <c r="B21" s="0" t="s">
        <v>620</v>
      </c>
      <c r="C21" s="0" t="n">
        <v>2025</v>
      </c>
      <c r="D21" s="0" t="s">
        <v>1689</v>
      </c>
      <c r="E21" s="32" t="n">
        <f aca="false">IF((COUNTIFS(FundRaw!$C$4:$C$233,"crwv",FundRaw!$E$4:$E$233,"2025",FundRaw!$F$4:$F$233,"ocf",FundRaw!$O$4:$O$233,1))=0,"",SUMIFS(FundRaw!$G$4:$G$233,FundRaw!$C$4:$C$233,"crwv",FundRaw!$E$4:$E$233,"2025",FundRaw!$F$4:$F$233,"ocf",FundRaw!$O$4:$O$233,1))</f>
        <v>3.058</v>
      </c>
      <c r="F21" s="32" t="n">
        <f aca="false">IF((COUNTIFS(FundRaw!$C$4:$C$233,"crwv",FundRaw!$E$4:$E$233,"2025",FundRaw!$F$4:$F$233,"capex_cash",FundRaw!$O$4:$O$233,1))=0,"",SUMIFS(FundRaw!$G$4:$G$233,FundRaw!$C$4:$C$233,"crwv",FundRaw!$E$4:$E$233,"2025",FundRaw!$F$4:$F$233,"capex_cash",FundRaw!$O$4:$O$233,1))</f>
        <v>10.309</v>
      </c>
      <c r="G21" s="32" t="str">
        <f aca="false">IF((COUNTIFS(FundRaw!$C$4:$C$233,"crwv",FundRaw!$E$4:$E$233,"2025",FundRaw!$F$4:$F$233,"fin_lease_new",FundRaw!$O$4:$O$233,1))=0,"",SUMIFS(FundRaw!$G$4:$G$233,FundRaw!$C$4:$C$233,"crwv",FundRaw!$E$4:$E$233,"2025",FundRaw!$F$4:$F$233,"fin_lease_new",FundRaw!$O$4:$O$233,1))</f>
        <v/>
      </c>
      <c r="H21" s="32" t="str">
        <f aca="false">IF((COUNTIFS(FundRaw!$C$4:$C$233,"crwv",FundRaw!$E$4:$E$233,"2025",FundRaw!$F$4:$F$233,"capex_incl_fl",FundRaw!$O$4:$O$233,1))=0,"",SUMIFS(FundRaw!$G$4:$G$233,FundRaw!$C$4:$C$233,"crwv",FundRaw!$E$4:$E$233,"2025",FundRaw!$F$4:$F$233,"capex_incl_fl",FundRaw!$O$4:$O$233,1))</f>
        <v/>
      </c>
      <c r="I21" s="32" t="str">
        <f aca="false">IF((COUNTIFS(FundRaw!$C$4:$C$233,"crwv",FundRaw!$E$4:$E$233,"2025",FundRaw!$F$4:$F$233,"fcf",FundRaw!$O$4:$O$233,1))=0,"",SUMIFS(FundRaw!$G$4:$G$233,FundRaw!$C$4:$C$233,"crwv",FundRaw!$E$4:$E$233,"2025",FundRaw!$F$4:$F$233,"fcf",FundRaw!$O$4:$O$233,1))</f>
        <v/>
      </c>
      <c r="J21" s="32" t="str">
        <f aca="false">IF((COUNTIFS(FundRaw!$C$4:$C$233,"crwv",FundRaw!$E$4:$E$233,"2025",FundRaw!$F$4:$F$233,"bond_issue",FundRaw!$O$4:$O$233,1))=0,"",SUMIFS(FundRaw!$G$4:$G$233,FundRaw!$C$4:$C$233,"crwv",FundRaw!$E$4:$E$233,"2025",FundRaw!$F$4:$F$233,"bond_issue",FundRaw!$O$4:$O$233,1))</f>
        <v/>
      </c>
      <c r="K21" s="32" t="str">
        <f aca="false">IF((COUNTIFS(FundRaw!$C$4:$C$233,"crwv",FundRaw!$E$4:$E$233,"2025",FundRaw!$F$4:$F$233,"term_loan",FundRaw!$O$4:$O$233,1))=0,"",SUMIFS(FundRaw!$G$4:$G$233,FundRaw!$C$4:$C$233,"crwv",FundRaw!$E$4:$E$233,"2025",FundRaw!$F$4:$F$233,"term_loan",FundRaw!$O$4:$O$233,1))</f>
        <v/>
      </c>
      <c r="L21" s="32" t="n">
        <f aca="false">IF((COUNTIFS(FundRaw!$C$4:$C$233,"crwv",FundRaw!$E$4:$E$233,"2025",FundRaw!$F$4:$F$233,"gpu_debt",FundRaw!$O$4:$O$233,1))=0,"",SUMIFS(FundRaw!$G$4:$G$233,FundRaw!$C$4:$C$233,"crwv",FundRaw!$E$4:$E$233,"2025",FundRaw!$F$4:$F$233,"gpu_debt",FundRaw!$O$4:$O$233,1))</f>
        <v>11.829</v>
      </c>
      <c r="M21" s="32" t="str">
        <f aca="false">IF((COUNTIFS(FundRaw!$C$4:$C$233,"crwv",FundRaw!$E$4:$E$233,"2025",FundRaw!$F$4:$F$233,"private_credit",FundRaw!$O$4:$O$233,1))=0,"",SUMIFS(FundRaw!$G$4:$G$233,FundRaw!$C$4:$C$233,"crwv",FundRaw!$E$4:$E$233,"2025",FundRaw!$F$4:$F$233,"private_credit",FundRaw!$O$4:$O$233,1))</f>
        <v/>
      </c>
      <c r="N21" s="32" t="n">
        <f aca="false">IF((COUNTIFS(FundRaw!$C$4:$C$233,"crwv",FundRaw!$E$4:$E$233,"2025",FundRaw!$F$4:$F$233,"net_debt_change",FundRaw!$O$4:$O$233,1))=0,"",SUMIFS(FundRaw!$G$4:$G$233,FundRaw!$C$4:$C$233,"crwv",FundRaw!$E$4:$E$233,"2025",FundRaw!$F$4:$F$233,"net_debt_change",FundRaw!$O$4:$O$233,1))</f>
        <v>13.447</v>
      </c>
      <c r="O21" s="32" t="str">
        <f aca="false">IF((COUNTIFS(FundRaw!$C$4:$C$233,"crwv",FundRaw!$E$4:$E$233,"2025",FundRaw!$F$4:$F$233,"lease_not_commenced",FundRaw!$O$4:$O$233,1))=0,"",SUMIFS(FundRaw!$G$4:$G$233,FundRaw!$C$4:$C$233,"crwv",FundRaw!$E$4:$E$233,"2025",FundRaw!$F$4:$F$233,"lease_not_commenced",FundRaw!$O$4:$O$233,1))</f>
        <v/>
      </c>
      <c r="P21" s="32" t="str">
        <f aca="false">IF((COUNTIFS(FundRaw!$C$4:$C$233,"crwv",FundRaw!$E$4:$E$233,"2025",FundRaw!$F$4:$F$233,"jv_offbalance",FundRaw!$O$4:$O$233,1))=0,"",SUMIFS(FundRaw!$G$4:$G$233,FundRaw!$C$4:$C$233,"crwv",FundRaw!$E$4:$E$233,"2025",FundRaw!$F$4:$F$233,"jv_offbalance",FundRaw!$O$4:$O$233,1))</f>
        <v/>
      </c>
      <c r="Q21" s="32" t="str">
        <f aca="false">IF((COUNTIFS(FundRaw!$C$4:$C$233,"crwv",FundRaw!$E$4:$E$233,"2025",FundRaw!$F$4:$F$233,"jv_exposure",FundRaw!$O$4:$O$233,1))=0,"",SUMIFS(FundRaw!$G$4:$G$233,FundRaw!$C$4:$C$233,"crwv",FundRaw!$E$4:$E$233,"2025",FundRaw!$F$4:$F$233,"jv_exposure",FundRaw!$O$4:$O$233,1))</f>
        <v/>
      </c>
      <c r="R21" s="32" t="n">
        <f aca="false">IF((COUNTIFS(FundRaw!$C$4:$C$233,"crwv",FundRaw!$E$4:$E$233,"2025",FundRaw!$F$4:$F$233,"equity_round",FundRaw!$O$4:$O$233,1))=0,"",SUMIFS(FundRaw!$G$4:$G$233,FundRaw!$C$4:$C$233,"crwv",FundRaw!$E$4:$E$233,"2025",FundRaw!$F$4:$F$233,"equity_round",FundRaw!$O$4:$O$233,1))</f>
        <v>1.491</v>
      </c>
      <c r="S21" s="32" t="str">
        <f aca="false">IF((COUNTIFS(FundRaw!$C$4:$C$233,"crwv",FundRaw!$E$4:$E$233,"2025",FundRaw!$F$4:$F$233,"vendor_financing",FundRaw!$O$4:$O$233,1))=0,"",SUMIFS(FundRaw!$G$4:$G$233,FundRaw!$C$4:$C$233,"crwv",FundRaw!$E$4:$E$233,"2025",FundRaw!$F$4:$F$233,"vendor_financing",FundRaw!$O$4:$O$233,1))</f>
        <v/>
      </c>
      <c r="T21" s="32" t="str">
        <f aca="false">IF((COUNTIFS(FundRaw!$C$4:$C$233,"crwv",FundRaw!$E$4:$E$233,"2025",FundRaw!$F$4:$F$233,"buyback_div",FundRaw!$O$4:$O$233,1))=0,"",SUMIFS(FundRaw!$G$4:$G$233,FundRaw!$C$4:$C$233,"crwv",FundRaw!$E$4:$E$233,"2025",FundRaw!$F$4:$F$233,"buyback_div",FundRaw!$O$4:$O$233,1))</f>
        <v/>
      </c>
      <c r="U21" s="32" t="str">
        <f aca="false">IF((COUNTIFS(FundRaw!$C$4:$C$233,"crwv",FundRaw!$E$4:$E$233,"2025",FundRaw!$F$4:$F$233,"gpu_debt_talks",FundRaw!$O$4:$O$233,1))=0,"",SUMIFS(FundRaw!$G$4:$G$233,FundRaw!$C$4:$C$233,"crwv",FundRaw!$E$4:$E$233,"2025",FundRaw!$F$4:$F$233,"gpu_debt_talks",FundRaw!$O$4:$O$233,1))</f>
        <v/>
      </c>
      <c r="V21" s="32" t="str">
        <f aca="false">IF((COUNTIFS(FundRaw!$C$4:$C$233,"crwv",FundRaw!$E$4:$E$233,"2025",FundRaw!$F$4:$F$233,"bridge_refi",FundRaw!$O$4:$O$233,1))=0,"",SUMIFS(FundRaw!$G$4:$G$233,FundRaw!$C$4:$C$233,"crwv",FundRaw!$E$4:$E$233,"2025",FundRaw!$F$4:$F$233,"bridge_refi",FundRaw!$O$4:$O$233,1))</f>
        <v/>
      </c>
      <c r="W21" s="32" t="n">
        <f aca="false">IF(H21&lt;&gt;"",H21,IF(F21&lt;&gt;"",F21+N(G21),""))</f>
        <v>10.309</v>
      </c>
      <c r="X21" s="32" t="n">
        <f aca="false">IF(OR(W21="",E21=""),"",MAX(0,MIN(N(E21),W21-N(Y21))))</f>
        <v>3.058</v>
      </c>
      <c r="Y21" s="32" t="n">
        <f aca="false">IF(W21="","",IF(AND(H21&lt;&gt;"",F21&lt;&gt;""),MAX(0,H21-F21),N(G21)))</f>
        <v>0</v>
      </c>
      <c r="Z21" s="32" t="n">
        <f aca="false">IF(W21="","",MAX(0,MIN(N(R21),W21-N(X21)-N(Y21))))</f>
        <v>1.491</v>
      </c>
      <c r="AA21" s="32" t="n">
        <f aca="false">IF(W21="","",MAX(0,MIN(N(J21)+N(K21)+N(L21)+N(M21),W21-N(X21)-N(Y21)-N(Z21))))</f>
        <v>5.76</v>
      </c>
      <c r="AB21" s="32" t="n">
        <f aca="false">IF(W21="","",W21-N(X21)-N(Y21)-N(Z21)-N(AA21))</f>
        <v>0</v>
      </c>
      <c r="AC21" s="37" t="n">
        <f aca="false">IF(OR(W21="",N(W21)=0,X21=""),"",X21/W21)</f>
        <v>0.296634009118246</v>
      </c>
      <c r="AD21" s="37" t="n">
        <f aca="false">IF(OR(W21="",N(W21)=0,Y21=""),"",Y21/W21)</f>
        <v>0</v>
      </c>
      <c r="AE21" s="37" t="n">
        <f aca="false">IF(OR(W21="",N(W21)=0,Z21=""),"",Z21/W21)</f>
        <v>0.144630905034436</v>
      </c>
      <c r="AF21" s="37" t="n">
        <f aca="false">IF(OR(W21="",N(W21)=0,AA21=""),"",AA21/W21)</f>
        <v>0.558735085847318</v>
      </c>
      <c r="AG21" s="37" t="n">
        <f aca="false">IF(OR(W21="",N(W21)=0,AB21=""),"",AB21/W21)</f>
        <v>0</v>
      </c>
      <c r="AH21" s="32" t="n">
        <f aca="false">N(J21)+N(K21)+N(L21)+N(M21)+N(R21)+N(G21)</f>
        <v>13.32</v>
      </c>
      <c r="AI21" s="22" t="n">
        <f aca="false">IF(N(AH21)=0,"",(N(J21)+N(K21)+N(L21)+N(M21))/AH21)</f>
        <v>0.888063063063063</v>
      </c>
      <c r="AJ21" s="22" t="n">
        <f aca="false">IF(N(AH21)=0,"",(N(R21))/AH21)</f>
        <v>0.111936936936937</v>
      </c>
      <c r="AK21" s="22" t="n">
        <f aca="false">IF(N(AH21)=0,"",(N(G21))/AH21)</f>
        <v>0</v>
      </c>
      <c r="AL21" s="32" t="n">
        <f aca="false">N(J21)+N(K21)+N(L21)+N(M21)+IF(AND(H21&lt;&gt;"",F21&lt;&gt;""),MAX(0,H21-F21),N(G21))+N(P21)+N(R21)</f>
        <v>13.32</v>
      </c>
      <c r="AM21" s="37" t="n">
        <f aca="false">IF(OR(W21="",N(W21)=0),"",AL21/W21)</f>
        <v>1.29207488602192</v>
      </c>
      <c r="AN21" s="37" t="n">
        <f aca="false">IF(OR(W21="",N(W21)=0,E21=""),"",E21/W21)</f>
        <v>0.296634009118246</v>
      </c>
      <c r="AO21" s="22" t="n">
        <f aca="false">IF(OR(W21="",N(W21)=0),"",(N(J21)+N(K21)+N(L21)+N(M21))/W21)</f>
        <v>1.14744398098749</v>
      </c>
      <c r="AP21" s="22" t="n">
        <f aca="false">IF(OR(W21="",N(W21)=0),"",N(R21)/W21)</f>
        <v>0.144630905034436</v>
      </c>
      <c r="AQ21" s="22" t="n">
        <f aca="false">IF(OR(W21="",N(W21)=0),"",(IF(AND(H21&lt;&gt;"",F21&lt;&gt;""),MAX(0,H21-F21),N(G21))+N(P21))/W21)</f>
        <v>0</v>
      </c>
    </row>
    <row r="22" customFormat="false" ht="15" hidden="false" customHeight="false" outlineLevel="0" collapsed="false">
      <c r="A22" s="0" t="s">
        <v>1076</v>
      </c>
      <c r="B22" s="0" t="s">
        <v>620</v>
      </c>
      <c r="C22" s="0" t="n">
        <v>2026</v>
      </c>
      <c r="D22" s="0" t="s">
        <v>1690</v>
      </c>
      <c r="E22" s="32" t="n">
        <f aca="false">IF((COUNTIFS(FundRaw!$C$4:$C$233,"crwv",FundRaw!$E$4:$E$233,"2026",FundRaw!$F$4:$F$233,"ocf",FundRaw!$O$4:$O$233,1))=0,"",SUMIFS(FundRaw!$G$4:$G$233,FundRaw!$C$4:$C$233,"crwv",FundRaw!$E$4:$E$233,"2026",FundRaw!$F$4:$F$233,"ocf",FundRaw!$O$4:$O$233,1))</f>
        <v>3.663</v>
      </c>
      <c r="F22" s="32" t="n">
        <f aca="false">IF((COUNTIFS(FundRaw!$C$4:$C$233,"crwv",FundRaw!$E$4:$E$233,"2026",FundRaw!$F$4:$F$233,"capex_cash",FundRaw!$O$4:$O$233,1))=0,"",SUMIFS(FundRaw!$G$4:$G$233,FundRaw!$C$4:$C$233,"crwv",FundRaw!$E$4:$E$233,"2026",FundRaw!$F$4:$F$233,"capex_cash",FundRaw!$O$4:$O$233,1))</f>
        <v>14.117</v>
      </c>
      <c r="G22" s="32" t="str">
        <f aca="false">IF((COUNTIFS(FundRaw!$C$4:$C$233,"crwv",FundRaw!$E$4:$E$233,"2026",FundRaw!$F$4:$F$233,"fin_lease_new",FundRaw!$O$4:$O$233,1))=0,"",SUMIFS(FundRaw!$G$4:$G$233,FundRaw!$C$4:$C$233,"crwv",FundRaw!$E$4:$E$233,"2026",FundRaw!$F$4:$F$233,"fin_lease_new",FundRaw!$O$4:$O$233,1))</f>
        <v/>
      </c>
      <c r="H22" s="32" t="str">
        <f aca="false">IF((COUNTIFS(FundRaw!$C$4:$C$233,"crwv",FundRaw!$E$4:$E$233,"2026",FundRaw!$F$4:$F$233,"capex_incl_fl",FundRaw!$O$4:$O$233,1))=0,"",SUMIFS(FundRaw!$G$4:$G$233,FundRaw!$C$4:$C$233,"crwv",FundRaw!$E$4:$E$233,"2026",FundRaw!$F$4:$F$233,"capex_incl_fl",FundRaw!$O$4:$O$233,1))</f>
        <v/>
      </c>
      <c r="I22" s="32" t="str">
        <f aca="false">IF((COUNTIFS(FundRaw!$C$4:$C$233,"crwv",FundRaw!$E$4:$E$233,"2026",FundRaw!$F$4:$F$233,"fcf",FundRaw!$O$4:$O$233,1))=0,"",SUMIFS(FundRaw!$G$4:$G$233,FundRaw!$C$4:$C$233,"crwv",FundRaw!$E$4:$E$233,"2026",FundRaw!$F$4:$F$233,"fcf",FundRaw!$O$4:$O$233,1))</f>
        <v/>
      </c>
      <c r="J22" s="32" t="str">
        <f aca="false">IF((COUNTIFS(FundRaw!$C$4:$C$233,"crwv",FundRaw!$E$4:$E$233,"2026",FundRaw!$F$4:$F$233,"bond_issue",FundRaw!$O$4:$O$233,1))=0,"",SUMIFS(FundRaw!$G$4:$G$233,FundRaw!$C$4:$C$233,"crwv",FundRaw!$E$4:$E$233,"2026",FundRaw!$F$4:$F$233,"bond_issue",FundRaw!$O$4:$O$233,1))</f>
        <v/>
      </c>
      <c r="K22" s="32" t="str">
        <f aca="false">IF((COUNTIFS(FundRaw!$C$4:$C$233,"crwv",FundRaw!$E$4:$E$233,"2026",FundRaw!$F$4:$F$233,"term_loan",FundRaw!$O$4:$O$233,1))=0,"",SUMIFS(FundRaw!$G$4:$G$233,FundRaw!$C$4:$C$233,"crwv",FundRaw!$E$4:$E$233,"2026",FundRaw!$F$4:$F$233,"term_loan",FundRaw!$O$4:$O$233,1))</f>
        <v/>
      </c>
      <c r="L22" s="32" t="n">
        <f aca="false">IF((COUNTIFS(FundRaw!$C$4:$C$233,"crwv",FundRaw!$E$4:$E$233,"2026",FundRaw!$F$4:$F$233,"gpu_debt",FundRaw!$O$4:$O$233,1))=0,"",SUMIFS(FundRaw!$G$4:$G$233,FundRaw!$C$4:$C$233,"crwv",FundRaw!$E$4:$E$233,"2026",FundRaw!$F$4:$F$233,"gpu_debt",FundRaw!$O$4:$O$233,1))</f>
        <v>16.747</v>
      </c>
      <c r="M22" s="32" t="str">
        <f aca="false">IF((COUNTIFS(FundRaw!$C$4:$C$233,"crwv",FundRaw!$E$4:$E$233,"2026",FundRaw!$F$4:$F$233,"private_credit",FundRaw!$O$4:$O$233,1))=0,"",SUMIFS(FundRaw!$G$4:$G$233,FundRaw!$C$4:$C$233,"crwv",FundRaw!$E$4:$E$233,"2026",FundRaw!$F$4:$F$233,"private_credit",FundRaw!$O$4:$O$233,1))</f>
        <v/>
      </c>
      <c r="N22" s="32" t="str">
        <f aca="false">IF((COUNTIFS(FundRaw!$C$4:$C$233,"crwv",FundRaw!$E$4:$E$233,"2026",FundRaw!$F$4:$F$233,"net_debt_change",FundRaw!$O$4:$O$233,1))=0,"",SUMIFS(FundRaw!$G$4:$G$233,FundRaw!$C$4:$C$233,"crwv",FundRaw!$E$4:$E$233,"2026",FundRaw!$F$4:$F$233,"net_debt_change",FundRaw!$O$4:$O$233,1))</f>
        <v/>
      </c>
      <c r="O22" s="32" t="str">
        <f aca="false">IF((COUNTIFS(FundRaw!$C$4:$C$233,"crwv",FundRaw!$E$4:$E$233,"2026",FundRaw!$F$4:$F$233,"lease_not_commenced",FundRaw!$O$4:$O$233,1))=0,"",SUMIFS(FundRaw!$G$4:$G$233,FundRaw!$C$4:$C$233,"crwv",FundRaw!$E$4:$E$233,"2026",FundRaw!$F$4:$F$233,"lease_not_commenced",FundRaw!$O$4:$O$233,1))</f>
        <v/>
      </c>
      <c r="P22" s="32" t="str">
        <f aca="false">IF((COUNTIFS(FundRaw!$C$4:$C$233,"crwv",FundRaw!$E$4:$E$233,"2026",FundRaw!$F$4:$F$233,"jv_offbalance",FundRaw!$O$4:$O$233,1))=0,"",SUMIFS(FundRaw!$G$4:$G$233,FundRaw!$C$4:$C$233,"crwv",FundRaw!$E$4:$E$233,"2026",FundRaw!$F$4:$F$233,"jv_offbalance",FundRaw!$O$4:$O$233,1))</f>
        <v/>
      </c>
      <c r="Q22" s="32" t="str">
        <f aca="false">IF((COUNTIFS(FundRaw!$C$4:$C$233,"crwv",FundRaw!$E$4:$E$233,"2026",FundRaw!$F$4:$F$233,"jv_exposure",FundRaw!$O$4:$O$233,1))=0,"",SUMIFS(FundRaw!$G$4:$G$233,FundRaw!$C$4:$C$233,"crwv",FundRaw!$E$4:$E$233,"2026",FundRaw!$F$4:$F$233,"jv_exposure",FundRaw!$O$4:$O$233,1))</f>
        <v/>
      </c>
      <c r="R22" s="32" t="n">
        <f aca="false">IF((COUNTIFS(FundRaw!$C$4:$C$233,"crwv",FundRaw!$E$4:$E$233,"2026",FundRaw!$F$4:$F$233,"equity_round",FundRaw!$O$4:$O$233,1))=0,"",SUMIFS(FundRaw!$G$4:$G$233,FundRaw!$C$4:$C$233,"crwv",FundRaw!$E$4:$E$233,"2026",FundRaw!$F$4:$F$233,"equity_round",FundRaw!$O$4:$O$233,1))</f>
        <v>2.982</v>
      </c>
      <c r="S22" s="32" t="str">
        <f aca="false">IF((COUNTIFS(FundRaw!$C$4:$C$233,"crwv",FundRaw!$E$4:$E$233,"2026",FundRaw!$F$4:$F$233,"vendor_financing",FundRaw!$O$4:$O$233,1))=0,"",SUMIFS(FundRaw!$G$4:$G$233,FundRaw!$C$4:$C$233,"crwv",FundRaw!$E$4:$E$233,"2026",FundRaw!$F$4:$F$233,"vendor_financing",FundRaw!$O$4:$O$233,1))</f>
        <v/>
      </c>
      <c r="T22" s="32" t="str">
        <f aca="false">IF((COUNTIFS(FundRaw!$C$4:$C$233,"crwv",FundRaw!$E$4:$E$233,"2026",FundRaw!$F$4:$F$233,"buyback_div",FundRaw!$O$4:$O$233,1))=0,"",SUMIFS(FundRaw!$G$4:$G$233,FundRaw!$C$4:$C$233,"crwv",FundRaw!$E$4:$E$233,"2026",FundRaw!$F$4:$F$233,"buyback_div",FundRaw!$O$4:$O$233,1))</f>
        <v/>
      </c>
      <c r="U22" s="32" t="str">
        <f aca="false">IF((COUNTIFS(FundRaw!$C$4:$C$233,"crwv",FundRaw!$E$4:$E$233,"2026",FundRaw!$F$4:$F$233,"gpu_debt_talks",FundRaw!$O$4:$O$233,1))=0,"",SUMIFS(FundRaw!$G$4:$G$233,FundRaw!$C$4:$C$233,"crwv",FundRaw!$E$4:$E$233,"2026",FundRaw!$F$4:$F$233,"gpu_debt_talks",FundRaw!$O$4:$O$233,1))</f>
        <v/>
      </c>
      <c r="V22" s="32" t="str">
        <f aca="false">IF((COUNTIFS(FundRaw!$C$4:$C$233,"crwv",FundRaw!$E$4:$E$233,"2026",FundRaw!$F$4:$F$233,"bridge_refi",FundRaw!$O$4:$O$233,1))=0,"",SUMIFS(FundRaw!$G$4:$G$233,FundRaw!$C$4:$C$233,"crwv",FundRaw!$E$4:$E$233,"2026",FundRaw!$F$4:$F$233,"bridge_refi",FundRaw!$O$4:$O$233,1))</f>
        <v/>
      </c>
      <c r="W22" s="32" t="n">
        <f aca="false">IF(H22&lt;&gt;"",H22,IF(F22&lt;&gt;"",F22+N(G22),""))</f>
        <v>14.117</v>
      </c>
      <c r="X22" s="32" t="n">
        <f aca="false">IF(OR(W22="",E22=""),"",MAX(0,MIN(N(E22),W22-N(Y22))))</f>
        <v>3.663</v>
      </c>
      <c r="Y22" s="32" t="n">
        <f aca="false">IF(W22="","",IF(AND(H22&lt;&gt;"",F22&lt;&gt;""),MAX(0,H22-F22),N(G22)))</f>
        <v>0</v>
      </c>
      <c r="Z22" s="32" t="n">
        <f aca="false">IF(W22="","",MAX(0,MIN(N(R22),W22-N(X22)-N(Y22))))</f>
        <v>2.982</v>
      </c>
      <c r="AA22" s="32" t="n">
        <f aca="false">IF(W22="","",MAX(0,MIN(N(J22)+N(K22)+N(L22)+N(M22),W22-N(X22)-N(Y22)-N(Z22))))</f>
        <v>7.472</v>
      </c>
      <c r="AB22" s="32" t="n">
        <f aca="false">IF(W22="","",W22-N(X22)-N(Y22)-N(Z22)-N(AA22))</f>
        <v>0</v>
      </c>
      <c r="AC22" s="37" t="n">
        <f aca="false">IF(OR(W22="",N(W22)=0,X22=""),"",X22/W22)</f>
        <v>0.259474392576326</v>
      </c>
      <c r="AD22" s="37" t="n">
        <f aca="false">IF(OR(W22="",N(W22)=0,Y22=""),"",Y22/W22)</f>
        <v>0</v>
      </c>
      <c r="AE22" s="37" t="n">
        <f aca="false">IF(OR(W22="",N(W22)=0,Z22=""),"",Z22/W22)</f>
        <v>0.211234681589573</v>
      </c>
      <c r="AF22" s="37" t="n">
        <f aca="false">IF(OR(W22="",N(W22)=0,AA22=""),"",AA22/W22)</f>
        <v>0.529290925834101</v>
      </c>
      <c r="AG22" s="37" t="n">
        <f aca="false">IF(OR(W22="",N(W22)=0,AB22=""),"",AB22/W22)</f>
        <v>0</v>
      </c>
      <c r="AH22" s="32" t="n">
        <f aca="false">N(J22)+N(K22)+N(L22)+N(M22)+N(R22)+N(G22)</f>
        <v>19.729</v>
      </c>
      <c r="AI22" s="22" t="n">
        <f aca="false">IF(N(AH22)=0,"",(N(J22)+N(K22)+N(L22)+N(M22))/AH22)</f>
        <v>0.848851943839019</v>
      </c>
      <c r="AJ22" s="22" t="n">
        <f aca="false">IF(N(AH22)=0,"",(N(R22))/AH22)</f>
        <v>0.151148056160981</v>
      </c>
      <c r="AK22" s="22" t="n">
        <f aca="false">IF(N(AH22)=0,"",(N(G22))/AH22)</f>
        <v>0</v>
      </c>
      <c r="AL22" s="32" t="n">
        <f aca="false">N(J22)+N(K22)+N(L22)+N(M22)+IF(AND(H22&lt;&gt;"",F22&lt;&gt;""),MAX(0,H22-F22),N(G22))+N(P22)+N(R22)</f>
        <v>19.729</v>
      </c>
      <c r="AM22" s="37" t="n">
        <f aca="false">IF(OR(W22="",N(W22)=0),"",AL22/W22)</f>
        <v>1.39753488701565</v>
      </c>
      <c r="AN22" s="37" t="n">
        <f aca="false">IF(OR(W22="",N(W22)=0,E22=""),"",E22/W22)</f>
        <v>0.259474392576326</v>
      </c>
      <c r="AO22" s="22" t="n">
        <f aca="false">IF(OR(W22="",N(W22)=0),"",(N(J22)+N(K22)+N(L22)+N(M22))/W22)</f>
        <v>1.18630020542608</v>
      </c>
      <c r="AP22" s="22" t="n">
        <f aca="false">IF(OR(W22="",N(W22)=0),"",N(R22)/W22)</f>
        <v>0.211234681589573</v>
      </c>
      <c r="AQ22" s="22" t="n">
        <f aca="false">IF(OR(W22="",N(W22)=0),"",(IF(AND(H22&lt;&gt;"",F22&lt;&gt;""),MAX(0,H22-F22),N(G22))+N(P22))/W22)</f>
        <v>0</v>
      </c>
    </row>
    <row r="23" customFormat="false" ht="15" hidden="false" customHeight="false" outlineLevel="0" collapsed="false">
      <c r="A23" s="0" t="s">
        <v>1095</v>
      </c>
      <c r="B23" s="0" t="s">
        <v>651</v>
      </c>
      <c r="C23" s="0" t="n">
        <v>2025</v>
      </c>
      <c r="D23" s="0" t="s">
        <v>1689</v>
      </c>
      <c r="E23" s="32" t="str">
        <f aca="false">IF((COUNTIFS(FundRaw!$C$4:$C$233,"nbis",FundRaw!$E$4:$E$233,"2025",FundRaw!$F$4:$F$233,"ocf",FundRaw!$O$4:$O$233,1))=0,"",SUMIFS(FundRaw!$G$4:$G$233,FundRaw!$C$4:$C$233,"nbis",FundRaw!$E$4:$E$233,"2025",FundRaw!$F$4:$F$233,"ocf",FundRaw!$O$4:$O$233,1))</f>
        <v/>
      </c>
      <c r="F23" s="32" t="n">
        <f aca="false">IF((COUNTIFS(FundRaw!$C$4:$C$233,"nbis",FundRaw!$E$4:$E$233,"2025",FundRaw!$F$4:$F$233,"capex_cash",FundRaw!$O$4:$O$233,1))=0,"",SUMIFS(FundRaw!$G$4:$G$233,FundRaw!$C$4:$C$233,"nbis",FundRaw!$E$4:$E$233,"2025",FundRaw!$F$4:$F$233,"capex_cash",FundRaw!$O$4:$O$233,1))</f>
        <v>4.1</v>
      </c>
      <c r="G23" s="32" t="str">
        <f aca="false">IF((COUNTIFS(FundRaw!$C$4:$C$233,"nbis",FundRaw!$E$4:$E$233,"2025",FundRaw!$F$4:$F$233,"fin_lease_new",FundRaw!$O$4:$O$233,1))=0,"",SUMIFS(FundRaw!$G$4:$G$233,FundRaw!$C$4:$C$233,"nbis",FundRaw!$E$4:$E$233,"2025",FundRaw!$F$4:$F$233,"fin_lease_new",FundRaw!$O$4:$O$233,1))</f>
        <v/>
      </c>
      <c r="H23" s="32" t="str">
        <f aca="false">IF((COUNTIFS(FundRaw!$C$4:$C$233,"nbis",FundRaw!$E$4:$E$233,"2025",FundRaw!$F$4:$F$233,"capex_incl_fl",FundRaw!$O$4:$O$233,1))=0,"",SUMIFS(FundRaw!$G$4:$G$233,FundRaw!$C$4:$C$233,"nbis",FundRaw!$E$4:$E$233,"2025",FundRaw!$F$4:$F$233,"capex_incl_fl",FundRaw!$O$4:$O$233,1))</f>
        <v/>
      </c>
      <c r="I23" s="32" t="str">
        <f aca="false">IF((COUNTIFS(FundRaw!$C$4:$C$233,"nbis",FundRaw!$E$4:$E$233,"2025",FundRaw!$F$4:$F$233,"fcf",FundRaw!$O$4:$O$233,1))=0,"",SUMIFS(FundRaw!$G$4:$G$233,FundRaw!$C$4:$C$233,"nbis",FundRaw!$E$4:$E$233,"2025",FundRaw!$F$4:$F$233,"fcf",FundRaw!$O$4:$O$233,1))</f>
        <v/>
      </c>
      <c r="J23" s="32" t="str">
        <f aca="false">IF((COUNTIFS(FundRaw!$C$4:$C$233,"nbis",FundRaw!$E$4:$E$233,"2025",FundRaw!$F$4:$F$233,"bond_issue",FundRaw!$O$4:$O$233,1))=0,"",SUMIFS(FundRaw!$G$4:$G$233,FundRaw!$C$4:$C$233,"nbis",FundRaw!$E$4:$E$233,"2025",FundRaw!$F$4:$F$233,"bond_issue",FundRaw!$O$4:$O$233,1))</f>
        <v/>
      </c>
      <c r="K23" s="32" t="str">
        <f aca="false">IF((COUNTIFS(FundRaw!$C$4:$C$233,"nbis",FundRaw!$E$4:$E$233,"2025",FundRaw!$F$4:$F$233,"term_loan",FundRaw!$O$4:$O$233,1))=0,"",SUMIFS(FundRaw!$G$4:$G$233,FundRaw!$C$4:$C$233,"nbis",FundRaw!$E$4:$E$233,"2025",FundRaw!$F$4:$F$233,"term_loan",FundRaw!$O$4:$O$233,1))</f>
        <v/>
      </c>
      <c r="L23" s="32" t="str">
        <f aca="false">IF((COUNTIFS(FundRaw!$C$4:$C$233,"nbis",FundRaw!$E$4:$E$233,"2025",FundRaw!$F$4:$F$233,"gpu_debt",FundRaw!$O$4:$O$233,1))=0,"",SUMIFS(FundRaw!$G$4:$G$233,FundRaw!$C$4:$C$233,"nbis",FundRaw!$E$4:$E$233,"2025",FundRaw!$F$4:$F$233,"gpu_debt",FundRaw!$O$4:$O$233,1))</f>
        <v/>
      </c>
      <c r="M23" s="32" t="str">
        <f aca="false">IF((COUNTIFS(FundRaw!$C$4:$C$233,"nbis",FundRaw!$E$4:$E$233,"2025",FundRaw!$F$4:$F$233,"private_credit",FundRaw!$O$4:$O$233,1))=0,"",SUMIFS(FundRaw!$G$4:$G$233,FundRaw!$C$4:$C$233,"nbis",FundRaw!$E$4:$E$233,"2025",FundRaw!$F$4:$F$233,"private_credit",FundRaw!$O$4:$O$233,1))</f>
        <v/>
      </c>
      <c r="N23" s="32" t="str">
        <f aca="false">IF((COUNTIFS(FundRaw!$C$4:$C$233,"nbis",FundRaw!$E$4:$E$233,"2025",FundRaw!$F$4:$F$233,"net_debt_change",FundRaw!$O$4:$O$233,1))=0,"",SUMIFS(FundRaw!$G$4:$G$233,FundRaw!$C$4:$C$233,"nbis",FundRaw!$E$4:$E$233,"2025",FundRaw!$F$4:$F$233,"net_debt_change",FundRaw!$O$4:$O$233,1))</f>
        <v/>
      </c>
      <c r="O23" s="32" t="str">
        <f aca="false">IF((COUNTIFS(FundRaw!$C$4:$C$233,"nbis",FundRaw!$E$4:$E$233,"2025",FundRaw!$F$4:$F$233,"lease_not_commenced",FundRaw!$O$4:$O$233,1))=0,"",SUMIFS(FundRaw!$G$4:$G$233,FundRaw!$C$4:$C$233,"nbis",FundRaw!$E$4:$E$233,"2025",FundRaw!$F$4:$F$233,"lease_not_commenced",FundRaw!$O$4:$O$233,1))</f>
        <v/>
      </c>
      <c r="P23" s="32" t="str">
        <f aca="false">IF((COUNTIFS(FundRaw!$C$4:$C$233,"nbis",FundRaw!$E$4:$E$233,"2025",FundRaw!$F$4:$F$233,"jv_offbalance",FundRaw!$O$4:$O$233,1))=0,"",SUMIFS(FundRaw!$G$4:$G$233,FundRaw!$C$4:$C$233,"nbis",FundRaw!$E$4:$E$233,"2025",FundRaw!$F$4:$F$233,"jv_offbalance",FundRaw!$O$4:$O$233,1))</f>
        <v/>
      </c>
      <c r="Q23" s="32" t="str">
        <f aca="false">IF((COUNTIFS(FundRaw!$C$4:$C$233,"nbis",FundRaw!$E$4:$E$233,"2025",FundRaw!$F$4:$F$233,"jv_exposure",FundRaw!$O$4:$O$233,1))=0,"",SUMIFS(FundRaw!$G$4:$G$233,FundRaw!$C$4:$C$233,"nbis",FundRaw!$E$4:$E$233,"2025",FundRaw!$F$4:$F$233,"jv_exposure",FundRaw!$O$4:$O$233,1))</f>
        <v/>
      </c>
      <c r="R23" s="32" t="str">
        <f aca="false">IF((COUNTIFS(FundRaw!$C$4:$C$233,"nbis",FundRaw!$E$4:$E$233,"2025",FundRaw!$F$4:$F$233,"equity_round",FundRaw!$O$4:$O$233,1))=0,"",SUMIFS(FundRaw!$G$4:$G$233,FundRaw!$C$4:$C$233,"nbis",FundRaw!$E$4:$E$233,"2025",FundRaw!$F$4:$F$233,"equity_round",FundRaw!$O$4:$O$233,1))</f>
        <v/>
      </c>
      <c r="S23" s="32" t="str">
        <f aca="false">IF((COUNTIFS(FundRaw!$C$4:$C$233,"nbis",FundRaw!$E$4:$E$233,"2025",FundRaw!$F$4:$F$233,"vendor_financing",FundRaw!$O$4:$O$233,1))=0,"",SUMIFS(FundRaw!$G$4:$G$233,FundRaw!$C$4:$C$233,"nbis",FundRaw!$E$4:$E$233,"2025",FundRaw!$F$4:$F$233,"vendor_financing",FundRaw!$O$4:$O$233,1))</f>
        <v/>
      </c>
      <c r="T23" s="32" t="str">
        <f aca="false">IF((COUNTIFS(FundRaw!$C$4:$C$233,"nbis",FundRaw!$E$4:$E$233,"2025",FundRaw!$F$4:$F$233,"buyback_div",FundRaw!$O$4:$O$233,1))=0,"",SUMIFS(FundRaw!$G$4:$G$233,FundRaw!$C$4:$C$233,"nbis",FundRaw!$E$4:$E$233,"2025",FundRaw!$F$4:$F$233,"buyback_div",FundRaw!$O$4:$O$233,1))</f>
        <v/>
      </c>
      <c r="U23" s="32" t="str">
        <f aca="false">IF((COUNTIFS(FundRaw!$C$4:$C$233,"nbis",FundRaw!$E$4:$E$233,"2025",FundRaw!$F$4:$F$233,"gpu_debt_talks",FundRaw!$O$4:$O$233,1))=0,"",SUMIFS(FundRaw!$G$4:$G$233,FundRaw!$C$4:$C$233,"nbis",FundRaw!$E$4:$E$233,"2025",FundRaw!$F$4:$F$233,"gpu_debt_talks",FundRaw!$O$4:$O$233,1))</f>
        <v/>
      </c>
      <c r="V23" s="32" t="str">
        <f aca="false">IF((COUNTIFS(FundRaw!$C$4:$C$233,"nbis",FundRaw!$E$4:$E$233,"2025",FundRaw!$F$4:$F$233,"bridge_refi",FundRaw!$O$4:$O$233,1))=0,"",SUMIFS(FundRaw!$G$4:$G$233,FundRaw!$C$4:$C$233,"nbis",FundRaw!$E$4:$E$233,"2025",FundRaw!$F$4:$F$233,"bridge_refi",FundRaw!$O$4:$O$233,1))</f>
        <v/>
      </c>
      <c r="W23" s="32" t="n">
        <f aca="false">IF(H23&lt;&gt;"",H23,IF(F23&lt;&gt;"",F23+N(G23),""))</f>
        <v>4.1</v>
      </c>
      <c r="X23" s="32" t="str">
        <f aca="false">IF(OR(W23="",E23=""),"",MAX(0,MIN(N(E23),W23-N(Y23))))</f>
        <v/>
      </c>
      <c r="Y23" s="32" t="n">
        <f aca="false">IF(W23="","",IF(AND(H23&lt;&gt;"",F23&lt;&gt;""),MAX(0,H23-F23),N(G23)))</f>
        <v>0</v>
      </c>
      <c r="Z23" s="32" t="n">
        <f aca="false">IF(W23="","",MAX(0,MIN(N(R23),W23-N(X23)-N(Y23))))</f>
        <v>0</v>
      </c>
      <c r="AA23" s="32" t="n">
        <f aca="false">IF(W23="","",MAX(0,MIN(N(J23)+N(K23)+N(L23)+N(M23),W23-N(X23)-N(Y23)-N(Z23))))</f>
        <v>0</v>
      </c>
      <c r="AB23" s="32" t="n">
        <f aca="false">IF(W23="","",W23-N(X23)-N(Y23)-N(Z23)-N(AA23))</f>
        <v>4.1</v>
      </c>
      <c r="AC23" s="37" t="str">
        <f aca="false">IF(OR(W23="",N(W23)=0,X23=""),"",X23/W23)</f>
        <v/>
      </c>
      <c r="AD23" s="37" t="n">
        <f aca="false">IF(OR(W23="",N(W23)=0,Y23=""),"",Y23/W23)</f>
        <v>0</v>
      </c>
      <c r="AE23" s="37" t="n">
        <f aca="false">IF(OR(W23="",N(W23)=0,Z23=""),"",Z23/W23)</f>
        <v>0</v>
      </c>
      <c r="AF23" s="37" t="n">
        <f aca="false">IF(OR(W23="",N(W23)=0,AA23=""),"",AA23/W23)</f>
        <v>0</v>
      </c>
      <c r="AG23" s="37" t="n">
        <f aca="false">IF(OR(W23="",N(W23)=0,AB23=""),"",AB23/W23)</f>
        <v>1</v>
      </c>
      <c r="AH23" s="32" t="n">
        <f aca="false">N(J23)+N(K23)+N(L23)+N(M23)+N(R23)+N(G23)</f>
        <v>0</v>
      </c>
      <c r="AI23" s="22" t="str">
        <f aca="false">IF(N(AH23)=0,"",(N(J23)+N(K23)+N(L23)+N(M23))/AH23)</f>
        <v/>
      </c>
      <c r="AJ23" s="22" t="str">
        <f aca="false">IF(N(AH23)=0,"",(N(R23))/AH23)</f>
        <v/>
      </c>
      <c r="AK23" s="22" t="str">
        <f aca="false">IF(N(AH23)=0,"",(N(G23))/AH23)</f>
        <v/>
      </c>
      <c r="AL23" s="32" t="n">
        <f aca="false">N(J23)+N(K23)+N(L23)+N(M23)+IF(AND(H23&lt;&gt;"",F23&lt;&gt;""),MAX(0,H23-F23),N(G23))+N(P23)+N(R23)</f>
        <v>0</v>
      </c>
      <c r="AM23" s="37" t="n">
        <f aca="false">IF(OR(W23="",N(W23)=0),"",AL23/W23)</f>
        <v>0</v>
      </c>
      <c r="AN23" s="37" t="str">
        <f aca="false">IF(OR(W23="",N(W23)=0,E23=""),"",E23/W23)</f>
        <v/>
      </c>
      <c r="AO23" s="22" t="n">
        <f aca="false">IF(OR(W23="",N(W23)=0),"",(N(J23)+N(K23)+N(L23)+N(M23))/W23)</f>
        <v>0</v>
      </c>
      <c r="AP23" s="22" t="n">
        <f aca="false">IF(OR(W23="",N(W23)=0),"",N(R23)/W23)</f>
        <v>0</v>
      </c>
      <c r="AQ23" s="22" t="n">
        <f aca="false">IF(OR(W23="",N(W23)=0),"",(IF(AND(H23&lt;&gt;"",F23&lt;&gt;""),MAX(0,H23-F23),N(G23))+N(P23))/W23)</f>
        <v>0</v>
      </c>
    </row>
    <row r="24" customFormat="false" ht="15" hidden="false" customHeight="false" outlineLevel="0" collapsed="false">
      <c r="A24" s="0" t="s">
        <v>1095</v>
      </c>
      <c r="B24" s="0" t="s">
        <v>651</v>
      </c>
      <c r="C24" s="0" t="n">
        <v>2026</v>
      </c>
      <c r="D24" s="0" t="s">
        <v>1690</v>
      </c>
      <c r="E24" s="32" t="str">
        <f aca="false">IF((COUNTIFS(FundRaw!$C$4:$C$233,"nbis",FundRaw!$E$4:$E$233,"2026",FundRaw!$F$4:$F$233,"ocf",FundRaw!$O$4:$O$233,1))=0,"",SUMIFS(FundRaw!$G$4:$G$233,FundRaw!$C$4:$C$233,"nbis",FundRaw!$E$4:$E$233,"2026",FundRaw!$F$4:$F$233,"ocf",FundRaw!$O$4:$O$233,1))</f>
        <v/>
      </c>
      <c r="F24" s="32" t="n">
        <f aca="false">IF((COUNTIFS(FundRaw!$C$4:$C$233,"nbis",FundRaw!$E$4:$E$233,"2026",FundRaw!$F$4:$F$233,"capex_cash",FundRaw!$O$4:$O$233,1))=0,"",SUMIFS(FundRaw!$G$4:$G$233,FundRaw!$C$4:$C$233,"nbis",FundRaw!$E$4:$E$233,"2026",FundRaw!$F$4:$F$233,"capex_cash",FundRaw!$O$4:$O$233,1))</f>
        <v>8.13</v>
      </c>
      <c r="G24" s="32" t="str">
        <f aca="false">IF((COUNTIFS(FundRaw!$C$4:$C$233,"nbis",FundRaw!$E$4:$E$233,"2026",FundRaw!$F$4:$F$233,"fin_lease_new",FundRaw!$O$4:$O$233,1))=0,"",SUMIFS(FundRaw!$G$4:$G$233,FundRaw!$C$4:$C$233,"nbis",FundRaw!$E$4:$E$233,"2026",FundRaw!$F$4:$F$233,"fin_lease_new",FundRaw!$O$4:$O$233,1))</f>
        <v/>
      </c>
      <c r="H24" s="32" t="str">
        <f aca="false">IF((COUNTIFS(FundRaw!$C$4:$C$233,"nbis",FundRaw!$E$4:$E$233,"2026",FundRaw!$F$4:$F$233,"capex_incl_fl",FundRaw!$O$4:$O$233,1))=0,"",SUMIFS(FundRaw!$G$4:$G$233,FundRaw!$C$4:$C$233,"nbis",FundRaw!$E$4:$E$233,"2026",FundRaw!$F$4:$F$233,"capex_incl_fl",FundRaw!$O$4:$O$233,1))</f>
        <v/>
      </c>
      <c r="I24" s="32" t="n">
        <f aca="false">IF((COUNTIFS(FundRaw!$C$4:$C$233,"nbis",FundRaw!$E$4:$E$233,"2026",FundRaw!$F$4:$F$233,"fcf",FundRaw!$O$4:$O$233,1))=0,"",SUMIFS(FundRaw!$G$4:$G$233,FundRaw!$C$4:$C$233,"nbis",FundRaw!$E$4:$E$233,"2026",FundRaw!$F$4:$F$233,"fcf",FundRaw!$O$4:$O$233,1))</f>
        <v>-3.626</v>
      </c>
      <c r="J24" s="32" t="n">
        <f aca="false">IF((COUNTIFS(FundRaw!$C$4:$C$233,"nbis",FundRaw!$E$4:$E$233,"2026",FundRaw!$F$4:$F$233,"bond_issue",FundRaw!$O$4:$O$233,1))=0,"",SUMIFS(FundRaw!$G$4:$G$233,FundRaw!$C$4:$C$233,"nbis",FundRaw!$E$4:$E$233,"2026",FundRaw!$F$4:$F$233,"bond_issue",FundRaw!$O$4:$O$233,1))</f>
        <v>4.338</v>
      </c>
      <c r="K24" s="32" t="str">
        <f aca="false">IF((COUNTIFS(FundRaw!$C$4:$C$233,"nbis",FundRaw!$E$4:$E$233,"2026",FundRaw!$F$4:$F$233,"term_loan",FundRaw!$O$4:$O$233,1))=0,"",SUMIFS(FundRaw!$G$4:$G$233,FundRaw!$C$4:$C$233,"nbis",FundRaw!$E$4:$E$233,"2026",FundRaw!$F$4:$F$233,"term_loan",FundRaw!$O$4:$O$233,1))</f>
        <v/>
      </c>
      <c r="L24" s="32" t="str">
        <f aca="false">IF((COUNTIFS(FundRaw!$C$4:$C$233,"nbis",FundRaw!$E$4:$E$233,"2026",FundRaw!$F$4:$F$233,"gpu_debt",FundRaw!$O$4:$O$233,1))=0,"",SUMIFS(FundRaw!$G$4:$G$233,FundRaw!$C$4:$C$233,"nbis",FundRaw!$E$4:$E$233,"2026",FundRaw!$F$4:$F$233,"gpu_debt",FundRaw!$O$4:$O$233,1))</f>
        <v/>
      </c>
      <c r="M24" s="32" t="str">
        <f aca="false">IF((COUNTIFS(FundRaw!$C$4:$C$233,"nbis",FundRaw!$E$4:$E$233,"2026",FundRaw!$F$4:$F$233,"private_credit",FundRaw!$O$4:$O$233,1))=0,"",SUMIFS(FundRaw!$G$4:$G$233,FundRaw!$C$4:$C$233,"nbis",FundRaw!$E$4:$E$233,"2026",FundRaw!$F$4:$F$233,"private_credit",FundRaw!$O$4:$O$233,1))</f>
        <v/>
      </c>
      <c r="N24" s="32" t="str">
        <f aca="false">IF((COUNTIFS(FundRaw!$C$4:$C$233,"nbis",FundRaw!$E$4:$E$233,"2026",FundRaw!$F$4:$F$233,"net_debt_change",FundRaw!$O$4:$O$233,1))=0,"",SUMIFS(FundRaw!$G$4:$G$233,FundRaw!$C$4:$C$233,"nbis",FundRaw!$E$4:$E$233,"2026",FundRaw!$F$4:$F$233,"net_debt_change",FundRaw!$O$4:$O$233,1))</f>
        <v/>
      </c>
      <c r="O24" s="32" t="n">
        <f aca="false">IF((COUNTIFS(FundRaw!$C$4:$C$233,"nbis",FundRaw!$E$4:$E$233,"2026",FundRaw!$F$4:$F$233,"lease_not_commenced",FundRaw!$O$4:$O$233,1))=0,"",SUMIFS(FundRaw!$G$4:$G$233,FundRaw!$C$4:$C$233,"nbis",FundRaw!$E$4:$E$233,"2026",FundRaw!$F$4:$F$233,"lease_not_commenced",FundRaw!$O$4:$O$233,1))</f>
        <v>12.054</v>
      </c>
      <c r="P24" s="32" t="str">
        <f aca="false">IF((COUNTIFS(FundRaw!$C$4:$C$233,"nbis",FundRaw!$E$4:$E$233,"2026",FundRaw!$F$4:$F$233,"jv_offbalance",FundRaw!$O$4:$O$233,1))=0,"",SUMIFS(FundRaw!$G$4:$G$233,FundRaw!$C$4:$C$233,"nbis",FundRaw!$E$4:$E$233,"2026",FundRaw!$F$4:$F$233,"jv_offbalance",FundRaw!$O$4:$O$233,1))</f>
        <v/>
      </c>
      <c r="Q24" s="32" t="str">
        <f aca="false">IF((COUNTIFS(FundRaw!$C$4:$C$233,"nbis",FundRaw!$E$4:$E$233,"2026",FundRaw!$F$4:$F$233,"jv_exposure",FundRaw!$O$4:$O$233,1))=0,"",SUMIFS(FundRaw!$G$4:$G$233,FundRaw!$C$4:$C$233,"nbis",FundRaw!$E$4:$E$233,"2026",FundRaw!$F$4:$F$233,"jv_exposure",FundRaw!$O$4:$O$233,1))</f>
        <v/>
      </c>
      <c r="R24" s="32" t="n">
        <f aca="false">IF((COUNTIFS(FundRaw!$C$4:$C$233,"nbis",FundRaw!$E$4:$E$233,"2026",FundRaw!$F$4:$F$233,"equity_round",FundRaw!$O$4:$O$233,1))=0,"",SUMIFS(FundRaw!$G$4:$G$233,FundRaw!$C$4:$C$233,"nbis",FundRaw!$E$4:$E$233,"2026",FundRaw!$F$4:$F$233,"equity_round",FundRaw!$O$4:$O$233,1))</f>
        <v>4.811</v>
      </c>
      <c r="S24" s="32" t="str">
        <f aca="false">IF((COUNTIFS(FundRaw!$C$4:$C$233,"nbis",FundRaw!$E$4:$E$233,"2026",FundRaw!$F$4:$F$233,"vendor_financing",FundRaw!$O$4:$O$233,1))=0,"",SUMIFS(FundRaw!$G$4:$G$233,FundRaw!$C$4:$C$233,"nbis",FundRaw!$E$4:$E$233,"2026",FundRaw!$F$4:$F$233,"vendor_financing",FundRaw!$O$4:$O$233,1))</f>
        <v/>
      </c>
      <c r="T24" s="32" t="str">
        <f aca="false">IF((COUNTIFS(FundRaw!$C$4:$C$233,"nbis",FundRaw!$E$4:$E$233,"2026",FundRaw!$F$4:$F$233,"buyback_div",FundRaw!$O$4:$O$233,1))=0,"",SUMIFS(FundRaw!$G$4:$G$233,FundRaw!$C$4:$C$233,"nbis",FundRaw!$E$4:$E$233,"2026",FundRaw!$F$4:$F$233,"buyback_div",FundRaw!$O$4:$O$233,1))</f>
        <v/>
      </c>
      <c r="U24" s="32" t="str">
        <f aca="false">IF((COUNTIFS(FundRaw!$C$4:$C$233,"nbis",FundRaw!$E$4:$E$233,"2026",FundRaw!$F$4:$F$233,"gpu_debt_talks",FundRaw!$O$4:$O$233,1))=0,"",SUMIFS(FundRaw!$G$4:$G$233,FundRaw!$C$4:$C$233,"nbis",FundRaw!$E$4:$E$233,"2026",FundRaw!$F$4:$F$233,"gpu_debt_talks",FundRaw!$O$4:$O$233,1))</f>
        <v/>
      </c>
      <c r="V24" s="32" t="str">
        <f aca="false">IF((COUNTIFS(FundRaw!$C$4:$C$233,"nbis",FundRaw!$E$4:$E$233,"2026",FundRaw!$F$4:$F$233,"bridge_refi",FundRaw!$O$4:$O$233,1))=0,"",SUMIFS(FundRaw!$G$4:$G$233,FundRaw!$C$4:$C$233,"nbis",FundRaw!$E$4:$E$233,"2026",FundRaw!$F$4:$F$233,"bridge_refi",FundRaw!$O$4:$O$233,1))</f>
        <v/>
      </c>
      <c r="W24" s="32" t="n">
        <f aca="false">IF(H24&lt;&gt;"",H24,IF(F24&lt;&gt;"",F24+N(G24),""))</f>
        <v>8.13</v>
      </c>
      <c r="X24" s="32" t="str">
        <f aca="false">IF(OR(W24="",E24=""),"",MAX(0,MIN(N(E24),W24-N(Y24))))</f>
        <v/>
      </c>
      <c r="Y24" s="32" t="n">
        <f aca="false">IF(W24="","",IF(AND(H24&lt;&gt;"",F24&lt;&gt;""),MAX(0,H24-F24),N(G24)))</f>
        <v>0</v>
      </c>
      <c r="Z24" s="32" t="n">
        <f aca="false">IF(W24="","",MAX(0,MIN(N(R24),W24-N(X24)-N(Y24))))</f>
        <v>4.811</v>
      </c>
      <c r="AA24" s="32" t="n">
        <f aca="false">IF(W24="","",MAX(0,MIN(N(J24)+N(K24)+N(L24)+N(M24),W24-N(X24)-N(Y24)-N(Z24))))</f>
        <v>3.319</v>
      </c>
      <c r="AB24" s="32" t="n">
        <f aca="false">IF(W24="","",W24-N(X24)-N(Y24)-N(Z24)-N(AA24))</f>
        <v>0</v>
      </c>
      <c r="AC24" s="37" t="str">
        <f aca="false">IF(OR(W24="",N(W24)=0,X24=""),"",X24/W24)</f>
        <v/>
      </c>
      <c r="AD24" s="37" t="n">
        <f aca="false">IF(OR(W24="",N(W24)=0,Y24=""),"",Y24/W24)</f>
        <v>0</v>
      </c>
      <c r="AE24" s="37" t="n">
        <f aca="false">IF(OR(W24="",N(W24)=0,Z24=""),"",Z24/W24)</f>
        <v>0.591758917589176</v>
      </c>
      <c r="AF24" s="37" t="n">
        <f aca="false">IF(OR(W24="",N(W24)=0,AA24=""),"",AA24/W24)</f>
        <v>0.408241082410824</v>
      </c>
      <c r="AG24" s="37" t="n">
        <f aca="false">IF(OR(W24="",N(W24)=0,AB24=""),"",AB24/W24)</f>
        <v>0</v>
      </c>
      <c r="AH24" s="32" t="n">
        <f aca="false">N(J24)+N(K24)+N(L24)+N(M24)+N(R24)+N(G24)</f>
        <v>9.149</v>
      </c>
      <c r="AI24" s="22" t="n">
        <f aca="false">IF(N(AH24)=0,"",(N(J24)+N(K24)+N(L24)+N(M24))/AH24)</f>
        <v>0.474150180347579</v>
      </c>
      <c r="AJ24" s="22" t="n">
        <f aca="false">IF(N(AH24)=0,"",(N(R24))/AH24)</f>
        <v>0.525849819652421</v>
      </c>
      <c r="AK24" s="22" t="n">
        <f aca="false">IF(N(AH24)=0,"",(N(G24))/AH24)</f>
        <v>0</v>
      </c>
      <c r="AL24" s="32" t="n">
        <f aca="false">N(J24)+N(K24)+N(L24)+N(M24)+IF(AND(H24&lt;&gt;"",F24&lt;&gt;""),MAX(0,H24-F24),N(G24))+N(P24)+N(R24)</f>
        <v>9.149</v>
      </c>
      <c r="AM24" s="37" t="n">
        <f aca="false">IF(OR(W24="",N(W24)=0),"",AL24/W24)</f>
        <v>1.12533825338253</v>
      </c>
      <c r="AN24" s="37" t="str">
        <f aca="false">IF(OR(W24="",N(W24)=0,E24=""),"",E24/W24)</f>
        <v/>
      </c>
      <c r="AO24" s="22" t="n">
        <f aca="false">IF(OR(W24="",N(W24)=0),"",(N(J24)+N(K24)+N(L24)+N(M24))/W24)</f>
        <v>0.533579335793358</v>
      </c>
      <c r="AP24" s="22" t="n">
        <f aca="false">IF(OR(W24="",N(W24)=0),"",N(R24)/W24)</f>
        <v>0.591758917589176</v>
      </c>
      <c r="AQ24" s="22" t="n">
        <f aca="false">IF(OR(W24="",N(W24)=0),"",(IF(AND(H24&lt;&gt;"",F24&lt;&gt;""),MAX(0,H24-F24),N(G24))+N(P24))/W24)</f>
        <v>0</v>
      </c>
    </row>
    <row r="25" customFormat="false" ht="17.15" hidden="false" customHeight="false" outlineLevel="0" collapsed="false">
      <c r="A25" s="0" t="s">
        <v>1694</v>
      </c>
      <c r="B25" s="0" t="s">
        <v>535</v>
      </c>
      <c r="C25" s="0" t="n">
        <v>2025</v>
      </c>
      <c r="D25" s="0" t="s">
        <v>1689</v>
      </c>
      <c r="E25" s="32" t="n">
        <f aca="false">IF((COUNTIFS(FundRaw!$C$4:$C$233,"xai",FundRaw!$E$4:$E$233,"2025",FundRaw!$F$4:$F$233,"ocf",FundRaw!$O$4:$O$233,1))=0,"",SUMIFS(FundRaw!$G$4:$G$233,FundRaw!$C$4:$C$233,"xai",FundRaw!$E$4:$E$233,"2025",FundRaw!$F$4:$F$233,"ocf",FundRaw!$O$4:$O$233,1))</f>
        <v>6.8</v>
      </c>
      <c r="F25" s="32" t="n">
        <f aca="false">IF((COUNTIFS(FundRaw!$C$4:$C$233,"xai",FundRaw!$E$4:$E$233,"2025",FundRaw!$F$4:$F$233,"capex_cash",FundRaw!$O$4:$O$233,1))=0,"",SUMIFS(FundRaw!$G$4:$G$233,FundRaw!$C$4:$C$233,"xai",FundRaw!$E$4:$E$233,"2025",FundRaw!$F$4:$F$233,"capex_cash",FundRaw!$O$4:$O$233,1))</f>
        <v>20.7</v>
      </c>
      <c r="G25" s="32" t="str">
        <f aca="false">IF((COUNTIFS(FundRaw!$C$4:$C$233,"xai",FundRaw!$E$4:$E$233,"2025",FundRaw!$F$4:$F$233,"fin_lease_new",FundRaw!$O$4:$O$233,1))=0,"",SUMIFS(FundRaw!$G$4:$G$233,FundRaw!$C$4:$C$233,"xai",FundRaw!$E$4:$E$233,"2025",FundRaw!$F$4:$F$233,"fin_lease_new",FundRaw!$O$4:$O$233,1))</f>
        <v/>
      </c>
      <c r="H25" s="32" t="str">
        <f aca="false">IF((COUNTIFS(FundRaw!$C$4:$C$233,"xai",FundRaw!$E$4:$E$233,"2025",FundRaw!$F$4:$F$233,"capex_incl_fl",FundRaw!$O$4:$O$233,1))=0,"",SUMIFS(FundRaw!$G$4:$G$233,FundRaw!$C$4:$C$233,"xai",FundRaw!$E$4:$E$233,"2025",FundRaw!$F$4:$F$233,"capex_incl_fl",FundRaw!$O$4:$O$233,1))</f>
        <v/>
      </c>
      <c r="I25" s="32" t="n">
        <f aca="false">IF((COUNTIFS(FundRaw!$C$4:$C$233,"xai",FundRaw!$E$4:$E$233,"2025",FundRaw!$F$4:$F$233,"fcf",FundRaw!$O$4:$O$233,1))=0,"",SUMIFS(FundRaw!$G$4:$G$233,FundRaw!$C$4:$C$233,"xai",FundRaw!$E$4:$E$233,"2025",FundRaw!$F$4:$F$233,"fcf",FundRaw!$O$4:$O$233,1))</f>
        <v>-13.9</v>
      </c>
      <c r="J25" s="32" t="str">
        <f aca="false">IF((COUNTIFS(FundRaw!$C$4:$C$233,"xai",FundRaw!$E$4:$E$233,"2025",FundRaw!$F$4:$F$233,"bond_issue",FundRaw!$O$4:$O$233,1))=0,"",SUMIFS(FundRaw!$G$4:$G$233,FundRaw!$C$4:$C$233,"xai",FundRaw!$E$4:$E$233,"2025",FundRaw!$F$4:$F$233,"bond_issue",FundRaw!$O$4:$O$233,1))</f>
        <v/>
      </c>
      <c r="K25" s="32" t="str">
        <f aca="false">IF((COUNTIFS(FundRaw!$C$4:$C$233,"xai",FundRaw!$E$4:$E$233,"2025",FundRaw!$F$4:$F$233,"term_loan",FundRaw!$O$4:$O$233,1))=0,"",SUMIFS(FundRaw!$G$4:$G$233,FundRaw!$C$4:$C$233,"xai",FundRaw!$E$4:$E$233,"2025",FundRaw!$F$4:$F$233,"term_loan",FundRaw!$O$4:$O$233,1))</f>
        <v/>
      </c>
      <c r="L25" s="32" t="n">
        <f aca="false">IF((COUNTIFS(FundRaw!$C$4:$C$233,"xai",FundRaw!$E$4:$E$233,"2025",FundRaw!$F$4:$F$233,"gpu_debt",FundRaw!$O$4:$O$233,1))=0,"",SUMIFS(FundRaw!$G$4:$G$233,FundRaw!$C$4:$C$233,"xai",FundRaw!$E$4:$E$233,"2025",FundRaw!$F$4:$F$233,"gpu_debt",FundRaw!$O$4:$O$233,1))</f>
        <v>16</v>
      </c>
      <c r="M25" s="32" t="str">
        <f aca="false">IF((COUNTIFS(FundRaw!$C$4:$C$233,"xai",FundRaw!$E$4:$E$233,"2025",FundRaw!$F$4:$F$233,"private_credit",FundRaw!$O$4:$O$233,1))=0,"",SUMIFS(FundRaw!$G$4:$G$233,FundRaw!$C$4:$C$233,"xai",FundRaw!$E$4:$E$233,"2025",FundRaw!$F$4:$F$233,"private_credit",FundRaw!$O$4:$O$233,1))</f>
        <v/>
      </c>
      <c r="N25" s="32" t="str">
        <f aca="false">IF((COUNTIFS(FundRaw!$C$4:$C$233,"xai",FundRaw!$E$4:$E$233,"2025",FundRaw!$F$4:$F$233,"net_debt_change",FundRaw!$O$4:$O$233,1))=0,"",SUMIFS(FundRaw!$G$4:$G$233,FundRaw!$C$4:$C$233,"xai",FundRaw!$E$4:$E$233,"2025",FundRaw!$F$4:$F$233,"net_debt_change",FundRaw!$O$4:$O$233,1))</f>
        <v/>
      </c>
      <c r="O25" s="32" t="str">
        <f aca="false">IF((COUNTIFS(FundRaw!$C$4:$C$233,"xai",FundRaw!$E$4:$E$233,"2025",FundRaw!$F$4:$F$233,"lease_not_commenced",FundRaw!$O$4:$O$233,1))=0,"",SUMIFS(FundRaw!$G$4:$G$233,FundRaw!$C$4:$C$233,"xai",FundRaw!$E$4:$E$233,"2025",FundRaw!$F$4:$F$233,"lease_not_commenced",FundRaw!$O$4:$O$233,1))</f>
        <v/>
      </c>
      <c r="P25" s="32" t="str">
        <f aca="false">IF((COUNTIFS(FundRaw!$C$4:$C$233,"xai",FundRaw!$E$4:$E$233,"2025",FundRaw!$F$4:$F$233,"jv_offbalance",FundRaw!$O$4:$O$233,1))=0,"",SUMIFS(FundRaw!$G$4:$G$233,FundRaw!$C$4:$C$233,"xai",FundRaw!$E$4:$E$233,"2025",FundRaw!$F$4:$F$233,"jv_offbalance",FundRaw!$O$4:$O$233,1))</f>
        <v/>
      </c>
      <c r="Q25" s="32" t="str">
        <f aca="false">IF((COUNTIFS(FundRaw!$C$4:$C$233,"xai",FundRaw!$E$4:$E$233,"2025",FundRaw!$F$4:$F$233,"jv_exposure",FundRaw!$O$4:$O$233,1))=0,"",SUMIFS(FundRaw!$G$4:$G$233,FundRaw!$C$4:$C$233,"xai",FundRaw!$E$4:$E$233,"2025",FundRaw!$F$4:$F$233,"jv_exposure",FundRaw!$O$4:$O$233,1))</f>
        <v/>
      </c>
      <c r="R25" s="32" t="str">
        <f aca="false">IF((COUNTIFS(FundRaw!$C$4:$C$233,"xai",FundRaw!$E$4:$E$233,"2025",FundRaw!$F$4:$F$233,"equity_round",FundRaw!$O$4:$O$233,1))=0,"",SUMIFS(FundRaw!$G$4:$G$233,FundRaw!$C$4:$C$233,"xai",FundRaw!$E$4:$E$233,"2025",FundRaw!$F$4:$F$233,"equity_round",FundRaw!$O$4:$O$233,1))</f>
        <v/>
      </c>
      <c r="S25" s="32" t="str">
        <f aca="false">IF((COUNTIFS(FundRaw!$C$4:$C$233,"xai",FundRaw!$E$4:$E$233,"2025",FundRaw!$F$4:$F$233,"vendor_financing",FundRaw!$O$4:$O$233,1))=0,"",SUMIFS(FundRaw!$G$4:$G$233,FundRaw!$C$4:$C$233,"xai",FundRaw!$E$4:$E$233,"2025",FundRaw!$F$4:$F$233,"vendor_financing",FundRaw!$O$4:$O$233,1))</f>
        <v/>
      </c>
      <c r="T25" s="32" t="str">
        <f aca="false">IF((COUNTIFS(FundRaw!$C$4:$C$233,"xai",FundRaw!$E$4:$E$233,"2025",FundRaw!$F$4:$F$233,"buyback_div",FundRaw!$O$4:$O$233,1))=0,"",SUMIFS(FundRaw!$G$4:$G$233,FundRaw!$C$4:$C$233,"xai",FundRaw!$E$4:$E$233,"2025",FundRaw!$F$4:$F$233,"buyback_div",FundRaw!$O$4:$O$233,1))</f>
        <v/>
      </c>
      <c r="U25" s="32" t="str">
        <f aca="false">IF((COUNTIFS(FundRaw!$C$4:$C$233,"xai",FundRaw!$E$4:$E$233,"2025",FundRaw!$F$4:$F$233,"gpu_debt_talks",FundRaw!$O$4:$O$233,1))=0,"",SUMIFS(FundRaw!$G$4:$G$233,FundRaw!$C$4:$C$233,"xai",FundRaw!$E$4:$E$233,"2025",FundRaw!$F$4:$F$233,"gpu_debt_talks",FundRaw!$O$4:$O$233,1))</f>
        <v/>
      </c>
      <c r="V25" s="32" t="str">
        <f aca="false">IF((COUNTIFS(FundRaw!$C$4:$C$233,"xai",FundRaw!$E$4:$E$233,"2025",FundRaw!$F$4:$F$233,"bridge_refi",FundRaw!$O$4:$O$233,1))=0,"",SUMIFS(FundRaw!$G$4:$G$233,FundRaw!$C$4:$C$233,"xai",FundRaw!$E$4:$E$233,"2025",FundRaw!$F$4:$F$233,"bridge_refi",FundRaw!$O$4:$O$233,1))</f>
        <v/>
      </c>
      <c r="W25" s="32" t="n">
        <f aca="false">IF(H25&lt;&gt;"",H25,IF(F25&lt;&gt;"",F25+N(G25),""))</f>
        <v>20.7</v>
      </c>
      <c r="X25" s="32" t="n">
        <f aca="false">IF(OR(W25="",E25=""),"",MAX(0,MIN(N(E25),W25-N(Y25))))</f>
        <v>6.8</v>
      </c>
      <c r="Y25" s="32" t="n">
        <f aca="false">IF(W25="","",IF(AND(H25&lt;&gt;"",F25&lt;&gt;""),MAX(0,H25-F25),N(G25)))</f>
        <v>0</v>
      </c>
      <c r="Z25" s="32" t="n">
        <f aca="false">IF(W25="","",MAX(0,MIN(N(R25),W25-N(X25)-N(Y25))))</f>
        <v>0</v>
      </c>
      <c r="AA25" s="32" t="n">
        <f aca="false">IF(W25="","",MAX(0,MIN(N(J25)+N(K25)+N(L25)+N(M25),W25-N(X25)-N(Y25)-N(Z25))))</f>
        <v>13.9</v>
      </c>
      <c r="AB25" s="32" t="n">
        <f aca="false">IF(W25="","",W25-N(X25)-N(Y25)-N(Z25)-N(AA25))</f>
        <v>0</v>
      </c>
      <c r="AC25" s="37" t="n">
        <f aca="false">IF(OR(W25="",N(W25)=0,X25=""),"",X25/W25)</f>
        <v>0.328502415458937</v>
      </c>
      <c r="AD25" s="37" t="n">
        <f aca="false">IF(OR(W25="",N(W25)=0,Y25=""),"",Y25/W25)</f>
        <v>0</v>
      </c>
      <c r="AE25" s="37" t="n">
        <f aca="false">IF(OR(W25="",N(W25)=0,Z25=""),"",Z25/W25)</f>
        <v>0</v>
      </c>
      <c r="AF25" s="37" t="n">
        <f aca="false">IF(OR(W25="",N(W25)=0,AA25=""),"",AA25/W25)</f>
        <v>0.671497584541063</v>
      </c>
      <c r="AG25" s="37" t="n">
        <f aca="false">IF(OR(W25="",N(W25)=0,AB25=""),"",AB25/W25)</f>
        <v>0</v>
      </c>
      <c r="AH25" s="32" t="n">
        <f aca="false">N(J25)+N(K25)+N(L25)+N(M25)+N(R25)+N(G25)</f>
        <v>16</v>
      </c>
      <c r="AI25" s="22" t="n">
        <f aca="false">IF(N(AH25)=0,"",(N(J25)+N(K25)+N(L25)+N(M25))/AH25)</f>
        <v>1</v>
      </c>
      <c r="AJ25" s="22" t="n">
        <f aca="false">IF(N(AH25)=0,"",(N(R25))/AH25)</f>
        <v>0</v>
      </c>
      <c r="AK25" s="22" t="n">
        <f aca="false">IF(N(AH25)=0,"",(N(G25))/AH25)</f>
        <v>0</v>
      </c>
      <c r="AL25" s="32" t="n">
        <f aca="false">N(J25)+N(K25)+N(L25)+N(M25)+IF(AND(H25&lt;&gt;"",F25&lt;&gt;""),MAX(0,H25-F25),N(G25))+N(P25)+N(R25)</f>
        <v>16</v>
      </c>
      <c r="AM25" s="37" t="n">
        <f aca="false">IF(OR(W25="",N(W25)=0),"",AL25/W25)</f>
        <v>0.772946859903382</v>
      </c>
      <c r="AN25" s="37" t="n">
        <f aca="false">IF(OR(W25="",N(W25)=0,E25=""),"",E25/W25)</f>
        <v>0.328502415458937</v>
      </c>
      <c r="AO25" s="22" t="n">
        <f aca="false">IF(OR(W25="",N(W25)=0),"",(N(J25)+N(K25)+N(L25)+N(M25))/W25)</f>
        <v>0.772946859903382</v>
      </c>
      <c r="AP25" s="22" t="n">
        <f aca="false">IF(OR(W25="",N(W25)=0),"",N(R25)/W25)</f>
        <v>0</v>
      </c>
      <c r="AQ25" s="22" t="n">
        <f aca="false">IF(OR(W25="",N(W25)=0),"",(IF(AND(H25&lt;&gt;"",F25&lt;&gt;""),MAX(0,H25-F25),N(G25))+N(P25))/W25)</f>
        <v>0</v>
      </c>
    </row>
    <row r="26" customFormat="false" ht="17.15" hidden="false" customHeight="false" outlineLevel="0" collapsed="false">
      <c r="A26" s="0" t="s">
        <v>1694</v>
      </c>
      <c r="B26" s="0" t="s">
        <v>535</v>
      </c>
      <c r="C26" s="0" t="n">
        <v>2026</v>
      </c>
      <c r="D26" s="0" t="s">
        <v>1690</v>
      </c>
      <c r="E26" s="32" t="n">
        <f aca="false">IF((COUNTIFS(FundRaw!$C$4:$C$233,"xai",FundRaw!$E$4:$E$233,"2026",FundRaw!$F$4:$F$233,"ocf",FundRaw!$O$4:$O$233,1))=0,"",SUMIFS(FundRaw!$G$4:$G$233,FundRaw!$C$4:$C$233,"xai",FundRaw!$E$4:$E$233,"2026",FundRaw!$F$4:$F$233,"ocf",FundRaw!$O$4:$O$233,1))</f>
        <v>3.47</v>
      </c>
      <c r="F26" s="32" t="n">
        <f aca="false">IF((COUNTIFS(FundRaw!$C$4:$C$233,"xai",FundRaw!$E$4:$E$233,"2026",FundRaw!$F$4:$F$233,"capex_cash",FundRaw!$O$4:$O$233,1))=0,"",SUMIFS(FundRaw!$G$4:$G$233,FundRaw!$C$4:$C$233,"xai",FundRaw!$E$4:$E$233,"2026",FundRaw!$F$4:$F$233,"capex_cash",FundRaw!$O$4:$O$233,1))</f>
        <v>28.5</v>
      </c>
      <c r="G26" s="32" t="str">
        <f aca="false">IF((COUNTIFS(FundRaw!$C$4:$C$233,"xai",FundRaw!$E$4:$E$233,"2026",FundRaw!$F$4:$F$233,"fin_lease_new",FundRaw!$O$4:$O$233,1))=0,"",SUMIFS(FundRaw!$G$4:$G$233,FundRaw!$C$4:$C$233,"xai",FundRaw!$E$4:$E$233,"2026",FundRaw!$F$4:$F$233,"fin_lease_new",FundRaw!$O$4:$O$233,1))</f>
        <v/>
      </c>
      <c r="H26" s="32" t="str">
        <f aca="false">IF((COUNTIFS(FundRaw!$C$4:$C$233,"xai",FundRaw!$E$4:$E$233,"2026",FundRaw!$F$4:$F$233,"capex_incl_fl",FundRaw!$O$4:$O$233,1))=0,"",SUMIFS(FundRaw!$G$4:$G$233,FundRaw!$C$4:$C$233,"xai",FundRaw!$E$4:$E$233,"2026",FundRaw!$F$4:$F$233,"capex_incl_fl",FundRaw!$O$4:$O$233,1))</f>
        <v/>
      </c>
      <c r="I26" s="32" t="str">
        <f aca="false">IF((COUNTIFS(FundRaw!$C$4:$C$233,"xai",FundRaw!$E$4:$E$233,"2026",FundRaw!$F$4:$F$233,"fcf",FundRaw!$O$4:$O$233,1))=0,"",SUMIFS(FundRaw!$G$4:$G$233,FundRaw!$C$4:$C$233,"xai",FundRaw!$E$4:$E$233,"2026",FundRaw!$F$4:$F$233,"fcf",FundRaw!$O$4:$O$233,1))</f>
        <v/>
      </c>
      <c r="J26" s="32" t="n">
        <f aca="false">IF((COUNTIFS(FundRaw!$C$4:$C$233,"xai",FundRaw!$E$4:$E$233,"2026",FundRaw!$F$4:$F$233,"bond_issue",FundRaw!$O$4:$O$233,1))=0,"",SUMIFS(FundRaw!$G$4:$G$233,FundRaw!$C$4:$C$233,"xai",FundRaw!$E$4:$E$233,"2026",FundRaw!$F$4:$F$233,"bond_issue",FundRaw!$O$4:$O$233,1))</f>
        <v>25</v>
      </c>
      <c r="K26" s="32" t="str">
        <f aca="false">IF((COUNTIFS(FundRaw!$C$4:$C$233,"xai",FundRaw!$E$4:$E$233,"2026",FundRaw!$F$4:$F$233,"term_loan",FundRaw!$O$4:$O$233,1))=0,"",SUMIFS(FundRaw!$G$4:$G$233,FundRaw!$C$4:$C$233,"xai",FundRaw!$E$4:$E$233,"2026",FundRaw!$F$4:$F$233,"term_loan",FundRaw!$O$4:$O$233,1))</f>
        <v/>
      </c>
      <c r="L26" s="32" t="str">
        <f aca="false">IF((COUNTIFS(FundRaw!$C$4:$C$233,"xai",FundRaw!$E$4:$E$233,"2026",FundRaw!$F$4:$F$233,"gpu_debt",FundRaw!$O$4:$O$233,1))=0,"",SUMIFS(FundRaw!$G$4:$G$233,FundRaw!$C$4:$C$233,"xai",FundRaw!$E$4:$E$233,"2026",FundRaw!$F$4:$F$233,"gpu_debt",FundRaw!$O$4:$O$233,1))</f>
        <v/>
      </c>
      <c r="M26" s="32" t="str">
        <f aca="false">IF((COUNTIFS(FundRaw!$C$4:$C$233,"xai",FundRaw!$E$4:$E$233,"2026",FundRaw!$F$4:$F$233,"private_credit",FundRaw!$O$4:$O$233,1))=0,"",SUMIFS(FundRaw!$G$4:$G$233,FundRaw!$C$4:$C$233,"xai",FundRaw!$E$4:$E$233,"2026",FundRaw!$F$4:$F$233,"private_credit",FundRaw!$O$4:$O$233,1))</f>
        <v/>
      </c>
      <c r="N26" s="32" t="str">
        <f aca="false">IF((COUNTIFS(FundRaw!$C$4:$C$233,"xai",FundRaw!$E$4:$E$233,"2026",FundRaw!$F$4:$F$233,"net_debt_change",FundRaw!$O$4:$O$233,1))=0,"",SUMIFS(FundRaw!$G$4:$G$233,FundRaw!$C$4:$C$233,"xai",FundRaw!$E$4:$E$233,"2026",FundRaw!$F$4:$F$233,"net_debt_change",FundRaw!$O$4:$O$233,1))</f>
        <v/>
      </c>
      <c r="O26" s="32" t="str">
        <f aca="false">IF((COUNTIFS(FundRaw!$C$4:$C$233,"xai",FundRaw!$E$4:$E$233,"2026",FundRaw!$F$4:$F$233,"lease_not_commenced",FundRaw!$O$4:$O$233,1))=0,"",SUMIFS(FundRaw!$G$4:$G$233,FundRaw!$C$4:$C$233,"xai",FundRaw!$E$4:$E$233,"2026",FundRaw!$F$4:$F$233,"lease_not_commenced",FundRaw!$O$4:$O$233,1))</f>
        <v/>
      </c>
      <c r="P26" s="32" t="str">
        <f aca="false">IF((COUNTIFS(FundRaw!$C$4:$C$233,"xai",FundRaw!$E$4:$E$233,"2026",FundRaw!$F$4:$F$233,"jv_offbalance",FundRaw!$O$4:$O$233,1))=0,"",SUMIFS(FundRaw!$G$4:$G$233,FundRaw!$C$4:$C$233,"xai",FundRaw!$E$4:$E$233,"2026",FundRaw!$F$4:$F$233,"jv_offbalance",FundRaw!$O$4:$O$233,1))</f>
        <v/>
      </c>
      <c r="Q26" s="32" t="str">
        <f aca="false">IF((COUNTIFS(FundRaw!$C$4:$C$233,"xai",FundRaw!$E$4:$E$233,"2026",FundRaw!$F$4:$F$233,"jv_exposure",FundRaw!$O$4:$O$233,1))=0,"",SUMIFS(FundRaw!$G$4:$G$233,FundRaw!$C$4:$C$233,"xai",FundRaw!$E$4:$E$233,"2026",FundRaw!$F$4:$F$233,"jv_exposure",FundRaw!$O$4:$O$233,1))</f>
        <v/>
      </c>
      <c r="R26" s="32" t="n">
        <f aca="false">IF((COUNTIFS(FundRaw!$C$4:$C$233,"xai",FundRaw!$E$4:$E$233,"2026",FundRaw!$F$4:$F$233,"equity_round",FundRaw!$O$4:$O$233,1))=0,"",SUMIFS(FundRaw!$G$4:$G$233,FundRaw!$C$4:$C$233,"xai",FundRaw!$E$4:$E$233,"2026",FundRaw!$F$4:$F$233,"equity_round",FundRaw!$O$4:$O$233,1))</f>
        <v>75</v>
      </c>
      <c r="S26" s="32" t="str">
        <f aca="false">IF((COUNTIFS(FundRaw!$C$4:$C$233,"xai",FundRaw!$E$4:$E$233,"2026",FundRaw!$F$4:$F$233,"vendor_financing",FundRaw!$O$4:$O$233,1))=0,"",SUMIFS(FundRaw!$G$4:$G$233,FundRaw!$C$4:$C$233,"xai",FundRaw!$E$4:$E$233,"2026",FundRaw!$F$4:$F$233,"vendor_financing",FundRaw!$O$4:$O$233,1))</f>
        <v/>
      </c>
      <c r="T26" s="32" t="str">
        <f aca="false">IF((COUNTIFS(FundRaw!$C$4:$C$233,"xai",FundRaw!$E$4:$E$233,"2026",FundRaw!$F$4:$F$233,"buyback_div",FundRaw!$O$4:$O$233,1))=0,"",SUMIFS(FundRaw!$G$4:$G$233,FundRaw!$C$4:$C$233,"xai",FundRaw!$E$4:$E$233,"2026",FundRaw!$F$4:$F$233,"buyback_div",FundRaw!$O$4:$O$233,1))</f>
        <v/>
      </c>
      <c r="U26" s="32" t="str">
        <f aca="false">IF((COUNTIFS(FundRaw!$C$4:$C$233,"xai",FundRaw!$E$4:$E$233,"2026",FundRaw!$F$4:$F$233,"gpu_debt_talks",FundRaw!$O$4:$O$233,1))=0,"",SUMIFS(FundRaw!$G$4:$G$233,FundRaw!$C$4:$C$233,"xai",FundRaw!$E$4:$E$233,"2026",FundRaw!$F$4:$F$233,"gpu_debt_talks",FundRaw!$O$4:$O$233,1))</f>
        <v/>
      </c>
      <c r="V26" s="32" t="n">
        <f aca="false">IF((COUNTIFS(FundRaw!$C$4:$C$233,"xai",FundRaw!$E$4:$E$233,"2026",FundRaw!$F$4:$F$233,"bridge_refi",FundRaw!$O$4:$O$233,1))=0,"",SUMIFS(FundRaw!$G$4:$G$233,FundRaw!$C$4:$C$233,"xai",FundRaw!$E$4:$E$233,"2026",FundRaw!$F$4:$F$233,"bridge_refi",FundRaw!$O$4:$O$233,1))</f>
        <v>20</v>
      </c>
      <c r="W26" s="32" t="n">
        <f aca="false">IF(H26&lt;&gt;"",H26,IF(F26&lt;&gt;"",F26+N(G26),""))</f>
        <v>28.5</v>
      </c>
      <c r="X26" s="32" t="n">
        <f aca="false">IF(OR(W26="",E26=""),"",MAX(0,MIN(N(E26),W26-N(Y26))))</f>
        <v>3.47</v>
      </c>
      <c r="Y26" s="32" t="n">
        <f aca="false">IF(W26="","",IF(AND(H26&lt;&gt;"",F26&lt;&gt;""),MAX(0,H26-F26),N(G26)))</f>
        <v>0</v>
      </c>
      <c r="Z26" s="32" t="n">
        <f aca="false">IF(W26="","",MAX(0,MIN(N(R26),W26-N(X26)-N(Y26))))</f>
        <v>25.03</v>
      </c>
      <c r="AA26" s="32" t="n">
        <f aca="false">IF(W26="","",MAX(0,MIN(N(J26)+N(K26)+N(L26)+N(M26),W26-N(X26)-N(Y26)-N(Z26))))</f>
        <v>0</v>
      </c>
      <c r="AB26" s="32" t="n">
        <f aca="false">IF(W26="","",W26-N(X26)-N(Y26)-N(Z26)-N(AA26))</f>
        <v>0</v>
      </c>
      <c r="AC26" s="37" t="n">
        <f aca="false">IF(OR(W26="",N(W26)=0,X26=""),"",X26/W26)</f>
        <v>0.121754385964912</v>
      </c>
      <c r="AD26" s="37" t="n">
        <f aca="false">IF(OR(W26="",N(W26)=0,Y26=""),"",Y26/W26)</f>
        <v>0</v>
      </c>
      <c r="AE26" s="37" t="n">
        <f aca="false">IF(OR(W26="",N(W26)=0,Z26=""),"",Z26/W26)</f>
        <v>0.878245614035088</v>
      </c>
      <c r="AF26" s="37" t="n">
        <f aca="false">IF(OR(W26="",N(W26)=0,AA26=""),"",AA26/W26)</f>
        <v>0</v>
      </c>
      <c r="AG26" s="37" t="n">
        <f aca="false">IF(OR(W26="",N(W26)=0,AB26=""),"",AB26/W26)</f>
        <v>0</v>
      </c>
      <c r="AH26" s="32" t="n">
        <f aca="false">N(J26)+N(K26)+N(L26)+N(M26)+N(R26)+N(G26)</f>
        <v>100</v>
      </c>
      <c r="AI26" s="22" t="n">
        <f aca="false">IF(N(AH26)=0,"",(N(J26)+N(K26)+N(L26)+N(M26))/AH26)</f>
        <v>0.25</v>
      </c>
      <c r="AJ26" s="22" t="n">
        <f aca="false">IF(N(AH26)=0,"",(N(R26))/AH26)</f>
        <v>0.75</v>
      </c>
      <c r="AK26" s="22" t="n">
        <f aca="false">IF(N(AH26)=0,"",(N(G26))/AH26)</f>
        <v>0</v>
      </c>
      <c r="AL26" s="32" t="n">
        <f aca="false">N(J26)+N(K26)+N(L26)+N(M26)+IF(AND(H26&lt;&gt;"",F26&lt;&gt;""),MAX(0,H26-F26),N(G26))+N(P26)+N(R26)</f>
        <v>100</v>
      </c>
      <c r="AM26" s="37" t="n">
        <f aca="false">IF(OR(W26="",N(W26)=0),"",AL26/W26)</f>
        <v>3.50877192982456</v>
      </c>
      <c r="AN26" s="37" t="n">
        <f aca="false">IF(OR(W26="",N(W26)=0,E26=""),"",E26/W26)</f>
        <v>0.121754385964912</v>
      </c>
      <c r="AO26" s="22" t="n">
        <f aca="false">IF(OR(W26="",N(W26)=0),"",(N(J26)+N(K26)+N(L26)+N(M26))/W26)</f>
        <v>0.87719298245614</v>
      </c>
      <c r="AP26" s="22" t="n">
        <f aca="false">IF(OR(W26="",N(W26)=0),"",N(R26)/W26)</f>
        <v>2.63157894736842</v>
      </c>
      <c r="AQ26" s="22" t="n">
        <f aca="false">IF(OR(W26="",N(W26)=0),"",(IF(AND(H26&lt;&gt;"",F26&lt;&gt;""),MAX(0,H26-F26),N(G26))+N(P26))/W26)</f>
        <v>0</v>
      </c>
    </row>
    <row r="27" customFormat="false" ht="15" hidden="false" customHeight="false" outlineLevel="0" collapsed="false">
      <c r="A27" s="0" t="s">
        <v>1291</v>
      </c>
      <c r="B27" s="0" t="s">
        <v>531</v>
      </c>
      <c r="C27" s="0" t="n">
        <v>2025</v>
      </c>
      <c r="D27" s="0" t="s">
        <v>1689</v>
      </c>
      <c r="E27" s="32" t="str">
        <f aca="false">IF((COUNTIFS(FundRaw!$C$4:$C$233,"oai",FundRaw!$E$4:$E$233,"2025",FundRaw!$F$4:$F$233,"ocf",FundRaw!$O$4:$O$233,1))=0,"",SUMIFS(FundRaw!$G$4:$G$233,FundRaw!$C$4:$C$233,"oai",FundRaw!$E$4:$E$233,"2025",FundRaw!$F$4:$F$233,"ocf",FundRaw!$O$4:$O$233,1))</f>
        <v/>
      </c>
      <c r="F27" s="32" t="str">
        <f aca="false">IF((COUNTIFS(FundRaw!$C$4:$C$233,"oai",FundRaw!$E$4:$E$233,"2025",FundRaw!$F$4:$F$233,"capex_cash",FundRaw!$O$4:$O$233,1))=0,"",SUMIFS(FundRaw!$G$4:$G$233,FundRaw!$C$4:$C$233,"oai",FundRaw!$E$4:$E$233,"2025",FundRaw!$F$4:$F$233,"capex_cash",FundRaw!$O$4:$O$233,1))</f>
        <v/>
      </c>
      <c r="G27" s="32" t="str">
        <f aca="false">IF((COUNTIFS(FundRaw!$C$4:$C$233,"oai",FundRaw!$E$4:$E$233,"2025",FundRaw!$F$4:$F$233,"fin_lease_new",FundRaw!$O$4:$O$233,1))=0,"",SUMIFS(FundRaw!$G$4:$G$233,FundRaw!$C$4:$C$233,"oai",FundRaw!$E$4:$E$233,"2025",FundRaw!$F$4:$F$233,"fin_lease_new",FundRaw!$O$4:$O$233,1))</f>
        <v/>
      </c>
      <c r="H27" s="32" t="str">
        <f aca="false">IF((COUNTIFS(FundRaw!$C$4:$C$233,"oai",FundRaw!$E$4:$E$233,"2025",FundRaw!$F$4:$F$233,"capex_incl_fl",FundRaw!$O$4:$O$233,1))=0,"",SUMIFS(FundRaw!$G$4:$G$233,FundRaw!$C$4:$C$233,"oai",FundRaw!$E$4:$E$233,"2025",FundRaw!$F$4:$F$233,"capex_incl_fl",FundRaw!$O$4:$O$233,1))</f>
        <v/>
      </c>
      <c r="I27" s="32" t="n">
        <f aca="false">IF((COUNTIFS(FundRaw!$C$4:$C$233,"oai",FundRaw!$E$4:$E$233,"2025",FundRaw!$F$4:$F$233,"fcf",FundRaw!$O$4:$O$233,1))=0,"",SUMIFS(FundRaw!$G$4:$G$233,FundRaw!$C$4:$C$233,"oai",FundRaw!$E$4:$E$233,"2025",FundRaw!$F$4:$F$233,"fcf",FundRaw!$O$4:$O$233,1))</f>
        <v>-8</v>
      </c>
      <c r="J27" s="32" t="str">
        <f aca="false">IF((COUNTIFS(FundRaw!$C$4:$C$233,"oai",FundRaw!$E$4:$E$233,"2025",FundRaw!$F$4:$F$233,"bond_issue",FundRaw!$O$4:$O$233,1))=0,"",SUMIFS(FundRaw!$G$4:$G$233,FundRaw!$C$4:$C$233,"oai",FundRaw!$E$4:$E$233,"2025",FundRaw!$F$4:$F$233,"bond_issue",FundRaw!$O$4:$O$233,1))</f>
        <v/>
      </c>
      <c r="K27" s="32" t="str">
        <f aca="false">IF((COUNTIFS(FundRaw!$C$4:$C$233,"oai",FundRaw!$E$4:$E$233,"2025",FundRaw!$F$4:$F$233,"term_loan",FundRaw!$O$4:$O$233,1))=0,"",SUMIFS(FundRaw!$G$4:$G$233,FundRaw!$C$4:$C$233,"oai",FundRaw!$E$4:$E$233,"2025",FundRaw!$F$4:$F$233,"term_loan",FundRaw!$O$4:$O$233,1))</f>
        <v/>
      </c>
      <c r="L27" s="32" t="str">
        <f aca="false">IF((COUNTIFS(FundRaw!$C$4:$C$233,"oai",FundRaw!$E$4:$E$233,"2025",FundRaw!$F$4:$F$233,"gpu_debt",FundRaw!$O$4:$O$233,1))=0,"",SUMIFS(FundRaw!$G$4:$G$233,FundRaw!$C$4:$C$233,"oai",FundRaw!$E$4:$E$233,"2025",FundRaw!$F$4:$F$233,"gpu_debt",FundRaw!$O$4:$O$233,1))</f>
        <v/>
      </c>
      <c r="M27" s="32" t="str">
        <f aca="false">IF((COUNTIFS(FundRaw!$C$4:$C$233,"oai",FundRaw!$E$4:$E$233,"2025",FundRaw!$F$4:$F$233,"private_credit",FundRaw!$O$4:$O$233,1))=0,"",SUMIFS(FundRaw!$G$4:$G$233,FundRaw!$C$4:$C$233,"oai",FundRaw!$E$4:$E$233,"2025",FundRaw!$F$4:$F$233,"private_credit",FundRaw!$O$4:$O$233,1))</f>
        <v/>
      </c>
      <c r="N27" s="32" t="str">
        <f aca="false">IF((COUNTIFS(FundRaw!$C$4:$C$233,"oai",FundRaw!$E$4:$E$233,"2025",FundRaw!$F$4:$F$233,"net_debt_change",FundRaw!$O$4:$O$233,1))=0,"",SUMIFS(FundRaw!$G$4:$G$233,FundRaw!$C$4:$C$233,"oai",FundRaw!$E$4:$E$233,"2025",FundRaw!$F$4:$F$233,"net_debt_change",FundRaw!$O$4:$O$233,1))</f>
        <v/>
      </c>
      <c r="O27" s="32" t="str">
        <f aca="false">IF((COUNTIFS(FundRaw!$C$4:$C$233,"oai",FundRaw!$E$4:$E$233,"2025",FundRaw!$F$4:$F$233,"lease_not_commenced",FundRaw!$O$4:$O$233,1))=0,"",SUMIFS(FundRaw!$G$4:$G$233,FundRaw!$C$4:$C$233,"oai",FundRaw!$E$4:$E$233,"2025",FundRaw!$F$4:$F$233,"lease_not_commenced",FundRaw!$O$4:$O$233,1))</f>
        <v/>
      </c>
      <c r="P27" s="32" t="str">
        <f aca="false">IF((COUNTIFS(FundRaw!$C$4:$C$233,"oai",FundRaw!$E$4:$E$233,"2025",FundRaw!$F$4:$F$233,"jv_offbalance",FundRaw!$O$4:$O$233,1))=0,"",SUMIFS(FundRaw!$G$4:$G$233,FundRaw!$C$4:$C$233,"oai",FundRaw!$E$4:$E$233,"2025",FundRaw!$F$4:$F$233,"jv_offbalance",FundRaw!$O$4:$O$233,1))</f>
        <v/>
      </c>
      <c r="Q27" s="32" t="str">
        <f aca="false">IF((COUNTIFS(FundRaw!$C$4:$C$233,"oai",FundRaw!$E$4:$E$233,"2025",FundRaw!$F$4:$F$233,"jv_exposure",FundRaw!$O$4:$O$233,1))=0,"",SUMIFS(FundRaw!$G$4:$G$233,FundRaw!$C$4:$C$233,"oai",FundRaw!$E$4:$E$233,"2025",FundRaw!$F$4:$F$233,"jv_exposure",FundRaw!$O$4:$O$233,1))</f>
        <v/>
      </c>
      <c r="R27" s="32" t="str">
        <f aca="false">IF((COUNTIFS(FundRaw!$C$4:$C$233,"oai",FundRaw!$E$4:$E$233,"2025",FundRaw!$F$4:$F$233,"equity_round",FundRaw!$O$4:$O$233,1))=0,"",SUMIFS(FundRaw!$G$4:$G$233,FundRaw!$C$4:$C$233,"oai",FundRaw!$E$4:$E$233,"2025",FundRaw!$F$4:$F$233,"equity_round",FundRaw!$O$4:$O$233,1))</f>
        <v/>
      </c>
      <c r="S27" s="32" t="str">
        <f aca="false">IF((COUNTIFS(FundRaw!$C$4:$C$233,"oai",FundRaw!$E$4:$E$233,"2025",FundRaw!$F$4:$F$233,"vendor_financing",FundRaw!$O$4:$O$233,1))=0,"",SUMIFS(FundRaw!$G$4:$G$233,FundRaw!$C$4:$C$233,"oai",FundRaw!$E$4:$E$233,"2025",FundRaw!$F$4:$F$233,"vendor_financing",FundRaw!$O$4:$O$233,1))</f>
        <v/>
      </c>
      <c r="T27" s="32" t="str">
        <f aca="false">IF((COUNTIFS(FundRaw!$C$4:$C$233,"oai",FundRaw!$E$4:$E$233,"2025",FundRaw!$F$4:$F$233,"buyback_div",FundRaw!$O$4:$O$233,1))=0,"",SUMIFS(FundRaw!$G$4:$G$233,FundRaw!$C$4:$C$233,"oai",FundRaw!$E$4:$E$233,"2025",FundRaw!$F$4:$F$233,"buyback_div",FundRaw!$O$4:$O$233,1))</f>
        <v/>
      </c>
      <c r="U27" s="32" t="str">
        <f aca="false">IF((COUNTIFS(FundRaw!$C$4:$C$233,"oai",FundRaw!$E$4:$E$233,"2025",FundRaw!$F$4:$F$233,"gpu_debt_talks",FundRaw!$O$4:$O$233,1))=0,"",SUMIFS(FundRaw!$G$4:$G$233,FundRaw!$C$4:$C$233,"oai",FundRaw!$E$4:$E$233,"2025",FundRaw!$F$4:$F$233,"gpu_debt_talks",FundRaw!$O$4:$O$233,1))</f>
        <v/>
      </c>
      <c r="V27" s="32" t="str">
        <f aca="false">IF((COUNTIFS(FundRaw!$C$4:$C$233,"oai",FundRaw!$E$4:$E$233,"2025",FundRaw!$F$4:$F$233,"bridge_refi",FundRaw!$O$4:$O$233,1))=0,"",SUMIFS(FundRaw!$G$4:$G$233,FundRaw!$C$4:$C$233,"oai",FundRaw!$E$4:$E$233,"2025",FundRaw!$F$4:$F$233,"bridge_refi",FundRaw!$O$4:$O$233,1))</f>
        <v/>
      </c>
      <c r="W27" s="32" t="str">
        <f aca="false">IF(H27&lt;&gt;"",H27,IF(F27&lt;&gt;"",F27+N(G27),""))</f>
        <v/>
      </c>
      <c r="X27" s="32" t="str">
        <f aca="false">IF(OR(W27="",E27=""),"",MAX(0,MIN(N(E27),W27-N(Y27))))</f>
        <v/>
      </c>
      <c r="Y27" s="32" t="str">
        <f aca="false">IF(W27="","",IF(AND(H27&lt;&gt;"",F27&lt;&gt;""),MAX(0,H27-F27),N(G27)))</f>
        <v/>
      </c>
      <c r="Z27" s="32" t="str">
        <f aca="false">IF(W27="","",MAX(0,MIN(N(R27),W27-N(X27)-N(Y27))))</f>
        <v/>
      </c>
      <c r="AA27" s="32" t="str">
        <f aca="false">IF(W27="","",MAX(0,MIN(N(J27)+N(K27)+N(L27)+N(M27),W27-N(X27)-N(Y27)-N(Z27))))</f>
        <v/>
      </c>
      <c r="AB27" s="32" t="str">
        <f aca="false">IF(W27="","",W27-N(X27)-N(Y27)-N(Z27)-N(AA27))</f>
        <v/>
      </c>
      <c r="AC27" s="37" t="str">
        <f aca="false">IF(OR(W27="",N(W27)=0,X27=""),"",X27/W27)</f>
        <v/>
      </c>
      <c r="AD27" s="37" t="str">
        <f aca="false">IF(OR(W27="",N(W27)=0,Y27=""),"",Y27/W27)</f>
        <v/>
      </c>
      <c r="AE27" s="37" t="str">
        <f aca="false">IF(OR(W27="",N(W27)=0,Z27=""),"",Z27/W27)</f>
        <v/>
      </c>
      <c r="AF27" s="37" t="str">
        <f aca="false">IF(OR(W27="",N(W27)=0,AA27=""),"",AA27/W27)</f>
        <v/>
      </c>
      <c r="AG27" s="37" t="str">
        <f aca="false">IF(OR(W27="",N(W27)=0,AB27=""),"",AB27/W27)</f>
        <v/>
      </c>
      <c r="AH27" s="32" t="n">
        <f aca="false">N(J27)+N(K27)+N(L27)+N(M27)+N(R27)+N(G27)</f>
        <v>0</v>
      </c>
      <c r="AI27" s="22" t="str">
        <f aca="false">IF(N(AH27)=0,"",(N(J27)+N(K27)+N(L27)+N(M27))/AH27)</f>
        <v/>
      </c>
      <c r="AJ27" s="22" t="str">
        <f aca="false">IF(N(AH27)=0,"",(N(R27))/AH27)</f>
        <v/>
      </c>
      <c r="AK27" s="22" t="str">
        <f aca="false">IF(N(AH27)=0,"",(N(G27))/AH27)</f>
        <v/>
      </c>
      <c r="AL27" s="32" t="n">
        <f aca="false">N(J27)+N(K27)+N(L27)+N(M27)+IF(AND(H27&lt;&gt;"",F27&lt;&gt;""),MAX(0,H27-F27),N(G27))+N(P27)+N(R27)</f>
        <v>0</v>
      </c>
      <c r="AM27" s="37" t="str">
        <f aca="false">IF(OR(W27="",N(W27)=0),"",AL27/W27)</f>
        <v/>
      </c>
      <c r="AN27" s="37" t="str">
        <f aca="false">IF(OR(W27="",N(W27)=0,E27=""),"",E27/W27)</f>
        <v/>
      </c>
      <c r="AO27" s="22" t="str">
        <f aca="false">IF(OR(W27="",N(W27)=0),"",(N(J27)+N(K27)+N(L27)+N(M27))/W27)</f>
        <v/>
      </c>
      <c r="AP27" s="22" t="str">
        <f aca="false">IF(OR(W27="",N(W27)=0),"",N(R27)/W27)</f>
        <v/>
      </c>
      <c r="AQ27" s="22" t="str">
        <f aca="false">IF(OR(W27="",N(W27)=0),"",(IF(AND(H27&lt;&gt;"",F27&lt;&gt;""),MAX(0,H27-F27),N(G27))+N(P27))/W27)</f>
        <v/>
      </c>
    </row>
    <row r="28" customFormat="false" ht="17.15" hidden="false" customHeight="false" outlineLevel="0" collapsed="false">
      <c r="A28" s="0" t="s">
        <v>1291</v>
      </c>
      <c r="B28" s="0" t="s">
        <v>531</v>
      </c>
      <c r="C28" s="0" t="n">
        <v>2026</v>
      </c>
      <c r="D28" s="0" t="s">
        <v>1695</v>
      </c>
      <c r="E28" s="32" t="str">
        <f aca="false">IF((COUNTIFS(FundRaw!$C$4:$C$233,"oai",FundRaw!$E$4:$E$233,"2026",FundRaw!$F$4:$F$233,"ocf",FundRaw!$O$4:$O$233,1))=0,"",SUMIFS(FundRaw!$G$4:$G$233,FundRaw!$C$4:$C$233,"oai",FundRaw!$E$4:$E$233,"2026",FundRaw!$F$4:$F$233,"ocf",FundRaw!$O$4:$O$233,1))</f>
        <v/>
      </c>
      <c r="F28" s="32" t="str">
        <f aca="false">IF((COUNTIFS(FundRaw!$C$4:$C$233,"oai",FundRaw!$E$4:$E$233,"2026",FundRaw!$F$4:$F$233,"capex_cash",FundRaw!$O$4:$O$233,1))=0,"",SUMIFS(FundRaw!$G$4:$G$233,FundRaw!$C$4:$C$233,"oai",FundRaw!$E$4:$E$233,"2026",FundRaw!$F$4:$F$233,"capex_cash",FundRaw!$O$4:$O$233,1))</f>
        <v/>
      </c>
      <c r="G28" s="32" t="str">
        <f aca="false">IF((COUNTIFS(FundRaw!$C$4:$C$233,"oai",FundRaw!$E$4:$E$233,"2026",FundRaw!$F$4:$F$233,"fin_lease_new",FundRaw!$O$4:$O$233,1))=0,"",SUMIFS(FundRaw!$G$4:$G$233,FundRaw!$C$4:$C$233,"oai",FundRaw!$E$4:$E$233,"2026",FundRaw!$F$4:$F$233,"fin_lease_new",FundRaw!$O$4:$O$233,1))</f>
        <v/>
      </c>
      <c r="H28" s="32" t="str">
        <f aca="false">IF((COUNTIFS(FundRaw!$C$4:$C$233,"oai",FundRaw!$E$4:$E$233,"2026",FundRaw!$F$4:$F$233,"capex_incl_fl",FundRaw!$O$4:$O$233,1))=0,"",SUMIFS(FundRaw!$G$4:$G$233,FundRaw!$C$4:$C$233,"oai",FundRaw!$E$4:$E$233,"2026",FundRaw!$F$4:$F$233,"capex_incl_fl",FundRaw!$O$4:$O$233,1))</f>
        <v/>
      </c>
      <c r="I28" s="32" t="str">
        <f aca="false">IF((COUNTIFS(FundRaw!$C$4:$C$233,"oai",FundRaw!$E$4:$E$233,"2026",FundRaw!$F$4:$F$233,"fcf",FundRaw!$O$4:$O$233,1))=0,"",SUMIFS(FundRaw!$G$4:$G$233,FundRaw!$C$4:$C$233,"oai",FundRaw!$E$4:$E$233,"2026",FundRaw!$F$4:$F$233,"fcf",FundRaw!$O$4:$O$233,1))</f>
        <v/>
      </c>
      <c r="J28" s="32" t="str">
        <f aca="false">IF((COUNTIFS(FundRaw!$C$4:$C$233,"oai",FundRaw!$E$4:$E$233,"2026",FundRaw!$F$4:$F$233,"bond_issue",FundRaw!$O$4:$O$233,1))=0,"",SUMIFS(FundRaw!$G$4:$G$233,FundRaw!$C$4:$C$233,"oai",FundRaw!$E$4:$E$233,"2026",FundRaw!$F$4:$F$233,"bond_issue",FundRaw!$O$4:$O$233,1))</f>
        <v/>
      </c>
      <c r="K28" s="32" t="str">
        <f aca="false">IF((COUNTIFS(FundRaw!$C$4:$C$233,"oai",FundRaw!$E$4:$E$233,"2026",FundRaw!$F$4:$F$233,"term_loan",FundRaw!$O$4:$O$233,1))=0,"",SUMIFS(FundRaw!$G$4:$G$233,FundRaw!$C$4:$C$233,"oai",FundRaw!$E$4:$E$233,"2026",FundRaw!$F$4:$F$233,"term_loan",FundRaw!$O$4:$O$233,1))</f>
        <v/>
      </c>
      <c r="L28" s="32" t="str">
        <f aca="false">IF((COUNTIFS(FundRaw!$C$4:$C$233,"oai",FundRaw!$E$4:$E$233,"2026",FundRaw!$F$4:$F$233,"gpu_debt",FundRaw!$O$4:$O$233,1))=0,"",SUMIFS(FundRaw!$G$4:$G$233,FundRaw!$C$4:$C$233,"oai",FundRaw!$E$4:$E$233,"2026",FundRaw!$F$4:$F$233,"gpu_debt",FundRaw!$O$4:$O$233,1))</f>
        <v/>
      </c>
      <c r="M28" s="32" t="str">
        <f aca="false">IF((COUNTIFS(FundRaw!$C$4:$C$233,"oai",FundRaw!$E$4:$E$233,"2026",FundRaw!$F$4:$F$233,"private_credit",FundRaw!$O$4:$O$233,1))=0,"",SUMIFS(FundRaw!$G$4:$G$233,FundRaw!$C$4:$C$233,"oai",FundRaw!$E$4:$E$233,"2026",FundRaw!$F$4:$F$233,"private_credit",FundRaw!$O$4:$O$233,1))</f>
        <v/>
      </c>
      <c r="N28" s="32" t="str">
        <f aca="false">IF((COUNTIFS(FundRaw!$C$4:$C$233,"oai",FundRaw!$E$4:$E$233,"2026",FundRaw!$F$4:$F$233,"net_debt_change",FundRaw!$O$4:$O$233,1))=0,"",SUMIFS(FundRaw!$G$4:$G$233,FundRaw!$C$4:$C$233,"oai",FundRaw!$E$4:$E$233,"2026",FundRaw!$F$4:$F$233,"net_debt_change",FundRaw!$O$4:$O$233,1))</f>
        <v/>
      </c>
      <c r="O28" s="32" t="str">
        <f aca="false">IF((COUNTIFS(FundRaw!$C$4:$C$233,"oai",FundRaw!$E$4:$E$233,"2026",FundRaw!$F$4:$F$233,"lease_not_commenced",FundRaw!$O$4:$O$233,1))=0,"",SUMIFS(FundRaw!$G$4:$G$233,FundRaw!$C$4:$C$233,"oai",FundRaw!$E$4:$E$233,"2026",FundRaw!$F$4:$F$233,"lease_not_commenced",FundRaw!$O$4:$O$233,1))</f>
        <v/>
      </c>
      <c r="P28" s="32" t="n">
        <f aca="false">IF((COUNTIFS(FundRaw!$C$4:$C$233,"oai",FundRaw!$E$4:$E$233,"2026",FundRaw!$F$4:$F$233,"jv_offbalance",FundRaw!$O$4:$O$233,1))=0,"",SUMIFS(FundRaw!$G$4:$G$233,FundRaw!$C$4:$C$233,"oai",FundRaw!$E$4:$E$233,"2026",FundRaw!$F$4:$F$233,"jv_offbalance",FundRaw!$O$4:$O$233,1))</f>
        <v>105</v>
      </c>
      <c r="Q28" s="32" t="str">
        <f aca="false">IF((COUNTIFS(FundRaw!$C$4:$C$233,"oai",FundRaw!$E$4:$E$233,"2026",FundRaw!$F$4:$F$233,"jv_exposure",FundRaw!$O$4:$O$233,1))=0,"",SUMIFS(FundRaw!$G$4:$G$233,FundRaw!$C$4:$C$233,"oai",FundRaw!$E$4:$E$233,"2026",FundRaw!$F$4:$F$233,"jv_exposure",FundRaw!$O$4:$O$233,1))</f>
        <v/>
      </c>
      <c r="R28" s="32" t="n">
        <f aca="false">IF((COUNTIFS(FundRaw!$C$4:$C$233,"oai",FundRaw!$E$4:$E$233,"2026",FundRaw!$F$4:$F$233,"equity_round",FundRaw!$O$4:$O$233,1))=0,"",SUMIFS(FundRaw!$G$4:$G$233,FundRaw!$C$4:$C$233,"oai",FundRaw!$E$4:$E$233,"2026",FundRaw!$F$4:$F$233,"equity_round",FundRaw!$O$4:$O$233,1))</f>
        <v>122</v>
      </c>
      <c r="S28" s="32" t="n">
        <f aca="false">IF((COUNTIFS(FundRaw!$C$4:$C$233,"oai",FundRaw!$E$4:$E$233,"2026",FundRaw!$F$4:$F$233,"vendor_financing",FundRaw!$O$4:$O$233,1))=0,"",SUMIFS(FundRaw!$G$4:$G$233,FundRaw!$C$4:$C$233,"oai",FundRaw!$E$4:$E$233,"2026",FundRaw!$F$4:$F$233,"vendor_financing",FundRaw!$O$4:$O$233,1))</f>
        <v>40</v>
      </c>
      <c r="T28" s="32" t="str">
        <f aca="false">IF((COUNTIFS(FundRaw!$C$4:$C$233,"oai",FundRaw!$E$4:$E$233,"2026",FundRaw!$F$4:$F$233,"buyback_div",FundRaw!$O$4:$O$233,1))=0,"",SUMIFS(FundRaw!$G$4:$G$233,FundRaw!$C$4:$C$233,"oai",FundRaw!$E$4:$E$233,"2026",FundRaw!$F$4:$F$233,"buyback_div",FundRaw!$O$4:$O$233,1))</f>
        <v/>
      </c>
      <c r="U28" s="32" t="str">
        <f aca="false">IF((COUNTIFS(FundRaw!$C$4:$C$233,"oai",FundRaw!$E$4:$E$233,"2026",FundRaw!$F$4:$F$233,"gpu_debt_talks",FundRaw!$O$4:$O$233,1))=0,"",SUMIFS(FundRaw!$G$4:$G$233,FundRaw!$C$4:$C$233,"oai",FundRaw!$E$4:$E$233,"2026",FundRaw!$F$4:$F$233,"gpu_debt_talks",FundRaw!$O$4:$O$233,1))</f>
        <v/>
      </c>
      <c r="V28" s="32" t="str">
        <f aca="false">IF((COUNTIFS(FundRaw!$C$4:$C$233,"oai",FundRaw!$E$4:$E$233,"2026",FundRaw!$F$4:$F$233,"bridge_refi",FundRaw!$O$4:$O$233,1))=0,"",SUMIFS(FundRaw!$G$4:$G$233,FundRaw!$C$4:$C$233,"oai",FundRaw!$E$4:$E$233,"2026",FundRaw!$F$4:$F$233,"bridge_refi",FundRaw!$O$4:$O$233,1))</f>
        <v/>
      </c>
      <c r="W28" s="32" t="str">
        <f aca="false">IF(H28&lt;&gt;"",H28,IF(F28&lt;&gt;"",F28+N(G28),""))</f>
        <v/>
      </c>
      <c r="X28" s="32" t="str">
        <f aca="false">IF(OR(W28="",E28=""),"",MAX(0,MIN(N(E28),W28-N(Y28))))</f>
        <v/>
      </c>
      <c r="Y28" s="32" t="str">
        <f aca="false">IF(W28="","",IF(AND(H28&lt;&gt;"",F28&lt;&gt;""),MAX(0,H28-F28),N(G28)))</f>
        <v/>
      </c>
      <c r="Z28" s="32" t="str">
        <f aca="false">IF(W28="","",MAX(0,MIN(N(R28),W28-N(X28)-N(Y28))))</f>
        <v/>
      </c>
      <c r="AA28" s="32" t="str">
        <f aca="false">IF(W28="","",MAX(0,MIN(N(J28)+N(K28)+N(L28)+N(M28),W28-N(X28)-N(Y28)-N(Z28))))</f>
        <v/>
      </c>
      <c r="AB28" s="32" t="str">
        <f aca="false">IF(W28="","",W28-N(X28)-N(Y28)-N(Z28)-N(AA28))</f>
        <v/>
      </c>
      <c r="AC28" s="37" t="str">
        <f aca="false">IF(OR(W28="",N(W28)=0,X28=""),"",X28/W28)</f>
        <v/>
      </c>
      <c r="AD28" s="37" t="str">
        <f aca="false">IF(OR(W28="",N(W28)=0,Y28=""),"",Y28/W28)</f>
        <v/>
      </c>
      <c r="AE28" s="37" t="str">
        <f aca="false">IF(OR(W28="",N(W28)=0,Z28=""),"",Z28/W28)</f>
        <v/>
      </c>
      <c r="AF28" s="37" t="str">
        <f aca="false">IF(OR(W28="",N(W28)=0,AA28=""),"",AA28/W28)</f>
        <v/>
      </c>
      <c r="AG28" s="37" t="str">
        <f aca="false">IF(OR(W28="",N(W28)=0,AB28=""),"",AB28/W28)</f>
        <v/>
      </c>
      <c r="AH28" s="32" t="n">
        <f aca="false">N(J28)+N(K28)+N(L28)+N(M28)+N(R28)+N(G28)</f>
        <v>122</v>
      </c>
      <c r="AI28" s="22" t="n">
        <f aca="false">IF(N(AH28)=0,"",(N(J28)+N(K28)+N(L28)+N(M28))/AH28)</f>
        <v>0</v>
      </c>
      <c r="AJ28" s="22" t="n">
        <f aca="false">IF(N(AH28)=0,"",(N(R28))/AH28)</f>
        <v>1</v>
      </c>
      <c r="AK28" s="22" t="n">
        <f aca="false">IF(N(AH28)=0,"",(N(G28))/AH28)</f>
        <v>0</v>
      </c>
      <c r="AL28" s="32" t="n">
        <f aca="false">N(J28)+N(K28)+N(L28)+N(M28)+IF(AND(H28&lt;&gt;"",F28&lt;&gt;""),MAX(0,H28-F28),N(G28))+N(P28)+N(R28)</f>
        <v>227</v>
      </c>
      <c r="AM28" s="37" t="str">
        <f aca="false">IF(OR(W28="",N(W28)=0),"",AL28/W28)</f>
        <v/>
      </c>
      <c r="AN28" s="37" t="str">
        <f aca="false">IF(OR(W28="",N(W28)=0,E28=""),"",E28/W28)</f>
        <v/>
      </c>
      <c r="AO28" s="22" t="str">
        <f aca="false">IF(OR(W28="",N(W28)=0),"",(N(J28)+N(K28)+N(L28)+N(M28))/W28)</f>
        <v/>
      </c>
      <c r="AP28" s="22" t="str">
        <f aca="false">IF(OR(W28="",N(W28)=0),"",N(R28)/W28)</f>
        <v/>
      </c>
      <c r="AQ28" s="22" t="str">
        <f aca="false">IF(OR(W28="",N(W28)=0),"",(IF(AND(H28&lt;&gt;"",F28&lt;&gt;""),MAX(0,H28-F28),N(G28))+N(P28))/W28)</f>
        <v/>
      </c>
    </row>
    <row r="29" customFormat="false" ht="15" hidden="false" customHeight="false" outlineLevel="0" collapsed="false">
      <c r="A29" s="0" t="s">
        <v>1292</v>
      </c>
      <c r="B29" s="0" t="s">
        <v>515</v>
      </c>
      <c r="C29" s="0" t="n">
        <v>2025</v>
      </c>
      <c r="D29" s="0" t="s">
        <v>1689</v>
      </c>
      <c r="E29" s="32" t="str">
        <f aca="false">IF((COUNTIFS(FundRaw!$C$4:$C$233,"ant",FundRaw!$E$4:$E$233,"2025",FundRaw!$F$4:$F$233,"ocf",FundRaw!$O$4:$O$233,1))=0,"",SUMIFS(FundRaw!$G$4:$G$233,FundRaw!$C$4:$C$233,"ant",FundRaw!$E$4:$E$233,"2025",FundRaw!$F$4:$F$233,"ocf",FundRaw!$O$4:$O$233,1))</f>
        <v/>
      </c>
      <c r="F29" s="32" t="str">
        <f aca="false">IF((COUNTIFS(FundRaw!$C$4:$C$233,"ant",FundRaw!$E$4:$E$233,"2025",FundRaw!$F$4:$F$233,"capex_cash",FundRaw!$O$4:$O$233,1))=0,"",SUMIFS(FundRaw!$G$4:$G$233,FundRaw!$C$4:$C$233,"ant",FundRaw!$E$4:$E$233,"2025",FundRaw!$F$4:$F$233,"capex_cash",FundRaw!$O$4:$O$233,1))</f>
        <v/>
      </c>
      <c r="G29" s="32" t="str">
        <f aca="false">IF((COUNTIFS(FundRaw!$C$4:$C$233,"ant",FundRaw!$E$4:$E$233,"2025",FundRaw!$F$4:$F$233,"fin_lease_new",FundRaw!$O$4:$O$233,1))=0,"",SUMIFS(FundRaw!$G$4:$G$233,FundRaw!$C$4:$C$233,"ant",FundRaw!$E$4:$E$233,"2025",FundRaw!$F$4:$F$233,"fin_lease_new",FundRaw!$O$4:$O$233,1))</f>
        <v/>
      </c>
      <c r="H29" s="32" t="str">
        <f aca="false">IF((COUNTIFS(FundRaw!$C$4:$C$233,"ant",FundRaw!$E$4:$E$233,"2025",FundRaw!$F$4:$F$233,"capex_incl_fl",FundRaw!$O$4:$O$233,1))=0,"",SUMIFS(FundRaw!$G$4:$G$233,FundRaw!$C$4:$C$233,"ant",FundRaw!$E$4:$E$233,"2025",FundRaw!$F$4:$F$233,"capex_incl_fl",FundRaw!$O$4:$O$233,1))</f>
        <v/>
      </c>
      <c r="I29" s="32" t="str">
        <f aca="false">IF((COUNTIFS(FundRaw!$C$4:$C$233,"ant",FundRaw!$E$4:$E$233,"2025",FundRaw!$F$4:$F$233,"fcf",FundRaw!$O$4:$O$233,1))=0,"",SUMIFS(FundRaw!$G$4:$G$233,FundRaw!$C$4:$C$233,"ant",FundRaw!$E$4:$E$233,"2025",FundRaw!$F$4:$F$233,"fcf",FundRaw!$O$4:$O$233,1))</f>
        <v/>
      </c>
      <c r="J29" s="32" t="str">
        <f aca="false">IF((COUNTIFS(FundRaw!$C$4:$C$233,"ant",FundRaw!$E$4:$E$233,"2025",FundRaw!$F$4:$F$233,"bond_issue",FundRaw!$O$4:$O$233,1))=0,"",SUMIFS(FundRaw!$G$4:$G$233,FundRaw!$C$4:$C$233,"ant",FundRaw!$E$4:$E$233,"2025",FundRaw!$F$4:$F$233,"bond_issue",FundRaw!$O$4:$O$233,1))</f>
        <v/>
      </c>
      <c r="K29" s="32" t="str">
        <f aca="false">IF((COUNTIFS(FundRaw!$C$4:$C$233,"ant",FundRaw!$E$4:$E$233,"2025",FundRaw!$F$4:$F$233,"term_loan",FundRaw!$O$4:$O$233,1))=0,"",SUMIFS(FundRaw!$G$4:$G$233,FundRaw!$C$4:$C$233,"ant",FundRaw!$E$4:$E$233,"2025",FundRaw!$F$4:$F$233,"term_loan",FundRaw!$O$4:$O$233,1))</f>
        <v/>
      </c>
      <c r="L29" s="32" t="str">
        <f aca="false">IF((COUNTIFS(FundRaw!$C$4:$C$233,"ant",FundRaw!$E$4:$E$233,"2025",FundRaw!$F$4:$F$233,"gpu_debt",FundRaw!$O$4:$O$233,1))=0,"",SUMIFS(FundRaw!$G$4:$G$233,FundRaw!$C$4:$C$233,"ant",FundRaw!$E$4:$E$233,"2025",FundRaw!$F$4:$F$233,"gpu_debt",FundRaw!$O$4:$O$233,1))</f>
        <v/>
      </c>
      <c r="M29" s="32" t="str">
        <f aca="false">IF((COUNTIFS(FundRaw!$C$4:$C$233,"ant",FundRaw!$E$4:$E$233,"2025",FundRaw!$F$4:$F$233,"private_credit",FundRaw!$O$4:$O$233,1))=0,"",SUMIFS(FundRaw!$G$4:$G$233,FundRaw!$C$4:$C$233,"ant",FundRaw!$E$4:$E$233,"2025",FundRaw!$F$4:$F$233,"private_credit",FundRaw!$O$4:$O$233,1))</f>
        <v/>
      </c>
      <c r="N29" s="32" t="str">
        <f aca="false">IF((COUNTIFS(FundRaw!$C$4:$C$233,"ant",FundRaw!$E$4:$E$233,"2025",FundRaw!$F$4:$F$233,"net_debt_change",FundRaw!$O$4:$O$233,1))=0,"",SUMIFS(FundRaw!$G$4:$G$233,FundRaw!$C$4:$C$233,"ant",FundRaw!$E$4:$E$233,"2025",FundRaw!$F$4:$F$233,"net_debt_change",FundRaw!$O$4:$O$233,1))</f>
        <v/>
      </c>
      <c r="O29" s="32" t="str">
        <f aca="false">IF((COUNTIFS(FundRaw!$C$4:$C$233,"ant",FundRaw!$E$4:$E$233,"2025",FundRaw!$F$4:$F$233,"lease_not_commenced",FundRaw!$O$4:$O$233,1))=0,"",SUMIFS(FundRaw!$G$4:$G$233,FundRaw!$C$4:$C$233,"ant",FundRaw!$E$4:$E$233,"2025",FundRaw!$F$4:$F$233,"lease_not_commenced",FundRaw!$O$4:$O$233,1))</f>
        <v/>
      </c>
      <c r="P29" s="32" t="str">
        <f aca="false">IF((COUNTIFS(FundRaw!$C$4:$C$233,"ant",FundRaw!$E$4:$E$233,"2025",FundRaw!$F$4:$F$233,"jv_offbalance",FundRaw!$O$4:$O$233,1))=0,"",SUMIFS(FundRaw!$G$4:$G$233,FundRaw!$C$4:$C$233,"ant",FundRaw!$E$4:$E$233,"2025",FundRaw!$F$4:$F$233,"jv_offbalance",FundRaw!$O$4:$O$233,1))</f>
        <v/>
      </c>
      <c r="Q29" s="32" t="str">
        <f aca="false">IF((COUNTIFS(FundRaw!$C$4:$C$233,"ant",FundRaw!$E$4:$E$233,"2025",FundRaw!$F$4:$F$233,"jv_exposure",FundRaw!$O$4:$O$233,1))=0,"",SUMIFS(FundRaw!$G$4:$G$233,FundRaw!$C$4:$C$233,"ant",FundRaw!$E$4:$E$233,"2025",FundRaw!$F$4:$F$233,"jv_exposure",FundRaw!$O$4:$O$233,1))</f>
        <v/>
      </c>
      <c r="R29" s="32" t="str">
        <f aca="false">IF((COUNTIFS(FundRaw!$C$4:$C$233,"ant",FundRaw!$E$4:$E$233,"2025",FundRaw!$F$4:$F$233,"equity_round",FundRaw!$O$4:$O$233,1))=0,"",SUMIFS(FundRaw!$G$4:$G$233,FundRaw!$C$4:$C$233,"ant",FundRaw!$E$4:$E$233,"2025",FundRaw!$F$4:$F$233,"equity_round",FundRaw!$O$4:$O$233,1))</f>
        <v/>
      </c>
      <c r="S29" s="32" t="str">
        <f aca="false">IF((COUNTIFS(FundRaw!$C$4:$C$233,"ant",FundRaw!$E$4:$E$233,"2025",FundRaw!$F$4:$F$233,"vendor_financing",FundRaw!$O$4:$O$233,1))=0,"",SUMIFS(FundRaw!$G$4:$G$233,FundRaw!$C$4:$C$233,"ant",FundRaw!$E$4:$E$233,"2025",FundRaw!$F$4:$F$233,"vendor_financing",FundRaw!$O$4:$O$233,1))</f>
        <v/>
      </c>
      <c r="T29" s="32" t="str">
        <f aca="false">IF((COUNTIFS(FundRaw!$C$4:$C$233,"ant",FundRaw!$E$4:$E$233,"2025",FundRaw!$F$4:$F$233,"buyback_div",FundRaw!$O$4:$O$233,1))=0,"",SUMIFS(FundRaw!$G$4:$G$233,FundRaw!$C$4:$C$233,"ant",FundRaw!$E$4:$E$233,"2025",FundRaw!$F$4:$F$233,"buyback_div",FundRaw!$O$4:$O$233,1))</f>
        <v/>
      </c>
      <c r="U29" s="32" t="str">
        <f aca="false">IF((COUNTIFS(FundRaw!$C$4:$C$233,"ant",FundRaw!$E$4:$E$233,"2025",FundRaw!$F$4:$F$233,"gpu_debt_talks",FundRaw!$O$4:$O$233,1))=0,"",SUMIFS(FundRaw!$G$4:$G$233,FundRaw!$C$4:$C$233,"ant",FundRaw!$E$4:$E$233,"2025",FundRaw!$F$4:$F$233,"gpu_debt_talks",FundRaw!$O$4:$O$233,1))</f>
        <v/>
      </c>
      <c r="V29" s="32" t="str">
        <f aca="false">IF((COUNTIFS(FundRaw!$C$4:$C$233,"ant",FundRaw!$E$4:$E$233,"2025",FundRaw!$F$4:$F$233,"bridge_refi",FundRaw!$O$4:$O$233,1))=0,"",SUMIFS(FundRaw!$G$4:$G$233,FundRaw!$C$4:$C$233,"ant",FundRaw!$E$4:$E$233,"2025",FundRaw!$F$4:$F$233,"bridge_refi",FundRaw!$O$4:$O$233,1))</f>
        <v/>
      </c>
      <c r="W29" s="32" t="str">
        <f aca="false">IF(H29&lt;&gt;"",H29,IF(F29&lt;&gt;"",F29+N(G29),""))</f>
        <v/>
      </c>
      <c r="X29" s="32" t="str">
        <f aca="false">IF(OR(W29="",E29=""),"",MAX(0,MIN(N(E29),W29-N(Y29))))</f>
        <v/>
      </c>
      <c r="Y29" s="32" t="str">
        <f aca="false">IF(W29="","",IF(AND(H29&lt;&gt;"",F29&lt;&gt;""),MAX(0,H29-F29),N(G29)))</f>
        <v/>
      </c>
      <c r="Z29" s="32" t="str">
        <f aca="false">IF(W29="","",MAX(0,MIN(N(R29),W29-N(X29)-N(Y29))))</f>
        <v/>
      </c>
      <c r="AA29" s="32" t="str">
        <f aca="false">IF(W29="","",MAX(0,MIN(N(J29)+N(K29)+N(L29)+N(M29),W29-N(X29)-N(Y29)-N(Z29))))</f>
        <v/>
      </c>
      <c r="AB29" s="32" t="str">
        <f aca="false">IF(W29="","",W29-N(X29)-N(Y29)-N(Z29)-N(AA29))</f>
        <v/>
      </c>
      <c r="AC29" s="37" t="str">
        <f aca="false">IF(OR(W29="",N(W29)=0,X29=""),"",X29/W29)</f>
        <v/>
      </c>
      <c r="AD29" s="37" t="str">
        <f aca="false">IF(OR(W29="",N(W29)=0,Y29=""),"",Y29/W29)</f>
        <v/>
      </c>
      <c r="AE29" s="37" t="str">
        <f aca="false">IF(OR(W29="",N(W29)=0,Z29=""),"",Z29/W29)</f>
        <v/>
      </c>
      <c r="AF29" s="37" t="str">
        <f aca="false">IF(OR(W29="",N(W29)=0,AA29=""),"",AA29/W29)</f>
        <v/>
      </c>
      <c r="AG29" s="37" t="str">
        <f aca="false">IF(OR(W29="",N(W29)=0,AB29=""),"",AB29/W29)</f>
        <v/>
      </c>
      <c r="AH29" s="32" t="n">
        <f aca="false">N(J29)+N(K29)+N(L29)+N(M29)+N(R29)+N(G29)</f>
        <v>0</v>
      </c>
      <c r="AI29" s="22" t="str">
        <f aca="false">IF(N(AH29)=0,"",(N(J29)+N(K29)+N(L29)+N(M29))/AH29)</f>
        <v/>
      </c>
      <c r="AJ29" s="22" t="str">
        <f aca="false">IF(N(AH29)=0,"",(N(R29))/AH29)</f>
        <v/>
      </c>
      <c r="AK29" s="22" t="str">
        <f aca="false">IF(N(AH29)=0,"",(N(G29))/AH29)</f>
        <v/>
      </c>
      <c r="AL29" s="32" t="n">
        <f aca="false">N(J29)+N(K29)+N(L29)+N(M29)+IF(AND(H29&lt;&gt;"",F29&lt;&gt;""),MAX(0,H29-F29),N(G29))+N(P29)+N(R29)</f>
        <v>0</v>
      </c>
      <c r="AM29" s="37" t="str">
        <f aca="false">IF(OR(W29="",N(W29)=0),"",AL29/W29)</f>
        <v/>
      </c>
      <c r="AN29" s="37" t="str">
        <f aca="false">IF(OR(W29="",N(W29)=0,E29=""),"",E29/W29)</f>
        <v/>
      </c>
      <c r="AO29" s="22" t="str">
        <f aca="false">IF(OR(W29="",N(W29)=0),"",(N(J29)+N(K29)+N(L29)+N(M29))/W29)</f>
        <v/>
      </c>
      <c r="AP29" s="22" t="str">
        <f aca="false">IF(OR(W29="",N(W29)=0),"",N(R29)/W29)</f>
        <v/>
      </c>
      <c r="AQ29" s="22" t="str">
        <f aca="false">IF(OR(W29="",N(W29)=0),"",(IF(AND(H29&lt;&gt;"",F29&lt;&gt;""),MAX(0,H29-F29),N(G29))+N(P29))/W29)</f>
        <v/>
      </c>
    </row>
    <row r="30" customFormat="false" ht="17.15" hidden="false" customHeight="false" outlineLevel="0" collapsed="false">
      <c r="A30" s="0" t="s">
        <v>1292</v>
      </c>
      <c r="B30" s="0" t="s">
        <v>515</v>
      </c>
      <c r="C30" s="0" t="n">
        <v>2026</v>
      </c>
      <c r="D30" s="0" t="s">
        <v>1695</v>
      </c>
      <c r="E30" s="32" t="str">
        <f aca="false">IF((COUNTIFS(FundRaw!$C$4:$C$233,"ant",FundRaw!$E$4:$E$233,"2026",FundRaw!$F$4:$F$233,"ocf",FundRaw!$O$4:$O$233,1))=0,"",SUMIFS(FundRaw!$G$4:$G$233,FundRaw!$C$4:$C$233,"ant",FundRaw!$E$4:$E$233,"2026",FundRaw!$F$4:$F$233,"ocf",FundRaw!$O$4:$O$233,1))</f>
        <v/>
      </c>
      <c r="F30" s="32" t="str">
        <f aca="false">IF((COUNTIFS(FundRaw!$C$4:$C$233,"ant",FundRaw!$E$4:$E$233,"2026",FundRaw!$F$4:$F$233,"capex_cash",FundRaw!$O$4:$O$233,1))=0,"",SUMIFS(FundRaw!$G$4:$G$233,FundRaw!$C$4:$C$233,"ant",FundRaw!$E$4:$E$233,"2026",FundRaw!$F$4:$F$233,"capex_cash",FundRaw!$O$4:$O$233,1))</f>
        <v/>
      </c>
      <c r="G30" s="32" t="str">
        <f aca="false">IF((COUNTIFS(FundRaw!$C$4:$C$233,"ant",FundRaw!$E$4:$E$233,"2026",FundRaw!$F$4:$F$233,"fin_lease_new",FundRaw!$O$4:$O$233,1))=0,"",SUMIFS(FundRaw!$G$4:$G$233,FundRaw!$C$4:$C$233,"ant",FundRaw!$E$4:$E$233,"2026",FundRaw!$F$4:$F$233,"fin_lease_new",FundRaw!$O$4:$O$233,1))</f>
        <v/>
      </c>
      <c r="H30" s="32" t="str">
        <f aca="false">IF((COUNTIFS(FundRaw!$C$4:$C$233,"ant",FundRaw!$E$4:$E$233,"2026",FundRaw!$F$4:$F$233,"capex_incl_fl",FundRaw!$O$4:$O$233,1))=0,"",SUMIFS(FundRaw!$G$4:$G$233,FundRaw!$C$4:$C$233,"ant",FundRaw!$E$4:$E$233,"2026",FundRaw!$F$4:$F$233,"capex_incl_fl",FundRaw!$O$4:$O$233,1))</f>
        <v/>
      </c>
      <c r="I30" s="32" t="str">
        <f aca="false">IF((COUNTIFS(FundRaw!$C$4:$C$233,"ant",FundRaw!$E$4:$E$233,"2026",FundRaw!$F$4:$F$233,"fcf",FundRaw!$O$4:$O$233,1))=0,"",SUMIFS(FundRaw!$G$4:$G$233,FundRaw!$C$4:$C$233,"ant",FundRaw!$E$4:$E$233,"2026",FundRaw!$F$4:$F$233,"fcf",FundRaw!$O$4:$O$233,1))</f>
        <v/>
      </c>
      <c r="J30" s="32" t="str">
        <f aca="false">IF((COUNTIFS(FundRaw!$C$4:$C$233,"ant",FundRaw!$E$4:$E$233,"2026",FundRaw!$F$4:$F$233,"bond_issue",FundRaw!$O$4:$O$233,1))=0,"",SUMIFS(FundRaw!$G$4:$G$233,FundRaw!$C$4:$C$233,"ant",FundRaw!$E$4:$E$233,"2026",FundRaw!$F$4:$F$233,"bond_issue",FundRaw!$O$4:$O$233,1))</f>
        <v/>
      </c>
      <c r="K30" s="32" t="str">
        <f aca="false">IF((COUNTIFS(FundRaw!$C$4:$C$233,"ant",FundRaw!$E$4:$E$233,"2026",FundRaw!$F$4:$F$233,"term_loan",FundRaw!$O$4:$O$233,1))=0,"",SUMIFS(FundRaw!$G$4:$G$233,FundRaw!$C$4:$C$233,"ant",FundRaw!$E$4:$E$233,"2026",FundRaw!$F$4:$F$233,"term_loan",FundRaw!$O$4:$O$233,1))</f>
        <v/>
      </c>
      <c r="L30" s="32" t="n">
        <f aca="false">IF((COUNTIFS(FundRaw!$C$4:$C$233,"ant",FundRaw!$E$4:$E$233,"2026",FundRaw!$F$4:$F$233,"gpu_debt",FundRaw!$O$4:$O$233,1))=0,"",SUMIFS(FundRaw!$G$4:$G$233,FundRaw!$C$4:$C$233,"ant",FundRaw!$E$4:$E$233,"2026",FundRaw!$F$4:$F$233,"gpu_debt",FundRaw!$O$4:$O$233,1))</f>
        <v>35</v>
      </c>
      <c r="M30" s="32" t="str">
        <f aca="false">IF((COUNTIFS(FundRaw!$C$4:$C$233,"ant",FundRaw!$E$4:$E$233,"2026",FundRaw!$F$4:$F$233,"private_credit",FundRaw!$O$4:$O$233,1))=0,"",SUMIFS(FundRaw!$G$4:$G$233,FundRaw!$C$4:$C$233,"ant",FundRaw!$E$4:$E$233,"2026",FundRaw!$F$4:$F$233,"private_credit",FundRaw!$O$4:$O$233,1))</f>
        <v/>
      </c>
      <c r="N30" s="32" t="str">
        <f aca="false">IF((COUNTIFS(FundRaw!$C$4:$C$233,"ant",FundRaw!$E$4:$E$233,"2026",FundRaw!$F$4:$F$233,"net_debt_change",FundRaw!$O$4:$O$233,1))=0,"",SUMIFS(FundRaw!$G$4:$G$233,FundRaw!$C$4:$C$233,"ant",FundRaw!$E$4:$E$233,"2026",FundRaw!$F$4:$F$233,"net_debt_change",FundRaw!$O$4:$O$233,1))</f>
        <v/>
      </c>
      <c r="O30" s="32" t="str">
        <f aca="false">IF((COUNTIFS(FundRaw!$C$4:$C$233,"ant",FundRaw!$E$4:$E$233,"2026",FundRaw!$F$4:$F$233,"lease_not_commenced",FundRaw!$O$4:$O$233,1))=0,"",SUMIFS(FundRaw!$G$4:$G$233,FundRaw!$C$4:$C$233,"ant",FundRaw!$E$4:$E$233,"2026",FundRaw!$F$4:$F$233,"lease_not_commenced",FundRaw!$O$4:$O$233,1))</f>
        <v/>
      </c>
      <c r="P30" s="32" t="str">
        <f aca="false">IF((COUNTIFS(FundRaw!$C$4:$C$233,"ant",FundRaw!$E$4:$E$233,"2026",FundRaw!$F$4:$F$233,"jv_offbalance",FundRaw!$O$4:$O$233,1))=0,"",SUMIFS(FundRaw!$G$4:$G$233,FundRaw!$C$4:$C$233,"ant",FundRaw!$E$4:$E$233,"2026",FundRaw!$F$4:$F$233,"jv_offbalance",FundRaw!$O$4:$O$233,1))</f>
        <v/>
      </c>
      <c r="Q30" s="32" t="str">
        <f aca="false">IF((COUNTIFS(FundRaw!$C$4:$C$233,"ant",FundRaw!$E$4:$E$233,"2026",FundRaw!$F$4:$F$233,"jv_exposure",FundRaw!$O$4:$O$233,1))=0,"",SUMIFS(FundRaw!$G$4:$G$233,FundRaw!$C$4:$C$233,"ant",FundRaw!$E$4:$E$233,"2026",FundRaw!$F$4:$F$233,"jv_exposure",FundRaw!$O$4:$O$233,1))</f>
        <v/>
      </c>
      <c r="R30" s="32" t="n">
        <f aca="false">IF((COUNTIFS(FundRaw!$C$4:$C$233,"ant",FundRaw!$E$4:$E$233,"2026",FundRaw!$F$4:$F$233,"equity_round",FundRaw!$O$4:$O$233,1))=0,"",SUMIFS(FundRaw!$G$4:$G$233,FundRaw!$C$4:$C$233,"ant",FundRaw!$E$4:$E$233,"2026",FundRaw!$F$4:$F$233,"equity_round",FundRaw!$O$4:$O$233,1))</f>
        <v>95</v>
      </c>
      <c r="S30" s="32" t="n">
        <f aca="false">IF((COUNTIFS(FundRaw!$C$4:$C$233,"ant",FundRaw!$E$4:$E$233,"2026",FundRaw!$F$4:$F$233,"vendor_financing",FundRaw!$O$4:$O$233,1))=0,"",SUMIFS(FundRaw!$G$4:$G$233,FundRaw!$C$4:$C$233,"ant",FundRaw!$E$4:$E$233,"2026",FundRaw!$F$4:$F$233,"vendor_financing",FundRaw!$O$4:$O$233,1))</f>
        <v>42</v>
      </c>
      <c r="T30" s="32" t="str">
        <f aca="false">IF((COUNTIFS(FundRaw!$C$4:$C$233,"ant",FundRaw!$E$4:$E$233,"2026",FundRaw!$F$4:$F$233,"buyback_div",FundRaw!$O$4:$O$233,1))=0,"",SUMIFS(FundRaw!$G$4:$G$233,FundRaw!$C$4:$C$233,"ant",FundRaw!$E$4:$E$233,"2026",FundRaw!$F$4:$F$233,"buyback_div",FundRaw!$O$4:$O$233,1))</f>
        <v/>
      </c>
      <c r="U30" s="32" t="n">
        <f aca="false">IF((COUNTIFS(FundRaw!$C$4:$C$233,"ant",FundRaw!$E$4:$E$233,"2026",FundRaw!$F$4:$F$233,"gpu_debt_talks",FundRaw!$O$4:$O$233,1))=0,"",SUMIFS(FundRaw!$G$4:$G$233,FundRaw!$C$4:$C$233,"ant",FundRaw!$E$4:$E$233,"2026",FundRaw!$F$4:$F$233,"gpu_debt_talks",FundRaw!$O$4:$O$233,1))</f>
        <v>36</v>
      </c>
      <c r="V30" s="32" t="str">
        <f aca="false">IF((COUNTIFS(FundRaw!$C$4:$C$233,"ant",FundRaw!$E$4:$E$233,"2026",FundRaw!$F$4:$F$233,"bridge_refi",FundRaw!$O$4:$O$233,1))=0,"",SUMIFS(FundRaw!$G$4:$G$233,FundRaw!$C$4:$C$233,"ant",FundRaw!$E$4:$E$233,"2026",FundRaw!$F$4:$F$233,"bridge_refi",FundRaw!$O$4:$O$233,1))</f>
        <v/>
      </c>
      <c r="W30" s="32" t="str">
        <f aca="false">IF(H30&lt;&gt;"",H30,IF(F30&lt;&gt;"",F30+N(G30),""))</f>
        <v/>
      </c>
      <c r="X30" s="32" t="str">
        <f aca="false">IF(OR(W30="",E30=""),"",MAX(0,MIN(N(E30),W30-N(Y30))))</f>
        <v/>
      </c>
      <c r="Y30" s="32" t="str">
        <f aca="false">IF(W30="","",IF(AND(H30&lt;&gt;"",F30&lt;&gt;""),MAX(0,H30-F30),N(G30)))</f>
        <v/>
      </c>
      <c r="Z30" s="32" t="str">
        <f aca="false">IF(W30="","",MAX(0,MIN(N(R30),W30-N(X30)-N(Y30))))</f>
        <v/>
      </c>
      <c r="AA30" s="32" t="str">
        <f aca="false">IF(W30="","",MAX(0,MIN(N(J30)+N(K30)+N(L30)+N(M30),W30-N(X30)-N(Y30)-N(Z30))))</f>
        <v/>
      </c>
      <c r="AB30" s="32" t="str">
        <f aca="false">IF(W30="","",W30-N(X30)-N(Y30)-N(Z30)-N(AA30))</f>
        <v/>
      </c>
      <c r="AC30" s="37" t="str">
        <f aca="false">IF(OR(W30="",N(W30)=0,X30=""),"",X30/W30)</f>
        <v/>
      </c>
      <c r="AD30" s="37" t="str">
        <f aca="false">IF(OR(W30="",N(W30)=0,Y30=""),"",Y30/W30)</f>
        <v/>
      </c>
      <c r="AE30" s="37" t="str">
        <f aca="false">IF(OR(W30="",N(W30)=0,Z30=""),"",Z30/W30)</f>
        <v/>
      </c>
      <c r="AF30" s="37" t="str">
        <f aca="false">IF(OR(W30="",N(W30)=0,AA30=""),"",AA30/W30)</f>
        <v/>
      </c>
      <c r="AG30" s="37" t="str">
        <f aca="false">IF(OR(W30="",N(W30)=0,AB30=""),"",AB30/W30)</f>
        <v/>
      </c>
      <c r="AH30" s="32" t="n">
        <f aca="false">N(J30)+N(K30)+N(L30)+N(M30)+N(R30)+N(G30)</f>
        <v>130</v>
      </c>
      <c r="AI30" s="22" t="n">
        <f aca="false">IF(N(AH30)=0,"",(N(J30)+N(K30)+N(L30)+N(M30))/AH30)</f>
        <v>0.269230769230769</v>
      </c>
      <c r="AJ30" s="22" t="n">
        <f aca="false">IF(N(AH30)=0,"",(N(R30))/AH30)</f>
        <v>0.730769230769231</v>
      </c>
      <c r="AK30" s="22" t="n">
        <f aca="false">IF(N(AH30)=0,"",(N(G30))/AH30)</f>
        <v>0</v>
      </c>
      <c r="AL30" s="32" t="n">
        <f aca="false">N(J30)+N(K30)+N(L30)+N(M30)+IF(AND(H30&lt;&gt;"",F30&lt;&gt;""),MAX(0,H30-F30),N(G30))+N(P30)+N(R30)</f>
        <v>130</v>
      </c>
      <c r="AM30" s="37" t="str">
        <f aca="false">IF(OR(W30="",N(W30)=0),"",AL30/W30)</f>
        <v/>
      </c>
      <c r="AN30" s="37" t="str">
        <f aca="false">IF(OR(W30="",N(W30)=0,E30=""),"",E30/W30)</f>
        <v/>
      </c>
      <c r="AO30" s="22" t="str">
        <f aca="false">IF(OR(W30="",N(W30)=0),"",(N(J30)+N(K30)+N(L30)+N(M30))/W30)</f>
        <v/>
      </c>
      <c r="AP30" s="22" t="str">
        <f aca="false">IF(OR(W30="",N(W30)=0),"",N(R30)/W30)</f>
        <v/>
      </c>
      <c r="AQ30" s="22" t="str">
        <f aca="false">IF(OR(W30="",N(W30)=0),"",(IF(AND(H30&lt;&gt;"",F30&lt;&gt;""),MAX(0,H30-F30),N(G30))+N(P30))/W30)</f>
        <v/>
      </c>
    </row>
    <row r="32" customFormat="false" ht="17.15" hidden="false" customHeight="false" outlineLevel="0" collapsed="false">
      <c r="A32" s="21" t="s">
        <v>1696</v>
      </c>
    </row>
    <row r="33" customFormat="false" ht="17.15" hidden="false" customHeight="false" outlineLevel="0" collapsed="false">
      <c r="A33" s="6" t="s">
        <v>1332</v>
      </c>
      <c r="B33" s="6" t="s">
        <v>1610</v>
      </c>
      <c r="C33" s="6" t="s">
        <v>15</v>
      </c>
      <c r="D33" s="6" t="s">
        <v>1697</v>
      </c>
      <c r="E33" s="6" t="s">
        <v>20</v>
      </c>
      <c r="F33" s="7" t="s">
        <v>1698</v>
      </c>
      <c r="G33" s="7" t="s">
        <v>1699</v>
      </c>
    </row>
    <row r="34" customFormat="false" ht="17.15" hidden="false" customHeight="false" outlineLevel="0" collapsed="false">
      <c r="A34" s="0" t="s">
        <v>1683</v>
      </c>
      <c r="B34" s="0" t="s">
        <v>1700</v>
      </c>
      <c r="C34" s="0" t="s">
        <v>1701</v>
      </c>
      <c r="D34" s="0" t="n">
        <v>175</v>
      </c>
      <c r="E34" s="5" t="s">
        <v>1702</v>
      </c>
      <c r="F34" s="0" t="s">
        <v>1703</v>
      </c>
      <c r="G34" s="5" t="s">
        <v>1704</v>
      </c>
    </row>
    <row r="35" customFormat="false" ht="17.15" hidden="false" customHeight="false" outlineLevel="0" collapsed="false">
      <c r="A35" s="0" t="s">
        <v>1683</v>
      </c>
      <c r="B35" s="0" t="s">
        <v>1705</v>
      </c>
      <c r="C35" s="0" t="s">
        <v>1701</v>
      </c>
      <c r="D35" s="0" t="n">
        <v>50</v>
      </c>
      <c r="E35" s="0" t="s">
        <v>1706</v>
      </c>
      <c r="F35" s="0" t="s">
        <v>1707</v>
      </c>
      <c r="G35" s="5" t="s">
        <v>1704</v>
      </c>
    </row>
    <row r="36" customFormat="false" ht="17.15" hidden="false" customHeight="false" outlineLevel="0" collapsed="false">
      <c r="A36" s="0" t="s">
        <v>1687</v>
      </c>
      <c r="B36" s="0" t="s">
        <v>1708</v>
      </c>
      <c r="C36" s="0" t="s">
        <v>1709</v>
      </c>
      <c r="D36" s="0" t="n">
        <v>25</v>
      </c>
      <c r="E36" s="0" t="s">
        <v>1710</v>
      </c>
      <c r="F36" s="0" t="s">
        <v>1711</v>
      </c>
      <c r="G36" s="5" t="s">
        <v>1712</v>
      </c>
    </row>
    <row r="37" customFormat="false" ht="17.15" hidden="false" customHeight="false" outlineLevel="0" collapsed="false">
      <c r="A37" s="0" t="s">
        <v>1687</v>
      </c>
      <c r="B37" s="0" t="s">
        <v>1700</v>
      </c>
      <c r="C37" s="0" t="s">
        <v>1713</v>
      </c>
      <c r="D37" s="0" t="n">
        <v>200</v>
      </c>
      <c r="E37" s="5" t="s">
        <v>1714</v>
      </c>
      <c r="F37" s="0" t="s">
        <v>1715</v>
      </c>
      <c r="G37" s="5" t="s">
        <v>1712</v>
      </c>
    </row>
    <row r="38" customFormat="false" ht="17.15" hidden="false" customHeight="false" outlineLevel="0" collapsed="false">
      <c r="A38" s="0" t="s">
        <v>1687</v>
      </c>
      <c r="B38" s="0" t="s">
        <v>1716</v>
      </c>
      <c r="C38" s="0" t="s">
        <v>1717</v>
      </c>
      <c r="D38" s="0" t="n">
        <v>44</v>
      </c>
      <c r="E38" s="0" t="s">
        <v>1718</v>
      </c>
      <c r="F38" s="0" t="s">
        <v>1719</v>
      </c>
      <c r="G38" s="5" t="s">
        <v>1704</v>
      </c>
    </row>
    <row r="39" customFormat="false" ht="17.15" hidden="false" customHeight="false" outlineLevel="0" collapsed="false">
      <c r="A39" s="0" t="s">
        <v>1691</v>
      </c>
      <c r="B39" s="0" t="s">
        <v>1720</v>
      </c>
      <c r="C39" s="0" t="s">
        <v>1709</v>
      </c>
      <c r="D39" s="0" t="n">
        <v>25</v>
      </c>
      <c r="E39" s="0" t="s">
        <v>1721</v>
      </c>
      <c r="F39" s="0" t="s">
        <v>1722</v>
      </c>
      <c r="G39" s="5" t="s">
        <v>1704</v>
      </c>
    </row>
    <row r="40" customFormat="false" ht="17.15" hidden="false" customHeight="false" outlineLevel="0" collapsed="false">
      <c r="A40" s="0" t="s">
        <v>1691</v>
      </c>
      <c r="B40" s="0" t="s">
        <v>1700</v>
      </c>
      <c r="C40" s="0" t="s">
        <v>1713</v>
      </c>
      <c r="D40" s="0" t="n">
        <v>220</v>
      </c>
      <c r="E40" s="5" t="s">
        <v>1723</v>
      </c>
      <c r="F40" s="0" t="s">
        <v>1724</v>
      </c>
      <c r="G40" s="5" t="s">
        <v>1712</v>
      </c>
    </row>
    <row r="41" customFormat="false" ht="17.15" hidden="false" customHeight="false" outlineLevel="0" collapsed="false">
      <c r="A41" s="0" t="s">
        <v>1691</v>
      </c>
      <c r="B41" s="0" t="s">
        <v>1725</v>
      </c>
      <c r="C41" s="0" t="s">
        <v>1726</v>
      </c>
      <c r="D41" s="0" t="n">
        <v>50</v>
      </c>
      <c r="E41" s="5" t="s">
        <v>1727</v>
      </c>
      <c r="F41" s="0" t="s">
        <v>1728</v>
      </c>
      <c r="G41" s="5" t="s">
        <v>1704</v>
      </c>
    </row>
    <row r="42" customFormat="false" ht="17.15" hidden="false" customHeight="false" outlineLevel="0" collapsed="false">
      <c r="A42" s="0" t="s">
        <v>1038</v>
      </c>
      <c r="B42" s="0" t="s">
        <v>1700</v>
      </c>
      <c r="C42" s="0" t="s">
        <v>1701</v>
      </c>
      <c r="D42" s="0" t="n">
        <v>140</v>
      </c>
      <c r="E42" s="5" t="s">
        <v>1729</v>
      </c>
      <c r="F42" s="0" t="s">
        <v>1730</v>
      </c>
      <c r="G42" s="5" t="s">
        <v>1704</v>
      </c>
    </row>
    <row r="43" customFormat="false" ht="17.15" hidden="false" customHeight="false" outlineLevel="0" collapsed="false">
      <c r="A43" s="0" t="s">
        <v>1038</v>
      </c>
      <c r="B43" s="0" t="s">
        <v>1731</v>
      </c>
      <c r="C43" s="0" t="s">
        <v>1732</v>
      </c>
      <c r="D43" s="0" t="n">
        <v>25</v>
      </c>
      <c r="E43" s="0" t="s">
        <v>1733</v>
      </c>
      <c r="F43" s="0" t="s">
        <v>1734</v>
      </c>
      <c r="G43" s="5" t="s">
        <v>1704</v>
      </c>
    </row>
    <row r="44" customFormat="false" ht="17.15" hidden="false" customHeight="false" outlineLevel="0" collapsed="false">
      <c r="A44" s="0" t="s">
        <v>1038</v>
      </c>
      <c r="B44" s="0" t="s">
        <v>1731</v>
      </c>
      <c r="C44" s="0" t="s">
        <v>1732</v>
      </c>
      <c r="D44" s="0" t="n">
        <v>12.5</v>
      </c>
      <c r="E44" s="0" t="s">
        <v>1735</v>
      </c>
      <c r="F44" s="0" t="s">
        <v>1736</v>
      </c>
      <c r="G44" s="5" t="s">
        <v>1704</v>
      </c>
    </row>
    <row r="45" customFormat="false" ht="17.15" hidden="false" customHeight="false" outlineLevel="0" collapsed="false">
      <c r="A45" s="0" t="s">
        <v>1693</v>
      </c>
      <c r="B45" s="0" t="s">
        <v>1705</v>
      </c>
      <c r="C45" s="0" t="s">
        <v>1737</v>
      </c>
      <c r="D45" s="0" t="n">
        <v>23.103</v>
      </c>
      <c r="E45" s="5" t="s">
        <v>1738</v>
      </c>
      <c r="F45" s="0" t="s">
        <v>1739</v>
      </c>
      <c r="G45" s="5" t="s">
        <v>1704</v>
      </c>
    </row>
    <row r="46" customFormat="false" ht="17.15" hidden="false" customHeight="false" outlineLevel="0" collapsed="false">
      <c r="A46" s="0" t="s">
        <v>1693</v>
      </c>
      <c r="B46" s="0" t="s">
        <v>1705</v>
      </c>
      <c r="C46" s="0" t="s">
        <v>1713</v>
      </c>
      <c r="D46" s="0" t="n">
        <v>28.499</v>
      </c>
      <c r="E46" s="5" t="s">
        <v>1740</v>
      </c>
      <c r="F46" s="0" t="s">
        <v>1741</v>
      </c>
      <c r="G46" s="5" t="s">
        <v>1704</v>
      </c>
    </row>
    <row r="47" customFormat="false" ht="17.15" hidden="false" customHeight="false" outlineLevel="0" collapsed="false">
      <c r="A47" s="0" t="s">
        <v>1693</v>
      </c>
      <c r="B47" s="0" t="s">
        <v>1705</v>
      </c>
      <c r="C47" s="0" t="s">
        <v>1742</v>
      </c>
      <c r="D47" s="0" t="n">
        <v>-5.396</v>
      </c>
      <c r="E47" s="5" t="s">
        <v>1743</v>
      </c>
      <c r="F47" s="0" t="s">
        <v>1744</v>
      </c>
      <c r="G47" s="5" t="s">
        <v>1704</v>
      </c>
    </row>
    <row r="48" customFormat="false" ht="17.15" hidden="false" customHeight="false" outlineLevel="0" collapsed="false">
      <c r="A48" s="0" t="s">
        <v>1693</v>
      </c>
      <c r="B48" s="0" t="s">
        <v>1745</v>
      </c>
      <c r="C48" s="0" t="s">
        <v>1713</v>
      </c>
      <c r="D48" s="0" t="n">
        <v>92.5</v>
      </c>
      <c r="E48" s="5" t="s">
        <v>1746</v>
      </c>
      <c r="F48" s="0" t="s">
        <v>1747</v>
      </c>
      <c r="G48" s="5" t="s">
        <v>1712</v>
      </c>
    </row>
    <row r="49" customFormat="false" ht="17.15" hidden="false" customHeight="false" outlineLevel="0" collapsed="false">
      <c r="A49" s="0" t="s">
        <v>1693</v>
      </c>
      <c r="B49" s="0" t="s">
        <v>1705</v>
      </c>
      <c r="C49" s="0" t="s">
        <v>1732</v>
      </c>
      <c r="D49" s="0" t="n">
        <v>20</v>
      </c>
      <c r="E49" s="0" t="s">
        <v>1748</v>
      </c>
      <c r="F49" s="0" t="s">
        <v>1749</v>
      </c>
      <c r="G49" s="5" t="s">
        <v>1704</v>
      </c>
    </row>
    <row r="50" customFormat="false" ht="17.15" hidden="false" customHeight="false" outlineLevel="0" collapsed="false">
      <c r="A50" s="0" t="s">
        <v>1693</v>
      </c>
      <c r="B50" s="0" t="s">
        <v>138</v>
      </c>
      <c r="C50" s="0" t="s">
        <v>1750</v>
      </c>
      <c r="D50" s="0" t="n">
        <v>88.26</v>
      </c>
      <c r="E50" s="5" t="s">
        <v>1751</v>
      </c>
      <c r="F50" s="0" t="s">
        <v>1752</v>
      </c>
      <c r="G50" s="5" t="s">
        <v>1704</v>
      </c>
    </row>
    <row r="51" customFormat="false" ht="17.15" hidden="false" customHeight="false" outlineLevel="0" collapsed="false">
      <c r="A51" s="0" t="s">
        <v>1693</v>
      </c>
      <c r="B51" s="0" t="s">
        <v>138</v>
      </c>
      <c r="C51" s="0" t="s">
        <v>1753</v>
      </c>
      <c r="D51" s="0" t="n">
        <v>288</v>
      </c>
      <c r="E51" s="5" t="s">
        <v>1754</v>
      </c>
      <c r="F51" s="0" t="s">
        <v>1755</v>
      </c>
      <c r="G51" s="5" t="s">
        <v>1704</v>
      </c>
    </row>
    <row r="52" customFormat="false" ht="17.15" hidden="false" customHeight="false" outlineLevel="0" collapsed="false">
      <c r="A52" s="0" t="s">
        <v>1693</v>
      </c>
      <c r="B52" s="0" t="s">
        <v>138</v>
      </c>
      <c r="C52" s="0" t="s">
        <v>1756</v>
      </c>
      <c r="D52" s="0" t="n">
        <v>34.621</v>
      </c>
      <c r="E52" s="5" t="s">
        <v>1757</v>
      </c>
      <c r="F52" s="0" t="s">
        <v>1758</v>
      </c>
      <c r="G52" s="5" t="s">
        <v>1704</v>
      </c>
    </row>
    <row r="53" customFormat="false" ht="17.15" hidden="false" customHeight="false" outlineLevel="0" collapsed="false">
      <c r="A53" s="0" t="s">
        <v>1693</v>
      </c>
      <c r="B53" s="0" t="s">
        <v>1705</v>
      </c>
      <c r="C53" s="0" t="s">
        <v>1726</v>
      </c>
      <c r="D53" s="0" t="n">
        <v>11.363</v>
      </c>
      <c r="E53" s="5" t="s">
        <v>1759</v>
      </c>
      <c r="F53" s="0" t="s">
        <v>1760</v>
      </c>
      <c r="G53" s="5" t="s">
        <v>1704</v>
      </c>
    </row>
    <row r="54" customFormat="false" ht="17.15" hidden="false" customHeight="false" outlineLevel="0" collapsed="false">
      <c r="A54" s="0" t="s">
        <v>1693</v>
      </c>
      <c r="B54" s="0" t="s">
        <v>1745</v>
      </c>
      <c r="C54" s="0" t="s">
        <v>1742</v>
      </c>
      <c r="D54" s="0" t="n">
        <v>-42</v>
      </c>
      <c r="E54" s="0" t="s">
        <v>1761</v>
      </c>
      <c r="F54" s="0" t="s">
        <v>1762</v>
      </c>
      <c r="G54" s="5" t="s">
        <v>1704</v>
      </c>
    </row>
    <row r="55" customFormat="false" ht="17.15" hidden="false" customHeight="false" outlineLevel="0" collapsed="false">
      <c r="A55" s="0" t="s">
        <v>1076</v>
      </c>
      <c r="B55" s="0" t="s">
        <v>1700</v>
      </c>
      <c r="C55" s="0" t="s">
        <v>1701</v>
      </c>
      <c r="D55" s="0" t="n">
        <v>37</v>
      </c>
      <c r="E55" s="5" t="s">
        <v>1763</v>
      </c>
      <c r="F55" s="0" t="s">
        <v>1764</v>
      </c>
      <c r="G55" s="5" t="s">
        <v>1704</v>
      </c>
    </row>
    <row r="56" customFormat="false" ht="17.15" hidden="false" customHeight="false" outlineLevel="0" collapsed="false">
      <c r="A56" s="0" t="s">
        <v>1076</v>
      </c>
      <c r="B56" s="0" t="s">
        <v>1765</v>
      </c>
      <c r="C56" s="0" t="s">
        <v>1726</v>
      </c>
      <c r="D56" s="0" t="n">
        <v>6.3</v>
      </c>
      <c r="E56" s="0" t="s">
        <v>1766</v>
      </c>
      <c r="F56" s="0" t="s">
        <v>1767</v>
      </c>
      <c r="G56" s="5" t="s">
        <v>1704</v>
      </c>
    </row>
    <row r="57" customFormat="false" ht="17.15" hidden="false" customHeight="false" outlineLevel="0" collapsed="false">
      <c r="A57" s="0" t="s">
        <v>1095</v>
      </c>
      <c r="B57" s="0" t="s">
        <v>1716</v>
      </c>
      <c r="C57" s="0" t="s">
        <v>1709</v>
      </c>
      <c r="D57" s="0" t="n">
        <v>5.75</v>
      </c>
      <c r="E57" s="5" t="s">
        <v>1768</v>
      </c>
      <c r="F57" s="0" t="s">
        <v>1769</v>
      </c>
      <c r="G57" s="0" t="s">
        <v>1770</v>
      </c>
    </row>
    <row r="58" customFormat="false" ht="17.15" hidden="false" customHeight="false" outlineLevel="0" collapsed="false">
      <c r="A58" s="0" t="s">
        <v>1095</v>
      </c>
      <c r="B58" s="0" t="s">
        <v>1771</v>
      </c>
      <c r="C58" s="0" t="s">
        <v>1772</v>
      </c>
      <c r="D58" s="0" t="n">
        <v>0.775</v>
      </c>
      <c r="E58" s="5" t="s">
        <v>1773</v>
      </c>
      <c r="F58" s="0" t="s">
        <v>1774</v>
      </c>
      <c r="G58" s="5" t="s">
        <v>1775</v>
      </c>
    </row>
    <row r="59" customFormat="false" ht="17.15" hidden="false" customHeight="false" outlineLevel="0" collapsed="false">
      <c r="A59" s="0" t="s">
        <v>1095</v>
      </c>
      <c r="B59" s="0" t="s">
        <v>1700</v>
      </c>
      <c r="C59" s="0" t="s">
        <v>1713</v>
      </c>
      <c r="D59" s="0" t="n">
        <v>22.5</v>
      </c>
      <c r="E59" s="5" t="s">
        <v>1776</v>
      </c>
      <c r="F59" s="0" t="s">
        <v>1777</v>
      </c>
      <c r="G59" s="5" t="s">
        <v>1712</v>
      </c>
    </row>
    <row r="60" customFormat="false" ht="17.15" hidden="false" customHeight="false" outlineLevel="0" collapsed="false">
      <c r="A60" s="0" t="s">
        <v>1291</v>
      </c>
      <c r="B60" s="0" t="s">
        <v>1700</v>
      </c>
      <c r="C60" s="0" t="s">
        <v>1742</v>
      </c>
      <c r="D60" s="0" t="n">
        <v>-25</v>
      </c>
      <c r="E60" s="5" t="s">
        <v>1778</v>
      </c>
      <c r="F60" s="0" t="s">
        <v>1779</v>
      </c>
      <c r="G60" s="5" t="s">
        <v>1704</v>
      </c>
    </row>
    <row r="62" customFormat="false" ht="17.15" hidden="false" customHeight="false" outlineLevel="0" collapsed="false">
      <c r="A62" s="21" t="s">
        <v>1780</v>
      </c>
    </row>
    <row r="64" customFormat="false" ht="17.15" hidden="false" customHeight="false" outlineLevel="0" collapsed="false">
      <c r="A64" s="21" t="s">
        <v>1781</v>
      </c>
    </row>
    <row r="65" customFormat="false" ht="17.15" hidden="false" customHeight="false" outlineLevel="0" collapsed="false">
      <c r="A65" s="7" t="s">
        <v>1782</v>
      </c>
      <c r="B65" s="6" t="s">
        <v>1783</v>
      </c>
      <c r="C65" s="6" t="s">
        <v>1784</v>
      </c>
      <c r="D65" s="6" t="s">
        <v>1785</v>
      </c>
      <c r="E65" s="6" t="s">
        <v>1786</v>
      </c>
      <c r="F65" s="6" t="s">
        <v>1787</v>
      </c>
    </row>
    <row r="66" customFormat="false" ht="124.6" hidden="false" customHeight="false" outlineLevel="0" collapsed="false">
      <c r="A66" s="0" t="n">
        <v>1</v>
      </c>
      <c r="B66" s="3" t="s">
        <v>1788</v>
      </c>
      <c r="C66" s="3" t="s">
        <v>1291</v>
      </c>
      <c r="D66" s="2" t="s">
        <v>1789</v>
      </c>
      <c r="E66" s="3" t="s">
        <v>1790</v>
      </c>
      <c r="F66" s="3" t="s">
        <v>1791</v>
      </c>
    </row>
    <row r="67" customFormat="false" ht="151.45" hidden="false" customHeight="false" outlineLevel="0" collapsed="false">
      <c r="A67" s="0" t="n">
        <v>2</v>
      </c>
      <c r="B67" s="3" t="s">
        <v>1788</v>
      </c>
      <c r="C67" s="2" t="s">
        <v>1792</v>
      </c>
      <c r="D67" s="2" t="s">
        <v>1793</v>
      </c>
      <c r="E67" s="2" t="s">
        <v>1794</v>
      </c>
      <c r="F67" s="3" t="s">
        <v>1795</v>
      </c>
    </row>
    <row r="68" customFormat="false" ht="79.85" hidden="false" customHeight="false" outlineLevel="0" collapsed="false">
      <c r="A68" s="0" t="n">
        <v>3</v>
      </c>
      <c r="B68" s="3" t="s">
        <v>1788</v>
      </c>
      <c r="C68" s="3" t="s">
        <v>1293</v>
      </c>
      <c r="D68" s="2" t="s">
        <v>1796</v>
      </c>
      <c r="E68" s="3" t="s">
        <v>1797</v>
      </c>
      <c r="F68" s="3" t="s">
        <v>1798</v>
      </c>
    </row>
    <row r="69" customFormat="false" ht="75.35" hidden="false" customHeight="false" outlineLevel="0" collapsed="false">
      <c r="A69" s="0" t="n">
        <v>4</v>
      </c>
      <c r="B69" s="3" t="s">
        <v>1788</v>
      </c>
      <c r="C69" s="3" t="s">
        <v>1292</v>
      </c>
      <c r="D69" s="2" t="s">
        <v>1799</v>
      </c>
      <c r="E69" s="3" t="s">
        <v>1800</v>
      </c>
      <c r="F69" s="3" t="s">
        <v>1801</v>
      </c>
    </row>
    <row r="70" customFormat="false" ht="64.15" hidden="false" customHeight="false" outlineLevel="0" collapsed="false">
      <c r="A70" s="0" t="n">
        <v>5</v>
      </c>
      <c r="B70" s="3" t="s">
        <v>1802</v>
      </c>
      <c r="C70" s="3" t="s">
        <v>1291</v>
      </c>
      <c r="D70" s="2" t="s">
        <v>1803</v>
      </c>
      <c r="E70" s="3" t="s">
        <v>1804</v>
      </c>
      <c r="F70" s="3" t="s">
        <v>1805</v>
      </c>
    </row>
    <row r="71" customFormat="false" ht="48.5" hidden="false" customHeight="false" outlineLevel="0" collapsed="false">
      <c r="A71" s="0" t="n">
        <v>6</v>
      </c>
      <c r="B71" s="3" t="s">
        <v>1802</v>
      </c>
      <c r="C71" s="3" t="s">
        <v>1292</v>
      </c>
      <c r="D71" s="2" t="s">
        <v>1806</v>
      </c>
      <c r="E71" s="2" t="s">
        <v>1807</v>
      </c>
      <c r="F71" s="3" t="s">
        <v>1808</v>
      </c>
    </row>
    <row r="72" customFormat="false" ht="77.6" hidden="false" customHeight="false" outlineLevel="0" collapsed="false">
      <c r="A72" s="0" t="n">
        <v>7</v>
      </c>
      <c r="B72" s="3" t="s">
        <v>1683</v>
      </c>
      <c r="C72" s="3" t="s">
        <v>1291</v>
      </c>
      <c r="D72" s="2" t="s">
        <v>1809</v>
      </c>
      <c r="E72" s="3" t="s">
        <v>1810</v>
      </c>
      <c r="F72" s="3" t="s">
        <v>1811</v>
      </c>
    </row>
    <row r="73" customFormat="false" ht="44" hidden="false" customHeight="false" outlineLevel="0" collapsed="false">
      <c r="A73" s="0" t="n">
        <v>8</v>
      </c>
      <c r="B73" s="3" t="s">
        <v>1683</v>
      </c>
      <c r="C73" s="3" t="s">
        <v>1292</v>
      </c>
      <c r="D73" s="2" t="s">
        <v>1812</v>
      </c>
      <c r="E73" s="3" t="s">
        <v>1813</v>
      </c>
      <c r="F73" s="3" t="s">
        <v>1801</v>
      </c>
    </row>
    <row r="74" customFormat="false" ht="108.95" hidden="false" customHeight="false" outlineLevel="0" collapsed="false">
      <c r="A74" s="0" t="n">
        <v>9</v>
      </c>
      <c r="B74" s="3" t="s">
        <v>1683</v>
      </c>
      <c r="C74" s="3" t="s">
        <v>1814</v>
      </c>
      <c r="D74" s="2" t="s">
        <v>1815</v>
      </c>
      <c r="E74" s="2" t="s">
        <v>1816</v>
      </c>
      <c r="F74" s="3" t="s">
        <v>1817</v>
      </c>
    </row>
    <row r="75" customFormat="false" ht="91" hidden="false" customHeight="false" outlineLevel="0" collapsed="false">
      <c r="A75" s="0" t="n">
        <v>10</v>
      </c>
      <c r="B75" s="3" t="s">
        <v>1691</v>
      </c>
      <c r="C75" s="3" t="s">
        <v>1291</v>
      </c>
      <c r="D75" s="3" t="s">
        <v>1818</v>
      </c>
      <c r="E75" s="3" t="s">
        <v>1819</v>
      </c>
      <c r="F75" s="3" t="s">
        <v>1820</v>
      </c>
    </row>
    <row r="76" customFormat="false" ht="61.9" hidden="false" customHeight="false" outlineLevel="0" collapsed="false">
      <c r="A76" s="0" t="n">
        <v>11</v>
      </c>
      <c r="B76" s="3" t="s">
        <v>1691</v>
      </c>
      <c r="C76" s="3" t="s">
        <v>1292</v>
      </c>
      <c r="D76" s="2" t="s">
        <v>1821</v>
      </c>
      <c r="E76" s="3" t="s">
        <v>1822</v>
      </c>
      <c r="F76" s="3" t="s">
        <v>1823</v>
      </c>
    </row>
    <row r="77" customFormat="false" ht="211.9" hidden="false" customHeight="false" outlineLevel="0" collapsed="false">
      <c r="A77" s="0" t="n">
        <v>12</v>
      </c>
      <c r="B77" s="3" t="s">
        <v>1824</v>
      </c>
      <c r="C77" s="3" t="s">
        <v>1292</v>
      </c>
      <c r="D77" s="2" t="s">
        <v>1825</v>
      </c>
      <c r="E77" s="3" t="s">
        <v>1826</v>
      </c>
      <c r="F77" s="3" t="s">
        <v>1827</v>
      </c>
    </row>
    <row r="78" customFormat="false" ht="79.85" hidden="false" customHeight="false" outlineLevel="0" collapsed="false">
      <c r="A78" s="0" t="n">
        <v>13</v>
      </c>
      <c r="B78" s="3" t="s">
        <v>1828</v>
      </c>
      <c r="C78" s="3" t="s">
        <v>1292</v>
      </c>
      <c r="D78" s="2" t="s">
        <v>1829</v>
      </c>
      <c r="E78" s="3" t="s">
        <v>1830</v>
      </c>
      <c r="F78" s="3" t="s">
        <v>1831</v>
      </c>
    </row>
    <row r="79" customFormat="false" ht="106.7" hidden="false" customHeight="false" outlineLevel="0" collapsed="false">
      <c r="A79" s="0" t="n">
        <v>14</v>
      </c>
      <c r="B79" s="3" t="s">
        <v>1832</v>
      </c>
      <c r="C79" s="3" t="s">
        <v>1291</v>
      </c>
      <c r="D79" s="2" t="s">
        <v>1833</v>
      </c>
      <c r="E79" s="3" t="s">
        <v>1834</v>
      </c>
      <c r="F79" s="3" t="s">
        <v>1835</v>
      </c>
    </row>
    <row r="80" customFormat="false" ht="111.15" hidden="false" customHeight="false" outlineLevel="0" collapsed="false">
      <c r="A80" s="0" t="n">
        <v>15</v>
      </c>
      <c r="B80" s="3" t="s">
        <v>1693</v>
      </c>
      <c r="C80" s="3" t="s">
        <v>1291</v>
      </c>
      <c r="D80" s="2" t="s">
        <v>1836</v>
      </c>
      <c r="E80" s="3" t="s">
        <v>1837</v>
      </c>
      <c r="F80" s="3" t="s">
        <v>1838</v>
      </c>
    </row>
    <row r="81" customFormat="false" ht="93.25" hidden="false" customHeight="false" outlineLevel="0" collapsed="false">
      <c r="A81" s="0" t="n">
        <v>16</v>
      </c>
      <c r="B81" s="3" t="s">
        <v>1839</v>
      </c>
      <c r="C81" s="3" t="s">
        <v>1292</v>
      </c>
      <c r="D81" s="3" t="s">
        <v>35</v>
      </c>
      <c r="E81" s="3" t="s">
        <v>1840</v>
      </c>
      <c r="F81" s="3" t="s">
        <v>1841</v>
      </c>
    </row>
    <row r="82" customFormat="false" ht="64.15" hidden="false" customHeight="false" outlineLevel="0" collapsed="false">
      <c r="A82" s="0" t="n">
        <v>17</v>
      </c>
      <c r="B82" s="3" t="s">
        <v>1842</v>
      </c>
      <c r="C82" s="3" t="s">
        <v>1038</v>
      </c>
      <c r="D82" s="2" t="s">
        <v>1843</v>
      </c>
      <c r="E82" s="3" t="s">
        <v>1844</v>
      </c>
      <c r="F82" s="3" t="s">
        <v>1845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8"/>
    <col collapsed="false" customWidth="true" hidden="false" outlineLevel="0" max="7" min="7" style="0" width="9"/>
    <col collapsed="false" customWidth="true" hidden="false" outlineLevel="0" max="8" min="8" style="0" width="7"/>
    <col collapsed="false" customWidth="true" hidden="false" outlineLevel="0" max="9" min="9" style="0" width="50"/>
    <col collapsed="false" customWidth="true" hidden="false" outlineLevel="0" max="10" min="10" style="0" width="18"/>
    <col collapsed="false" customWidth="true" hidden="false" outlineLevel="0" max="12" min="11" style="0" width="30"/>
    <col collapsed="false" customWidth="true" hidden="false" outlineLevel="0" max="13" min="13" style="0" width="14"/>
    <col collapsed="false" customWidth="true" hidden="false" outlineLevel="0" max="14" min="14" style="0" width="40"/>
    <col collapsed="false" customWidth="true" hidden="false" outlineLevel="0" max="15" min="15" style="0" width="5"/>
  </cols>
  <sheetData>
    <row r="1" customFormat="false" ht="17.15" hidden="false" customHeight="false" outlineLevel="0" collapsed="false">
      <c r="A1" s="0" t="s">
        <v>1846</v>
      </c>
    </row>
    <row r="3" customFormat="false" ht="17.15" hidden="false" customHeight="false" outlineLevel="0" collapsed="false">
      <c r="A3" s="7" t="s">
        <v>1698</v>
      </c>
      <c r="B3" s="6" t="s">
        <v>1332</v>
      </c>
      <c r="C3" s="6" t="s">
        <v>14</v>
      </c>
      <c r="D3" s="6" t="s">
        <v>1610</v>
      </c>
      <c r="E3" s="6" t="s">
        <v>1847</v>
      </c>
      <c r="F3" s="6" t="s">
        <v>15</v>
      </c>
      <c r="G3" s="6" t="s">
        <v>1697</v>
      </c>
      <c r="H3" s="6" t="s">
        <v>17</v>
      </c>
      <c r="I3" s="6" t="s">
        <v>20</v>
      </c>
      <c r="J3" s="6" t="s">
        <v>18</v>
      </c>
      <c r="K3" s="6" t="s">
        <v>1848</v>
      </c>
      <c r="L3" s="6" t="s">
        <v>1849</v>
      </c>
      <c r="M3" s="7" t="s">
        <v>1699</v>
      </c>
      <c r="N3" s="7" t="s">
        <v>1850</v>
      </c>
      <c r="O3" s="6" t="s">
        <v>1851</v>
      </c>
    </row>
    <row r="4" customFormat="false" ht="17.15" hidden="false" customHeight="false" outlineLevel="0" collapsed="false">
      <c r="A4" s="17" t="s">
        <v>1852</v>
      </c>
      <c r="B4" s="17" t="s">
        <v>1683</v>
      </c>
      <c r="C4" s="17" t="s">
        <v>506</v>
      </c>
      <c r="D4" s="17" t="s">
        <v>1684</v>
      </c>
      <c r="E4" s="17" t="s">
        <v>22</v>
      </c>
      <c r="F4" s="17" t="s">
        <v>1737</v>
      </c>
      <c r="G4" s="17" t="n">
        <v>118.548</v>
      </c>
      <c r="H4" s="17" t="s">
        <v>1853</v>
      </c>
      <c r="I4" s="18" t="s">
        <v>1854</v>
      </c>
      <c r="J4" s="17" t="s">
        <v>1855</v>
      </c>
      <c r="K4" s="17" t="s">
        <v>1856</v>
      </c>
      <c r="L4" s="17" t="s">
        <v>1857</v>
      </c>
      <c r="M4" s="18" t="s">
        <v>1858</v>
      </c>
      <c r="N4" s="17"/>
      <c r="O4" s="17" t="n">
        <v>0</v>
      </c>
    </row>
    <row r="5" customFormat="false" ht="17.15" hidden="false" customHeight="false" outlineLevel="0" collapsed="false">
      <c r="A5" s="17" t="s">
        <v>1859</v>
      </c>
      <c r="B5" s="17" t="s">
        <v>1683</v>
      </c>
      <c r="C5" s="17" t="s">
        <v>506</v>
      </c>
      <c r="D5" s="17" t="s">
        <v>1684</v>
      </c>
      <c r="E5" s="17" t="s">
        <v>22</v>
      </c>
      <c r="F5" s="17" t="s">
        <v>1713</v>
      </c>
      <c r="G5" s="17" t="n">
        <v>44.477</v>
      </c>
      <c r="H5" s="17" t="s">
        <v>1853</v>
      </c>
      <c r="I5" s="17" t="s">
        <v>1860</v>
      </c>
      <c r="J5" s="17" t="s">
        <v>1855</v>
      </c>
      <c r="K5" s="17" t="s">
        <v>1856</v>
      </c>
      <c r="L5" s="17" t="s">
        <v>1857</v>
      </c>
      <c r="M5" s="18" t="s">
        <v>1858</v>
      </c>
      <c r="N5" s="17"/>
      <c r="O5" s="17" t="n">
        <v>0</v>
      </c>
    </row>
    <row r="6" customFormat="false" ht="17.15" hidden="false" customHeight="false" outlineLevel="0" collapsed="false">
      <c r="A6" s="17" t="s">
        <v>1861</v>
      </c>
      <c r="B6" s="17" t="s">
        <v>1683</v>
      </c>
      <c r="C6" s="17" t="s">
        <v>506</v>
      </c>
      <c r="D6" s="17" t="s">
        <v>1684</v>
      </c>
      <c r="E6" s="17" t="s">
        <v>22</v>
      </c>
      <c r="F6" s="17" t="s">
        <v>1862</v>
      </c>
      <c r="G6" s="17" t="n">
        <v>11.633</v>
      </c>
      <c r="H6" s="17" t="s">
        <v>1853</v>
      </c>
      <c r="I6" s="18" t="s">
        <v>1863</v>
      </c>
      <c r="J6" s="17" t="s">
        <v>1855</v>
      </c>
      <c r="K6" s="17" t="s">
        <v>1856</v>
      </c>
      <c r="L6" s="17" t="s">
        <v>1857</v>
      </c>
      <c r="M6" s="18" t="s">
        <v>1858</v>
      </c>
      <c r="N6" s="17"/>
      <c r="O6" s="17" t="n">
        <v>0</v>
      </c>
    </row>
    <row r="7" customFormat="false" ht="17.15" hidden="false" customHeight="false" outlineLevel="0" collapsed="false">
      <c r="A7" s="17" t="s">
        <v>1864</v>
      </c>
      <c r="B7" s="17" t="s">
        <v>1683</v>
      </c>
      <c r="C7" s="17" t="s">
        <v>506</v>
      </c>
      <c r="D7" s="17" t="s">
        <v>1684</v>
      </c>
      <c r="E7" s="17" t="s">
        <v>22</v>
      </c>
      <c r="F7" s="17" t="s">
        <v>1701</v>
      </c>
      <c r="G7" s="17" t="n">
        <v>56.11</v>
      </c>
      <c r="H7" s="17" t="s">
        <v>1853</v>
      </c>
      <c r="I7" s="18" t="s">
        <v>1865</v>
      </c>
      <c r="J7" s="17" t="s">
        <v>1866</v>
      </c>
      <c r="K7" s="17" t="s">
        <v>1856</v>
      </c>
      <c r="L7" s="17" t="s">
        <v>1857</v>
      </c>
      <c r="M7" s="18" t="s">
        <v>1858</v>
      </c>
      <c r="N7" s="17"/>
      <c r="O7" s="17" t="n">
        <v>0</v>
      </c>
    </row>
    <row r="8" customFormat="false" ht="17.15" hidden="false" customHeight="false" outlineLevel="0" collapsed="false">
      <c r="A8" s="17" t="s">
        <v>1867</v>
      </c>
      <c r="B8" s="17" t="s">
        <v>1683</v>
      </c>
      <c r="C8" s="17" t="s">
        <v>506</v>
      </c>
      <c r="D8" s="17" t="s">
        <v>1684</v>
      </c>
      <c r="E8" s="17" t="s">
        <v>22</v>
      </c>
      <c r="F8" s="17" t="s">
        <v>1742</v>
      </c>
      <c r="G8" s="17" t="n">
        <v>74.071</v>
      </c>
      <c r="H8" s="17" t="s">
        <v>1853</v>
      </c>
      <c r="I8" s="18" t="s">
        <v>1868</v>
      </c>
      <c r="J8" s="17" t="s">
        <v>1866</v>
      </c>
      <c r="K8" s="17" t="s">
        <v>1856</v>
      </c>
      <c r="L8" s="17" t="s">
        <v>1857</v>
      </c>
      <c r="M8" s="18" t="s">
        <v>1858</v>
      </c>
      <c r="N8" s="17"/>
      <c r="O8" s="17" t="n">
        <v>0</v>
      </c>
    </row>
    <row r="9" customFormat="false" ht="17.15" hidden="false" customHeight="false" outlineLevel="0" collapsed="false">
      <c r="A9" s="0" t="s">
        <v>1869</v>
      </c>
      <c r="B9" s="0" t="s">
        <v>1683</v>
      </c>
      <c r="C9" s="0" t="s">
        <v>506</v>
      </c>
      <c r="D9" s="0" t="s">
        <v>1684</v>
      </c>
      <c r="E9" s="0" t="s">
        <v>22</v>
      </c>
      <c r="F9" s="0" t="s">
        <v>1870</v>
      </c>
      <c r="G9" s="9" t="n">
        <v>39.025</v>
      </c>
      <c r="H9" s="20" t="s">
        <v>1853</v>
      </c>
      <c r="I9" s="5" t="s">
        <v>1871</v>
      </c>
      <c r="J9" s="20" t="s">
        <v>1855</v>
      </c>
      <c r="K9" s="20" t="s">
        <v>1872</v>
      </c>
      <c r="L9" s="20" t="s">
        <v>1857</v>
      </c>
      <c r="M9" s="5" t="s">
        <v>1704</v>
      </c>
      <c r="O9" s="0" t="n">
        <v>1</v>
      </c>
    </row>
    <row r="10" customFormat="false" ht="17.15" hidden="false" customHeight="false" outlineLevel="0" collapsed="false">
      <c r="A10" s="0" t="s">
        <v>1873</v>
      </c>
      <c r="B10" s="0" t="s">
        <v>1683</v>
      </c>
      <c r="C10" s="0" t="s">
        <v>506</v>
      </c>
      <c r="D10" s="0" t="s">
        <v>1685</v>
      </c>
      <c r="E10" s="0" t="s">
        <v>23</v>
      </c>
      <c r="F10" s="0" t="s">
        <v>1737</v>
      </c>
      <c r="G10" s="9" t="n">
        <v>136.162</v>
      </c>
      <c r="H10" s="20" t="s">
        <v>1853</v>
      </c>
      <c r="I10" s="5" t="s">
        <v>1874</v>
      </c>
      <c r="J10" s="20" t="s">
        <v>1855</v>
      </c>
      <c r="K10" s="20" t="s">
        <v>1872</v>
      </c>
      <c r="L10" s="20" t="s">
        <v>1857</v>
      </c>
      <c r="M10" s="5" t="s">
        <v>1704</v>
      </c>
      <c r="O10" s="0" t="n">
        <v>1</v>
      </c>
    </row>
    <row r="11" customFormat="false" ht="17.15" hidden="false" customHeight="false" outlineLevel="0" collapsed="false">
      <c r="A11" s="0" t="s">
        <v>1875</v>
      </c>
      <c r="B11" s="0" t="s">
        <v>1683</v>
      </c>
      <c r="C11" s="0" t="s">
        <v>506</v>
      </c>
      <c r="D11" s="0" t="s">
        <v>1685</v>
      </c>
      <c r="E11" s="0" t="s">
        <v>23</v>
      </c>
      <c r="F11" s="0" t="s">
        <v>1713</v>
      </c>
      <c r="G11" s="9" t="n">
        <v>64.551</v>
      </c>
      <c r="H11" s="20" t="s">
        <v>1853</v>
      </c>
      <c r="I11" s="20" t="s">
        <v>1876</v>
      </c>
      <c r="J11" s="20" t="s">
        <v>1855</v>
      </c>
      <c r="K11" s="20" t="s">
        <v>1872</v>
      </c>
      <c r="L11" s="20" t="s">
        <v>1857</v>
      </c>
      <c r="M11" s="5" t="s">
        <v>1704</v>
      </c>
      <c r="O11" s="0" t="n">
        <v>1</v>
      </c>
    </row>
    <row r="12" customFormat="false" ht="17.15" hidden="false" customHeight="false" outlineLevel="0" collapsed="false">
      <c r="A12" s="0" t="s">
        <v>1877</v>
      </c>
      <c r="B12" s="0" t="s">
        <v>1683</v>
      </c>
      <c r="C12" s="0" t="s">
        <v>506</v>
      </c>
      <c r="D12" s="0" t="s">
        <v>1685</v>
      </c>
      <c r="E12" s="0" t="s">
        <v>23</v>
      </c>
      <c r="F12" s="0" t="s">
        <v>1862</v>
      </c>
      <c r="G12" s="9" t="n">
        <v>20.511</v>
      </c>
      <c r="H12" s="20" t="s">
        <v>1853</v>
      </c>
      <c r="I12" s="5" t="s">
        <v>1878</v>
      </c>
      <c r="J12" s="20" t="s">
        <v>1855</v>
      </c>
      <c r="K12" s="20" t="s">
        <v>1872</v>
      </c>
      <c r="L12" s="20" t="s">
        <v>1857</v>
      </c>
      <c r="M12" s="20" t="s">
        <v>1770</v>
      </c>
      <c r="O12" s="0" t="n">
        <v>1</v>
      </c>
    </row>
    <row r="13" customFormat="false" ht="17.15" hidden="false" customHeight="false" outlineLevel="0" collapsed="false">
      <c r="A13" s="0" t="s">
        <v>1879</v>
      </c>
      <c r="B13" s="0" t="s">
        <v>1683</v>
      </c>
      <c r="C13" s="0" t="s">
        <v>506</v>
      </c>
      <c r="D13" s="0" t="s">
        <v>1685</v>
      </c>
      <c r="E13" s="0" t="s">
        <v>23</v>
      </c>
      <c r="F13" s="0" t="s">
        <v>1701</v>
      </c>
      <c r="G13" s="9" t="n">
        <v>85.062</v>
      </c>
      <c r="H13" s="20" t="s">
        <v>1853</v>
      </c>
      <c r="I13" s="5" t="s">
        <v>1880</v>
      </c>
      <c r="J13" s="20" t="s">
        <v>1866</v>
      </c>
      <c r="K13" s="20" t="s">
        <v>1872</v>
      </c>
      <c r="L13" s="20" t="s">
        <v>1857</v>
      </c>
      <c r="M13" s="20" t="s">
        <v>1770</v>
      </c>
      <c r="O13" s="0" t="n">
        <v>1</v>
      </c>
    </row>
    <row r="14" customFormat="false" ht="17.15" hidden="false" customHeight="false" outlineLevel="0" collapsed="false">
      <c r="A14" s="17" t="s">
        <v>1881</v>
      </c>
      <c r="B14" s="17" t="s">
        <v>1683</v>
      </c>
      <c r="C14" s="17" t="s">
        <v>506</v>
      </c>
      <c r="D14" s="17" t="s">
        <v>1685</v>
      </c>
      <c r="E14" s="17" t="s">
        <v>23</v>
      </c>
      <c r="F14" s="17" t="s">
        <v>1742</v>
      </c>
      <c r="G14" s="17" t="n">
        <v>71.611</v>
      </c>
      <c r="H14" s="17" t="s">
        <v>1853</v>
      </c>
      <c r="I14" s="18" t="s">
        <v>1868</v>
      </c>
      <c r="J14" s="17" t="s">
        <v>1866</v>
      </c>
      <c r="K14" s="17" t="s">
        <v>1856</v>
      </c>
      <c r="L14" s="17" t="s">
        <v>1857</v>
      </c>
      <c r="M14" s="18" t="s">
        <v>1858</v>
      </c>
      <c r="N14" s="17"/>
      <c r="O14" s="17" t="n">
        <v>0</v>
      </c>
    </row>
    <row r="15" customFormat="false" ht="17.15" hidden="false" customHeight="false" outlineLevel="0" collapsed="false">
      <c r="A15" s="0" t="s">
        <v>1882</v>
      </c>
      <c r="B15" s="0" t="s">
        <v>1683</v>
      </c>
      <c r="C15" s="0" t="s">
        <v>506</v>
      </c>
      <c r="D15" s="0" t="s">
        <v>1685</v>
      </c>
      <c r="E15" s="0" t="s">
        <v>23</v>
      </c>
      <c r="F15" s="0" t="s">
        <v>1870</v>
      </c>
      <c r="G15" s="9" t="n">
        <v>42.502</v>
      </c>
      <c r="H15" s="20" t="s">
        <v>1853</v>
      </c>
      <c r="I15" s="5" t="s">
        <v>1883</v>
      </c>
      <c r="J15" s="20" t="s">
        <v>1855</v>
      </c>
      <c r="K15" s="20" t="s">
        <v>1872</v>
      </c>
      <c r="L15" s="20" t="s">
        <v>1857</v>
      </c>
      <c r="M15" s="5" t="s">
        <v>1704</v>
      </c>
      <c r="O15" s="0" t="n">
        <v>1</v>
      </c>
    </row>
    <row r="16" customFormat="false" ht="17.15" hidden="false" customHeight="false" outlineLevel="0" collapsed="false">
      <c r="A16" s="0" t="s">
        <v>1884</v>
      </c>
      <c r="B16" s="0" t="s">
        <v>1683</v>
      </c>
      <c r="C16" s="0" t="s">
        <v>506</v>
      </c>
      <c r="D16" s="0" t="s">
        <v>1686</v>
      </c>
      <c r="E16" s="0" t="s">
        <v>24</v>
      </c>
      <c r="F16" s="0" t="s">
        <v>1737</v>
      </c>
      <c r="G16" s="9" t="n">
        <v>182.935</v>
      </c>
      <c r="H16" s="20" t="s">
        <v>1853</v>
      </c>
      <c r="I16" s="5" t="s">
        <v>1874</v>
      </c>
      <c r="J16" s="20" t="s">
        <v>1855</v>
      </c>
      <c r="K16" s="20" t="s">
        <v>1872</v>
      </c>
      <c r="L16" s="20" t="s">
        <v>1857</v>
      </c>
      <c r="M16" s="5" t="s">
        <v>1704</v>
      </c>
      <c r="O16" s="0" t="n">
        <v>1</v>
      </c>
    </row>
    <row r="17" customFormat="false" ht="17.15" hidden="false" customHeight="false" outlineLevel="0" collapsed="false">
      <c r="A17" s="0" t="s">
        <v>1885</v>
      </c>
      <c r="B17" s="0" t="s">
        <v>1683</v>
      </c>
      <c r="C17" s="0" t="s">
        <v>506</v>
      </c>
      <c r="D17" s="0" t="s">
        <v>1686</v>
      </c>
      <c r="E17" s="0" t="s">
        <v>24</v>
      </c>
      <c r="F17" s="0" t="s">
        <v>1713</v>
      </c>
      <c r="G17" s="9" t="n">
        <v>115.948</v>
      </c>
      <c r="H17" s="20" t="s">
        <v>1853</v>
      </c>
      <c r="I17" s="20" t="s">
        <v>1876</v>
      </c>
      <c r="J17" s="20" t="s">
        <v>1855</v>
      </c>
      <c r="K17" s="20" t="s">
        <v>1872</v>
      </c>
      <c r="L17" s="20" t="s">
        <v>1857</v>
      </c>
      <c r="M17" s="5" t="s">
        <v>1704</v>
      </c>
      <c r="O17" s="0" t="n">
        <v>1</v>
      </c>
    </row>
    <row r="18" customFormat="false" ht="17.15" hidden="false" customHeight="false" outlineLevel="0" collapsed="false">
      <c r="A18" s="17" t="s">
        <v>1886</v>
      </c>
      <c r="B18" s="17" t="s">
        <v>1683</v>
      </c>
      <c r="C18" s="17" t="s">
        <v>506</v>
      </c>
      <c r="D18" s="17" t="s">
        <v>1686</v>
      </c>
      <c r="E18" s="17" t="s">
        <v>24</v>
      </c>
      <c r="F18" s="17" t="s">
        <v>1862</v>
      </c>
      <c r="G18" s="17" t="n">
        <v>24.608</v>
      </c>
      <c r="H18" s="17" t="s">
        <v>1853</v>
      </c>
      <c r="I18" s="18" t="s">
        <v>1863</v>
      </c>
      <c r="J18" s="17" t="s">
        <v>1855</v>
      </c>
      <c r="K18" s="17" t="s">
        <v>1856</v>
      </c>
      <c r="L18" s="17" t="s">
        <v>1857</v>
      </c>
      <c r="M18" s="18" t="s">
        <v>1887</v>
      </c>
      <c r="N18" s="17"/>
      <c r="O18" s="17" t="n">
        <v>0</v>
      </c>
    </row>
    <row r="19" customFormat="false" ht="17.15" hidden="false" customHeight="false" outlineLevel="0" collapsed="false">
      <c r="A19" s="0" t="s">
        <v>1888</v>
      </c>
      <c r="B19" s="0" t="s">
        <v>1683</v>
      </c>
      <c r="C19" s="0" t="s">
        <v>506</v>
      </c>
      <c r="D19" s="0" t="s">
        <v>1686</v>
      </c>
      <c r="E19" s="0" t="s">
        <v>24</v>
      </c>
      <c r="F19" s="0" t="s">
        <v>1701</v>
      </c>
      <c r="G19" s="9" t="n">
        <v>140.556</v>
      </c>
      <c r="H19" s="20" t="s">
        <v>1853</v>
      </c>
      <c r="I19" s="5" t="s">
        <v>1880</v>
      </c>
      <c r="J19" s="20" t="s">
        <v>1866</v>
      </c>
      <c r="K19" s="20" t="s">
        <v>1872</v>
      </c>
      <c r="L19" s="20" t="s">
        <v>1857</v>
      </c>
      <c r="M19" s="20" t="s">
        <v>1770</v>
      </c>
      <c r="O19" s="0" t="n">
        <v>1</v>
      </c>
    </row>
    <row r="20" customFormat="false" ht="17.15" hidden="false" customHeight="false" outlineLevel="0" collapsed="false">
      <c r="A20" s="17" t="s">
        <v>1889</v>
      </c>
      <c r="B20" s="17" t="s">
        <v>1683</v>
      </c>
      <c r="C20" s="17" t="s">
        <v>506</v>
      </c>
      <c r="D20" s="17" t="s">
        <v>1686</v>
      </c>
      <c r="E20" s="17" t="s">
        <v>24</v>
      </c>
      <c r="F20" s="17" t="s">
        <v>1742</v>
      </c>
      <c r="G20" s="17" t="n">
        <v>66.987</v>
      </c>
      <c r="H20" s="17" t="s">
        <v>1853</v>
      </c>
      <c r="I20" s="18" t="s">
        <v>1868</v>
      </c>
      <c r="J20" s="17" t="s">
        <v>1866</v>
      </c>
      <c r="K20" s="17" t="s">
        <v>1856</v>
      </c>
      <c r="L20" s="17" t="s">
        <v>1857</v>
      </c>
      <c r="M20" s="18" t="s">
        <v>1858</v>
      </c>
      <c r="N20" s="17"/>
      <c r="O20" s="17" t="n">
        <v>0</v>
      </c>
    </row>
    <row r="21" customFormat="false" ht="17.15" hidden="false" customHeight="false" outlineLevel="0" collapsed="false">
      <c r="A21" s="0" t="s">
        <v>1890</v>
      </c>
      <c r="B21" s="0" t="s">
        <v>1683</v>
      </c>
      <c r="C21" s="0" t="s">
        <v>506</v>
      </c>
      <c r="D21" s="0" t="s">
        <v>1686</v>
      </c>
      <c r="E21" s="0" t="s">
        <v>24</v>
      </c>
      <c r="F21" s="0" t="s">
        <v>1870</v>
      </c>
      <c r="G21" s="9" t="n">
        <v>48.716</v>
      </c>
      <c r="H21" s="20" t="s">
        <v>1853</v>
      </c>
      <c r="I21" s="5" t="s">
        <v>1891</v>
      </c>
      <c r="J21" s="20" t="s">
        <v>1855</v>
      </c>
      <c r="K21" s="20" t="s">
        <v>1872</v>
      </c>
      <c r="L21" s="20" t="s">
        <v>1857</v>
      </c>
      <c r="M21" s="5" t="s">
        <v>1704</v>
      </c>
      <c r="O21" s="0" t="n">
        <v>1</v>
      </c>
    </row>
    <row r="22" customFormat="false" ht="17.15" hidden="false" customHeight="false" outlineLevel="0" collapsed="false">
      <c r="A22" s="0" t="s">
        <v>1892</v>
      </c>
      <c r="B22" s="0" t="s">
        <v>1683</v>
      </c>
      <c r="C22" s="0" t="s">
        <v>506</v>
      </c>
      <c r="D22" s="0" t="s">
        <v>1684</v>
      </c>
      <c r="E22" s="0" t="s">
        <v>22</v>
      </c>
      <c r="F22" s="0" t="s">
        <v>1709</v>
      </c>
      <c r="G22" s="9" t="n">
        <v>24.395</v>
      </c>
      <c r="H22" s="20" t="s">
        <v>1853</v>
      </c>
      <c r="I22" s="5" t="s">
        <v>1893</v>
      </c>
      <c r="J22" s="20" t="s">
        <v>1855</v>
      </c>
      <c r="K22" s="20" t="s">
        <v>1872</v>
      </c>
      <c r="L22" s="20" t="s">
        <v>1857</v>
      </c>
      <c r="M22" s="5" t="s">
        <v>1704</v>
      </c>
      <c r="O22" s="0" t="n">
        <v>1</v>
      </c>
    </row>
    <row r="23" customFormat="false" ht="17.15" hidden="false" customHeight="false" outlineLevel="0" collapsed="false">
      <c r="A23" s="0" t="s">
        <v>1894</v>
      </c>
      <c r="B23" s="0" t="s">
        <v>1683</v>
      </c>
      <c r="C23" s="0" t="s">
        <v>506</v>
      </c>
      <c r="D23" s="0" t="s">
        <v>1685</v>
      </c>
      <c r="E23" s="0" t="s">
        <v>23</v>
      </c>
      <c r="F23" s="0" t="s">
        <v>1709</v>
      </c>
      <c r="G23" s="9" t="n">
        <v>0</v>
      </c>
      <c r="H23" s="20" t="s">
        <v>1853</v>
      </c>
      <c r="I23" s="5" t="s">
        <v>1893</v>
      </c>
      <c r="J23" s="20" t="s">
        <v>1855</v>
      </c>
      <c r="K23" s="20" t="s">
        <v>1872</v>
      </c>
      <c r="L23" s="20" t="s">
        <v>1857</v>
      </c>
      <c r="M23" s="5" t="s">
        <v>1704</v>
      </c>
      <c r="O23" s="0" t="n">
        <v>1</v>
      </c>
    </row>
    <row r="24" customFormat="false" ht="17.15" hidden="false" customHeight="false" outlineLevel="0" collapsed="false">
      <c r="A24" s="0" t="s">
        <v>1895</v>
      </c>
      <c r="B24" s="0" t="s">
        <v>1683</v>
      </c>
      <c r="C24" s="0" t="s">
        <v>506</v>
      </c>
      <c r="D24" s="0" t="s">
        <v>1686</v>
      </c>
      <c r="E24" s="0" t="s">
        <v>24</v>
      </c>
      <c r="F24" s="0" t="s">
        <v>1709</v>
      </c>
      <c r="G24" s="9" t="n">
        <v>0</v>
      </c>
      <c r="H24" s="20" t="s">
        <v>1853</v>
      </c>
      <c r="I24" s="5" t="s">
        <v>1893</v>
      </c>
      <c r="J24" s="20" t="s">
        <v>1855</v>
      </c>
      <c r="K24" s="20" t="s">
        <v>1872</v>
      </c>
      <c r="L24" s="20" t="s">
        <v>1857</v>
      </c>
      <c r="M24" s="5" t="s">
        <v>1704</v>
      </c>
      <c r="O24" s="0" t="n">
        <v>1</v>
      </c>
    </row>
    <row r="25" customFormat="false" ht="17.15" hidden="false" customHeight="false" outlineLevel="0" collapsed="false">
      <c r="A25" s="17" t="s">
        <v>1896</v>
      </c>
      <c r="B25" s="17" t="s">
        <v>1683</v>
      </c>
      <c r="C25" s="17" t="s">
        <v>506</v>
      </c>
      <c r="D25" s="17" t="s">
        <v>1686</v>
      </c>
      <c r="E25" s="17" t="s">
        <v>24</v>
      </c>
      <c r="F25" s="17" t="s">
        <v>1897</v>
      </c>
      <c r="G25" s="17" t="n">
        <v>-2.857</v>
      </c>
      <c r="H25" s="17" t="s">
        <v>1853</v>
      </c>
      <c r="I25" s="18" t="s">
        <v>1898</v>
      </c>
      <c r="J25" s="17" t="s">
        <v>1866</v>
      </c>
      <c r="K25" s="17" t="s">
        <v>1856</v>
      </c>
      <c r="L25" s="17" t="s">
        <v>1857</v>
      </c>
      <c r="M25" s="18" t="s">
        <v>1858</v>
      </c>
      <c r="N25" s="17"/>
      <c r="O25" s="17" t="n">
        <v>0</v>
      </c>
    </row>
    <row r="26" customFormat="false" ht="17.15" hidden="false" customHeight="false" outlineLevel="0" collapsed="false">
      <c r="A26" s="17" t="s">
        <v>1899</v>
      </c>
      <c r="B26" s="17" t="s">
        <v>1683</v>
      </c>
      <c r="C26" s="17" t="s">
        <v>506</v>
      </c>
      <c r="D26" s="17" t="s">
        <v>1684</v>
      </c>
      <c r="E26" s="17" t="s">
        <v>22</v>
      </c>
      <c r="F26" s="17" t="s">
        <v>1756</v>
      </c>
      <c r="G26" s="17" t="n">
        <v>6.703</v>
      </c>
      <c r="H26" s="17" t="s">
        <v>1853</v>
      </c>
      <c r="I26" s="18" t="s">
        <v>1900</v>
      </c>
      <c r="J26" s="17" t="s">
        <v>1855</v>
      </c>
      <c r="K26" s="17" t="s">
        <v>1856</v>
      </c>
      <c r="L26" s="17" t="s">
        <v>1857</v>
      </c>
      <c r="M26" s="18" t="s">
        <v>1858</v>
      </c>
      <c r="N26" s="17"/>
      <c r="O26" s="17" t="n">
        <v>0</v>
      </c>
    </row>
    <row r="27" customFormat="false" ht="17.15" hidden="false" customHeight="false" outlineLevel="0" collapsed="false">
      <c r="A27" s="17" t="s">
        <v>1901</v>
      </c>
      <c r="B27" s="17" t="s">
        <v>1683</v>
      </c>
      <c r="C27" s="17" t="s">
        <v>506</v>
      </c>
      <c r="D27" s="17" t="s">
        <v>1685</v>
      </c>
      <c r="E27" s="17" t="s">
        <v>23</v>
      </c>
      <c r="F27" s="17" t="s">
        <v>1756</v>
      </c>
      <c r="G27" s="17" t="n">
        <v>7.826</v>
      </c>
      <c r="H27" s="17" t="s">
        <v>1853</v>
      </c>
      <c r="I27" s="18" t="s">
        <v>1900</v>
      </c>
      <c r="J27" s="17" t="s">
        <v>1855</v>
      </c>
      <c r="K27" s="17" t="s">
        <v>1856</v>
      </c>
      <c r="L27" s="17" t="s">
        <v>1857</v>
      </c>
      <c r="M27" s="18" t="s">
        <v>1858</v>
      </c>
      <c r="N27" s="17"/>
      <c r="O27" s="17" t="n">
        <v>0</v>
      </c>
    </row>
    <row r="28" customFormat="false" ht="17.15" hidden="false" customHeight="false" outlineLevel="0" collapsed="false">
      <c r="A28" s="17" t="s">
        <v>1902</v>
      </c>
      <c r="B28" s="17" t="s">
        <v>1683</v>
      </c>
      <c r="C28" s="17" t="s">
        <v>506</v>
      </c>
      <c r="D28" s="17" t="s">
        <v>1686</v>
      </c>
      <c r="E28" s="17" t="s">
        <v>24</v>
      </c>
      <c r="F28" s="17" t="s">
        <v>1756</v>
      </c>
      <c r="G28" s="17" t="n">
        <v>4.555</v>
      </c>
      <c r="H28" s="17" t="s">
        <v>1853</v>
      </c>
      <c r="I28" s="18" t="s">
        <v>1900</v>
      </c>
      <c r="J28" s="17" t="s">
        <v>1855</v>
      </c>
      <c r="K28" s="17" t="s">
        <v>1856</v>
      </c>
      <c r="L28" s="17" t="s">
        <v>1857</v>
      </c>
      <c r="M28" s="18" t="s">
        <v>1858</v>
      </c>
      <c r="N28" s="17"/>
      <c r="O28" s="17" t="n">
        <v>0</v>
      </c>
    </row>
    <row r="29" customFormat="false" ht="17.15" hidden="false" customHeight="false" outlineLevel="0" collapsed="false">
      <c r="A29" s="0" t="s">
        <v>1903</v>
      </c>
      <c r="B29" s="0" t="s">
        <v>1683</v>
      </c>
      <c r="C29" s="0" t="s">
        <v>506</v>
      </c>
      <c r="D29" s="0" t="s">
        <v>119</v>
      </c>
      <c r="E29" s="0" t="s">
        <v>24</v>
      </c>
      <c r="F29" s="0" t="s">
        <v>1753</v>
      </c>
      <c r="G29" s="9" t="n">
        <v>329.1</v>
      </c>
      <c r="H29" s="20" t="s">
        <v>1853</v>
      </c>
      <c r="I29" s="5" t="s">
        <v>1904</v>
      </c>
      <c r="J29" s="20" t="s">
        <v>1855</v>
      </c>
      <c r="K29" s="20" t="s">
        <v>1872</v>
      </c>
      <c r="L29" s="20" t="s">
        <v>1857</v>
      </c>
      <c r="M29" s="5" t="s">
        <v>1704</v>
      </c>
      <c r="O29" s="0" t="n">
        <v>1</v>
      </c>
    </row>
    <row r="30" customFormat="false" ht="17.15" hidden="false" customHeight="false" outlineLevel="0" collapsed="false">
      <c r="A30" s="17" t="s">
        <v>1905</v>
      </c>
      <c r="B30" s="17" t="s">
        <v>1683</v>
      </c>
      <c r="C30" s="17" t="s">
        <v>506</v>
      </c>
      <c r="D30" s="17" t="s">
        <v>119</v>
      </c>
      <c r="E30" s="17" t="s">
        <v>24</v>
      </c>
      <c r="F30" s="17" t="s">
        <v>1906</v>
      </c>
      <c r="G30" s="17" t="n">
        <v>194.06</v>
      </c>
      <c r="H30" s="17" t="s">
        <v>1853</v>
      </c>
      <c r="I30" s="18" t="s">
        <v>1907</v>
      </c>
      <c r="J30" s="17" t="s">
        <v>1855</v>
      </c>
      <c r="K30" s="17" t="s">
        <v>1856</v>
      </c>
      <c r="L30" s="17" t="s">
        <v>1857</v>
      </c>
      <c r="M30" s="18" t="s">
        <v>1858</v>
      </c>
      <c r="N30" s="17"/>
      <c r="O30" s="17" t="n">
        <v>0</v>
      </c>
    </row>
    <row r="31" customFormat="false" ht="17.15" hidden="false" customHeight="false" outlineLevel="0" collapsed="false">
      <c r="A31" s="0" t="s">
        <v>1703</v>
      </c>
      <c r="B31" s="0" t="s">
        <v>1683</v>
      </c>
      <c r="C31" s="0" t="s">
        <v>506</v>
      </c>
      <c r="D31" s="0" t="s">
        <v>1700</v>
      </c>
      <c r="E31" s="0" t="s">
        <v>1908</v>
      </c>
      <c r="F31" s="0" t="s">
        <v>1701</v>
      </c>
      <c r="G31" s="9" t="n">
        <v>175</v>
      </c>
      <c r="H31" s="20" t="s">
        <v>1853</v>
      </c>
      <c r="I31" s="5" t="s">
        <v>1702</v>
      </c>
      <c r="J31" s="20" t="s">
        <v>1909</v>
      </c>
      <c r="K31" s="20" t="s">
        <v>1910</v>
      </c>
      <c r="L31" s="20" t="s">
        <v>1911</v>
      </c>
      <c r="M31" s="5" t="s">
        <v>1704</v>
      </c>
      <c r="O31" s="0" t="n">
        <v>1</v>
      </c>
    </row>
    <row r="32" customFormat="false" ht="17.15" hidden="false" customHeight="false" outlineLevel="0" collapsed="false">
      <c r="A32" s="0" t="s">
        <v>1707</v>
      </c>
      <c r="B32" s="0" t="s">
        <v>1683</v>
      </c>
      <c r="C32" s="0" t="s">
        <v>506</v>
      </c>
      <c r="D32" s="0" t="s">
        <v>1705</v>
      </c>
      <c r="E32" s="0" t="s">
        <v>1912</v>
      </c>
      <c r="F32" s="0" t="s">
        <v>1701</v>
      </c>
      <c r="G32" s="9" t="n">
        <v>50</v>
      </c>
      <c r="H32" s="20" t="s">
        <v>1853</v>
      </c>
      <c r="I32" s="20" t="s">
        <v>1706</v>
      </c>
      <c r="J32" s="20" t="s">
        <v>1909</v>
      </c>
      <c r="K32" s="20" t="s">
        <v>1910</v>
      </c>
      <c r="L32" s="20" t="s">
        <v>1913</v>
      </c>
      <c r="M32" s="5" t="s">
        <v>1704</v>
      </c>
      <c r="O32" s="0" t="n">
        <v>1</v>
      </c>
    </row>
    <row r="33" customFormat="false" ht="17.15" hidden="false" customHeight="false" outlineLevel="0" collapsed="false">
      <c r="A33" s="17" t="s">
        <v>1914</v>
      </c>
      <c r="B33" s="17" t="s">
        <v>1683</v>
      </c>
      <c r="C33" s="17" t="s">
        <v>506</v>
      </c>
      <c r="D33" s="17" t="s">
        <v>1915</v>
      </c>
      <c r="E33" s="17" t="s">
        <v>24</v>
      </c>
      <c r="F33" s="17" t="s">
        <v>1916</v>
      </c>
      <c r="G33" s="17" t="n">
        <v>60</v>
      </c>
      <c r="H33" s="17" t="s">
        <v>1853</v>
      </c>
      <c r="I33" s="17" t="s">
        <v>1917</v>
      </c>
      <c r="J33" s="17" t="s">
        <v>1918</v>
      </c>
      <c r="K33" s="17" t="s">
        <v>1919</v>
      </c>
      <c r="L33" s="17" t="s">
        <v>1920</v>
      </c>
      <c r="M33" s="17" t="s">
        <v>1921</v>
      </c>
      <c r="N33" s="17" t="s">
        <v>1922</v>
      </c>
      <c r="O33" s="17" t="n">
        <v>0</v>
      </c>
    </row>
    <row r="34" customFormat="false" ht="17.15" hidden="false" customHeight="false" outlineLevel="0" collapsed="false">
      <c r="A34" s="17" t="s">
        <v>1923</v>
      </c>
      <c r="B34" s="17" t="s">
        <v>1683</v>
      </c>
      <c r="C34" s="17" t="s">
        <v>506</v>
      </c>
      <c r="D34" s="17" t="s">
        <v>119</v>
      </c>
      <c r="E34" s="17" t="s">
        <v>24</v>
      </c>
      <c r="F34" s="17" t="s">
        <v>1726</v>
      </c>
      <c r="G34" s="17" t="n">
        <v>11.9</v>
      </c>
      <c r="H34" s="17" t="s">
        <v>1853</v>
      </c>
      <c r="I34" s="18" t="s">
        <v>1924</v>
      </c>
      <c r="J34" s="17" t="s">
        <v>1855</v>
      </c>
      <c r="K34" s="17" t="s">
        <v>1856</v>
      </c>
      <c r="L34" s="17" t="s">
        <v>1857</v>
      </c>
      <c r="M34" s="18" t="s">
        <v>1858</v>
      </c>
      <c r="N34" s="17"/>
      <c r="O34" s="17" t="n">
        <v>0</v>
      </c>
    </row>
    <row r="35" customFormat="false" ht="17.15" hidden="false" customHeight="false" outlineLevel="0" collapsed="false">
      <c r="A35" s="17" t="s">
        <v>1925</v>
      </c>
      <c r="B35" s="17" t="s">
        <v>1683</v>
      </c>
      <c r="C35" s="17" t="s">
        <v>506</v>
      </c>
      <c r="D35" s="17" t="s">
        <v>1926</v>
      </c>
      <c r="E35" s="17" t="s">
        <v>24</v>
      </c>
      <c r="F35" s="17" t="s">
        <v>1726</v>
      </c>
      <c r="G35" s="17" t="n">
        <v>250</v>
      </c>
      <c r="H35" s="17" t="s">
        <v>1853</v>
      </c>
      <c r="I35" s="17" t="s">
        <v>1927</v>
      </c>
      <c r="J35" s="17" t="s">
        <v>1909</v>
      </c>
      <c r="K35" s="17" t="s">
        <v>1928</v>
      </c>
      <c r="L35" s="17" t="s">
        <v>1929</v>
      </c>
      <c r="M35" s="18" t="s">
        <v>1858</v>
      </c>
      <c r="N35" s="17"/>
      <c r="O35" s="17" t="n">
        <v>0</v>
      </c>
    </row>
    <row r="36" customFormat="false" ht="17.15" hidden="false" customHeight="false" outlineLevel="0" collapsed="false">
      <c r="A36" s="17" t="s">
        <v>1930</v>
      </c>
      <c r="B36" s="17" t="s">
        <v>1687</v>
      </c>
      <c r="C36" s="17" t="s">
        <v>511</v>
      </c>
      <c r="D36" s="17" t="s">
        <v>1688</v>
      </c>
      <c r="E36" s="17" t="s">
        <v>22</v>
      </c>
      <c r="F36" s="17" t="s">
        <v>1737</v>
      </c>
      <c r="G36" s="17" t="n">
        <v>125.299</v>
      </c>
      <c r="H36" s="17" t="s">
        <v>1853</v>
      </c>
      <c r="I36" s="18" t="s">
        <v>1931</v>
      </c>
      <c r="J36" s="17" t="s">
        <v>1855</v>
      </c>
      <c r="K36" s="17" t="s">
        <v>1932</v>
      </c>
      <c r="L36" s="17" t="s">
        <v>1933</v>
      </c>
      <c r="M36" s="18" t="s">
        <v>1858</v>
      </c>
      <c r="N36" s="17"/>
      <c r="O36" s="17" t="n">
        <v>0</v>
      </c>
    </row>
    <row r="37" customFormat="false" ht="17.15" hidden="false" customHeight="false" outlineLevel="0" collapsed="false">
      <c r="A37" s="17" t="s">
        <v>1934</v>
      </c>
      <c r="B37" s="17" t="s">
        <v>1687</v>
      </c>
      <c r="C37" s="17" t="s">
        <v>511</v>
      </c>
      <c r="D37" s="17" t="s">
        <v>1688</v>
      </c>
      <c r="E37" s="17" t="s">
        <v>22</v>
      </c>
      <c r="F37" s="17" t="s">
        <v>1713</v>
      </c>
      <c r="G37" s="17" t="n">
        <v>52.535</v>
      </c>
      <c r="H37" s="17" t="s">
        <v>1853</v>
      </c>
      <c r="I37" s="17" t="s">
        <v>1935</v>
      </c>
      <c r="J37" s="17" t="s">
        <v>1855</v>
      </c>
      <c r="K37" s="17" t="s">
        <v>1932</v>
      </c>
      <c r="L37" s="17" t="s">
        <v>1933</v>
      </c>
      <c r="M37" s="18" t="s">
        <v>1858</v>
      </c>
      <c r="N37" s="17"/>
      <c r="O37" s="17" t="n">
        <v>0</v>
      </c>
    </row>
    <row r="38" customFormat="false" ht="17.15" hidden="false" customHeight="false" outlineLevel="0" collapsed="false">
      <c r="A38" s="17" t="s">
        <v>1936</v>
      </c>
      <c r="B38" s="17" t="s">
        <v>1687</v>
      </c>
      <c r="C38" s="17" t="s">
        <v>511</v>
      </c>
      <c r="D38" s="17" t="s">
        <v>1688</v>
      </c>
      <c r="E38" s="17" t="s">
        <v>22</v>
      </c>
      <c r="F38" s="17" t="s">
        <v>1742</v>
      </c>
      <c r="G38" s="17" t="n">
        <v>72.764</v>
      </c>
      <c r="H38" s="17" t="s">
        <v>1853</v>
      </c>
      <c r="I38" s="17" t="s">
        <v>1937</v>
      </c>
      <c r="J38" s="17" t="s">
        <v>1866</v>
      </c>
      <c r="K38" s="17" t="s">
        <v>1932</v>
      </c>
      <c r="L38" s="17" t="s">
        <v>1933</v>
      </c>
      <c r="M38" s="18" t="s">
        <v>1858</v>
      </c>
      <c r="N38" s="17"/>
      <c r="O38" s="17" t="n">
        <v>0</v>
      </c>
    </row>
    <row r="39" customFormat="false" ht="17.15" hidden="false" customHeight="false" outlineLevel="0" collapsed="false">
      <c r="A39" s="17" t="s">
        <v>1938</v>
      </c>
      <c r="B39" s="17" t="s">
        <v>1687</v>
      </c>
      <c r="C39" s="17" t="s">
        <v>511</v>
      </c>
      <c r="D39" s="17" t="s">
        <v>1688</v>
      </c>
      <c r="E39" s="17" t="s">
        <v>22</v>
      </c>
      <c r="F39" s="17" t="s">
        <v>1870</v>
      </c>
      <c r="G39" s="17" t="n">
        <v>69.585</v>
      </c>
      <c r="H39" s="17" t="s">
        <v>1853</v>
      </c>
      <c r="I39" s="18" t="s">
        <v>1939</v>
      </c>
      <c r="J39" s="17" t="s">
        <v>1855</v>
      </c>
      <c r="K39" s="17" t="s">
        <v>1932</v>
      </c>
      <c r="L39" s="17" t="s">
        <v>1933</v>
      </c>
      <c r="M39" s="18" t="s">
        <v>1858</v>
      </c>
      <c r="N39" s="17"/>
      <c r="O39" s="17" t="n">
        <v>0</v>
      </c>
    </row>
    <row r="40" customFormat="false" ht="17.15" hidden="false" customHeight="false" outlineLevel="0" collapsed="false">
      <c r="A40" s="17" t="s">
        <v>1940</v>
      </c>
      <c r="B40" s="17" t="s">
        <v>1687</v>
      </c>
      <c r="C40" s="17" t="s">
        <v>511</v>
      </c>
      <c r="D40" s="17" t="s">
        <v>1688</v>
      </c>
      <c r="E40" s="17" t="s">
        <v>22</v>
      </c>
      <c r="F40" s="17" t="s">
        <v>1709</v>
      </c>
      <c r="G40" s="17" t="n">
        <v>13.589</v>
      </c>
      <c r="H40" s="17" t="s">
        <v>1853</v>
      </c>
      <c r="I40" s="18" t="s">
        <v>1941</v>
      </c>
      <c r="J40" s="17" t="s">
        <v>1855</v>
      </c>
      <c r="K40" s="17" t="s">
        <v>1932</v>
      </c>
      <c r="L40" s="17" t="s">
        <v>1933</v>
      </c>
      <c r="M40" s="18" t="s">
        <v>1858</v>
      </c>
      <c r="N40" s="17"/>
      <c r="O40" s="17" t="n">
        <v>0</v>
      </c>
    </row>
    <row r="41" customFormat="false" ht="17.15" hidden="false" customHeight="false" outlineLevel="0" collapsed="false">
      <c r="A41" s="0" t="s">
        <v>1942</v>
      </c>
      <c r="B41" s="0" t="s">
        <v>1687</v>
      </c>
      <c r="C41" s="0" t="s">
        <v>511</v>
      </c>
      <c r="D41" s="0" t="s">
        <v>1689</v>
      </c>
      <c r="E41" s="0" t="s">
        <v>23</v>
      </c>
      <c r="F41" s="0" t="s">
        <v>1737</v>
      </c>
      <c r="G41" s="9" t="n">
        <v>164.713</v>
      </c>
      <c r="H41" s="20" t="s">
        <v>1853</v>
      </c>
      <c r="I41" s="5" t="s">
        <v>1931</v>
      </c>
      <c r="J41" s="20" t="s">
        <v>1855</v>
      </c>
      <c r="K41" s="20" t="s">
        <v>1943</v>
      </c>
      <c r="L41" s="20" t="s">
        <v>1933</v>
      </c>
      <c r="M41" s="20" t="s">
        <v>1770</v>
      </c>
      <c r="O41" s="0" t="n">
        <v>1</v>
      </c>
    </row>
    <row r="42" customFormat="false" ht="17.15" hidden="false" customHeight="false" outlineLevel="0" collapsed="false">
      <c r="A42" s="0" t="s">
        <v>1944</v>
      </c>
      <c r="B42" s="0" t="s">
        <v>1687</v>
      </c>
      <c r="C42" s="0" t="s">
        <v>511</v>
      </c>
      <c r="D42" s="0" t="s">
        <v>1689</v>
      </c>
      <c r="E42" s="0" t="s">
        <v>23</v>
      </c>
      <c r="F42" s="0" t="s">
        <v>1713</v>
      </c>
      <c r="G42" s="9" t="n">
        <v>91.447</v>
      </c>
      <c r="H42" s="20" t="s">
        <v>1853</v>
      </c>
      <c r="I42" s="20" t="s">
        <v>1945</v>
      </c>
      <c r="J42" s="20" t="s">
        <v>1855</v>
      </c>
      <c r="K42" s="20" t="s">
        <v>1943</v>
      </c>
      <c r="L42" s="20" t="s">
        <v>1933</v>
      </c>
      <c r="M42" s="20" t="s">
        <v>1770</v>
      </c>
      <c r="O42" s="0" t="n">
        <v>1</v>
      </c>
    </row>
    <row r="43" customFormat="false" ht="17.15" hidden="false" customHeight="false" outlineLevel="0" collapsed="false">
      <c r="A43" s="0" t="s">
        <v>1946</v>
      </c>
      <c r="B43" s="0" t="s">
        <v>1687</v>
      </c>
      <c r="C43" s="0" t="s">
        <v>511</v>
      </c>
      <c r="D43" s="0" t="s">
        <v>1689</v>
      </c>
      <c r="E43" s="0" t="s">
        <v>23</v>
      </c>
      <c r="F43" s="0" t="s">
        <v>1742</v>
      </c>
      <c r="G43" s="9" t="n">
        <v>73.266</v>
      </c>
      <c r="H43" s="20" t="s">
        <v>1853</v>
      </c>
      <c r="I43" s="20" t="s">
        <v>1947</v>
      </c>
      <c r="J43" s="20" t="s">
        <v>1866</v>
      </c>
      <c r="K43" s="20" t="s">
        <v>1943</v>
      </c>
      <c r="L43" s="20" t="s">
        <v>1933</v>
      </c>
      <c r="M43" s="20" t="s">
        <v>1770</v>
      </c>
      <c r="O43" s="0" t="n">
        <v>1</v>
      </c>
    </row>
    <row r="44" customFormat="false" ht="17.15" hidden="false" customHeight="false" outlineLevel="0" collapsed="false">
      <c r="A44" s="0" t="s">
        <v>1948</v>
      </c>
      <c r="B44" s="0" t="s">
        <v>1687</v>
      </c>
      <c r="C44" s="0" t="s">
        <v>511</v>
      </c>
      <c r="D44" s="0" t="s">
        <v>1689</v>
      </c>
      <c r="E44" s="0" t="s">
        <v>23</v>
      </c>
      <c r="F44" s="0" t="s">
        <v>1870</v>
      </c>
      <c r="G44" s="9" t="n">
        <v>55.758</v>
      </c>
      <c r="H44" s="20" t="s">
        <v>1853</v>
      </c>
      <c r="I44" s="5" t="s">
        <v>1949</v>
      </c>
      <c r="J44" s="20" t="s">
        <v>1855</v>
      </c>
      <c r="K44" s="20" t="s">
        <v>1943</v>
      </c>
      <c r="L44" s="20" t="s">
        <v>1933</v>
      </c>
      <c r="M44" s="20" t="s">
        <v>1770</v>
      </c>
      <c r="O44" s="0" t="n">
        <v>1</v>
      </c>
    </row>
    <row r="45" customFormat="false" ht="17.15" hidden="false" customHeight="false" outlineLevel="0" collapsed="false">
      <c r="A45" s="0" t="s">
        <v>1950</v>
      </c>
      <c r="B45" s="0" t="s">
        <v>1687</v>
      </c>
      <c r="C45" s="0" t="s">
        <v>511</v>
      </c>
      <c r="D45" s="0" t="s">
        <v>1689</v>
      </c>
      <c r="E45" s="0" t="s">
        <v>23</v>
      </c>
      <c r="F45" s="0" t="s">
        <v>1709</v>
      </c>
      <c r="G45" s="9" t="n">
        <v>64.564</v>
      </c>
      <c r="H45" s="20" t="s">
        <v>1853</v>
      </c>
      <c r="I45" s="5" t="s">
        <v>1951</v>
      </c>
      <c r="J45" s="20" t="s">
        <v>1855</v>
      </c>
      <c r="K45" s="20" t="s">
        <v>1943</v>
      </c>
      <c r="L45" s="20" t="s">
        <v>1933</v>
      </c>
      <c r="M45" s="20" t="s">
        <v>1770</v>
      </c>
      <c r="O45" s="0" t="n">
        <v>1</v>
      </c>
    </row>
    <row r="46" customFormat="false" ht="17.15" hidden="false" customHeight="false" outlineLevel="0" collapsed="false">
      <c r="A46" s="0" t="s">
        <v>1952</v>
      </c>
      <c r="B46" s="0" t="s">
        <v>1687</v>
      </c>
      <c r="C46" s="0" t="s">
        <v>511</v>
      </c>
      <c r="D46" s="0" t="s">
        <v>1690</v>
      </c>
      <c r="E46" s="0" t="s">
        <v>24</v>
      </c>
      <c r="F46" s="0" t="s">
        <v>1737</v>
      </c>
      <c r="G46" s="9" t="n">
        <v>84.859</v>
      </c>
      <c r="H46" s="20" t="s">
        <v>1853</v>
      </c>
      <c r="I46" s="20" t="s">
        <v>1953</v>
      </c>
      <c r="J46" s="20" t="s">
        <v>1909</v>
      </c>
      <c r="K46" s="20" t="s">
        <v>1954</v>
      </c>
      <c r="L46" s="20" t="s">
        <v>1955</v>
      </c>
      <c r="M46" s="5" t="s">
        <v>1704</v>
      </c>
      <c r="O46" s="0" t="n">
        <v>1</v>
      </c>
    </row>
    <row r="47" customFormat="false" ht="17.15" hidden="false" customHeight="false" outlineLevel="0" collapsed="false">
      <c r="A47" s="0" t="s">
        <v>1956</v>
      </c>
      <c r="B47" s="0" t="s">
        <v>1687</v>
      </c>
      <c r="C47" s="0" t="s">
        <v>511</v>
      </c>
      <c r="D47" s="0" t="s">
        <v>1690</v>
      </c>
      <c r="E47" s="0" t="s">
        <v>24</v>
      </c>
      <c r="F47" s="0" t="s">
        <v>1713</v>
      </c>
      <c r="G47" s="9" t="n">
        <v>80.598</v>
      </c>
      <c r="H47" s="20" t="s">
        <v>1853</v>
      </c>
      <c r="I47" s="20" t="s">
        <v>1957</v>
      </c>
      <c r="J47" s="20" t="s">
        <v>1909</v>
      </c>
      <c r="K47" s="20" t="s">
        <v>1954</v>
      </c>
      <c r="L47" s="20" t="s">
        <v>1955</v>
      </c>
      <c r="M47" s="5" t="s">
        <v>1704</v>
      </c>
      <c r="O47" s="0" t="n">
        <v>1</v>
      </c>
    </row>
    <row r="48" customFormat="false" ht="17.15" hidden="false" customHeight="false" outlineLevel="0" collapsed="false">
      <c r="A48" s="0" t="s">
        <v>1958</v>
      </c>
      <c r="B48" s="0" t="s">
        <v>1687</v>
      </c>
      <c r="C48" s="0" t="s">
        <v>511</v>
      </c>
      <c r="D48" s="0" t="s">
        <v>1690</v>
      </c>
      <c r="E48" s="0" t="s">
        <v>24</v>
      </c>
      <c r="F48" s="0" t="s">
        <v>1742</v>
      </c>
      <c r="G48" s="9" t="n">
        <v>4.261</v>
      </c>
      <c r="H48" s="20" t="s">
        <v>1853</v>
      </c>
      <c r="I48" s="20" t="s">
        <v>1959</v>
      </c>
      <c r="J48" s="20" t="s">
        <v>1866</v>
      </c>
      <c r="K48" s="20" t="s">
        <v>1954</v>
      </c>
      <c r="L48" s="20" t="s">
        <v>1955</v>
      </c>
      <c r="M48" s="5" t="s">
        <v>1704</v>
      </c>
      <c r="O48" s="0" t="n">
        <v>1</v>
      </c>
    </row>
    <row r="49" customFormat="false" ht="17.15" hidden="false" customHeight="false" outlineLevel="0" collapsed="false">
      <c r="A49" s="0" t="s">
        <v>1960</v>
      </c>
      <c r="B49" s="0" t="s">
        <v>1687</v>
      </c>
      <c r="C49" s="0" t="s">
        <v>511</v>
      </c>
      <c r="D49" s="0" t="s">
        <v>1690</v>
      </c>
      <c r="E49" s="0" t="s">
        <v>24</v>
      </c>
      <c r="F49" s="0" t="s">
        <v>1870</v>
      </c>
      <c r="G49" s="9" t="n">
        <v>5.231</v>
      </c>
      <c r="H49" s="20" t="s">
        <v>1853</v>
      </c>
      <c r="I49" s="5" t="s">
        <v>1961</v>
      </c>
      <c r="J49" s="20" t="s">
        <v>1909</v>
      </c>
      <c r="K49" s="20" t="s">
        <v>1954</v>
      </c>
      <c r="L49" s="20" t="s">
        <v>1955</v>
      </c>
      <c r="M49" s="5" t="s">
        <v>1704</v>
      </c>
      <c r="O49" s="0" t="n">
        <v>1</v>
      </c>
    </row>
    <row r="50" customFormat="false" ht="17.15" hidden="false" customHeight="false" outlineLevel="0" collapsed="false">
      <c r="A50" s="17" t="s">
        <v>1962</v>
      </c>
      <c r="B50" s="17" t="s">
        <v>1687</v>
      </c>
      <c r="C50" s="17" t="s">
        <v>511</v>
      </c>
      <c r="D50" s="17" t="s">
        <v>1690</v>
      </c>
      <c r="E50" s="17" t="s">
        <v>24</v>
      </c>
      <c r="F50" s="17" t="s">
        <v>1709</v>
      </c>
      <c r="G50" s="17" t="n">
        <v>51.8</v>
      </c>
      <c r="H50" s="17" t="s">
        <v>1853</v>
      </c>
      <c r="I50" s="17" t="s">
        <v>1963</v>
      </c>
      <c r="J50" s="17" t="s">
        <v>1909</v>
      </c>
      <c r="K50" s="17" t="s">
        <v>1964</v>
      </c>
      <c r="L50" s="17" t="s">
        <v>1965</v>
      </c>
      <c r="M50" s="18" t="s">
        <v>1858</v>
      </c>
      <c r="N50" s="17"/>
      <c r="O50" s="17" t="n">
        <v>0</v>
      </c>
    </row>
    <row r="51" customFormat="false" ht="17.15" hidden="false" customHeight="false" outlineLevel="0" collapsed="false">
      <c r="A51" s="0" t="s">
        <v>1711</v>
      </c>
      <c r="B51" s="0" t="s">
        <v>1687</v>
      </c>
      <c r="C51" s="0" t="s">
        <v>511</v>
      </c>
      <c r="D51" s="0" t="s">
        <v>1708</v>
      </c>
      <c r="E51" s="0" t="s">
        <v>1912</v>
      </c>
      <c r="F51" s="0" t="s">
        <v>1709</v>
      </c>
      <c r="G51" s="9" t="n">
        <v>25</v>
      </c>
      <c r="H51" s="20" t="s">
        <v>1853</v>
      </c>
      <c r="I51" s="20" t="s">
        <v>1710</v>
      </c>
      <c r="J51" s="20" t="s">
        <v>1855</v>
      </c>
      <c r="K51" s="20" t="s">
        <v>1966</v>
      </c>
      <c r="L51" s="20" t="s">
        <v>1967</v>
      </c>
      <c r="M51" s="5" t="s">
        <v>1712</v>
      </c>
      <c r="N51" s="20" t="s">
        <v>1968</v>
      </c>
      <c r="O51" s="0" t="n">
        <v>1</v>
      </c>
    </row>
    <row r="52" customFormat="false" ht="17.15" hidden="false" customHeight="false" outlineLevel="0" collapsed="false">
      <c r="A52" s="17" t="s">
        <v>1969</v>
      </c>
      <c r="B52" s="17" t="s">
        <v>1687</v>
      </c>
      <c r="C52" s="17" t="s">
        <v>511</v>
      </c>
      <c r="D52" s="17" t="s">
        <v>119</v>
      </c>
      <c r="E52" s="17" t="s">
        <v>24</v>
      </c>
      <c r="F52" s="17" t="s">
        <v>1897</v>
      </c>
      <c r="G52" s="17" t="n">
        <v>52</v>
      </c>
      <c r="H52" s="17" t="s">
        <v>1853</v>
      </c>
      <c r="I52" s="18" t="s">
        <v>1970</v>
      </c>
      <c r="J52" s="17" t="s">
        <v>1866</v>
      </c>
      <c r="K52" s="17" t="s">
        <v>1971</v>
      </c>
      <c r="L52" s="17" t="s">
        <v>1965</v>
      </c>
      <c r="M52" s="18" t="s">
        <v>1887</v>
      </c>
      <c r="N52" s="17"/>
      <c r="O52" s="17" t="n">
        <v>0</v>
      </c>
    </row>
    <row r="53" customFormat="false" ht="17.15" hidden="false" customHeight="false" outlineLevel="0" collapsed="false">
      <c r="A53" s="0" t="s">
        <v>1972</v>
      </c>
      <c r="B53" s="0" t="s">
        <v>1687</v>
      </c>
      <c r="C53" s="0" t="s">
        <v>511</v>
      </c>
      <c r="D53" s="0" t="s">
        <v>1973</v>
      </c>
      <c r="E53" s="0" t="s">
        <v>24</v>
      </c>
      <c r="F53" s="0" t="s">
        <v>1732</v>
      </c>
      <c r="G53" s="9" t="n">
        <v>84.75</v>
      </c>
      <c r="H53" s="20" t="s">
        <v>1853</v>
      </c>
      <c r="I53" s="5" t="s">
        <v>1974</v>
      </c>
      <c r="J53" s="20" t="s">
        <v>1855</v>
      </c>
      <c r="K53" s="20" t="s">
        <v>1975</v>
      </c>
      <c r="L53" s="20" t="s">
        <v>1976</v>
      </c>
      <c r="M53" s="5" t="s">
        <v>1712</v>
      </c>
      <c r="N53" s="20" t="s">
        <v>1977</v>
      </c>
      <c r="O53" s="0" t="n">
        <v>1</v>
      </c>
    </row>
    <row r="54" customFormat="false" ht="17.15" hidden="false" customHeight="false" outlineLevel="0" collapsed="false">
      <c r="A54" s="0" t="s">
        <v>1978</v>
      </c>
      <c r="B54" s="0" t="s">
        <v>1687</v>
      </c>
      <c r="C54" s="0" t="s">
        <v>511</v>
      </c>
      <c r="D54" s="0" t="s">
        <v>119</v>
      </c>
      <c r="E54" s="0" t="s">
        <v>24</v>
      </c>
      <c r="F54" s="0" t="s">
        <v>1753</v>
      </c>
      <c r="G54" s="9" t="n">
        <v>85.2</v>
      </c>
      <c r="H54" s="20" t="s">
        <v>1853</v>
      </c>
      <c r="I54" s="5" t="s">
        <v>1979</v>
      </c>
      <c r="J54" s="20" t="s">
        <v>1909</v>
      </c>
      <c r="K54" s="20" t="s">
        <v>1980</v>
      </c>
      <c r="L54" s="20" t="s">
        <v>1965</v>
      </c>
      <c r="M54" s="5" t="s">
        <v>1704</v>
      </c>
      <c r="O54" s="0" t="n">
        <v>1</v>
      </c>
    </row>
    <row r="55" customFormat="false" ht="17.15" hidden="false" customHeight="false" outlineLevel="0" collapsed="false">
      <c r="A55" s="17" t="s">
        <v>1981</v>
      </c>
      <c r="B55" s="17" t="s">
        <v>1687</v>
      </c>
      <c r="C55" s="17" t="s">
        <v>511</v>
      </c>
      <c r="D55" s="17" t="s">
        <v>119</v>
      </c>
      <c r="E55" s="17" t="s">
        <v>24</v>
      </c>
      <c r="F55" s="17" t="s">
        <v>1756</v>
      </c>
      <c r="G55" s="17" t="n">
        <v>18.037</v>
      </c>
      <c r="H55" s="17" t="s">
        <v>1853</v>
      </c>
      <c r="I55" s="18" t="s">
        <v>1982</v>
      </c>
      <c r="J55" s="17" t="s">
        <v>1909</v>
      </c>
      <c r="K55" s="17" t="s">
        <v>1980</v>
      </c>
      <c r="L55" s="17" t="s">
        <v>1965</v>
      </c>
      <c r="M55" s="18" t="s">
        <v>1858</v>
      </c>
      <c r="N55" s="17"/>
      <c r="O55" s="17" t="n">
        <v>0</v>
      </c>
    </row>
    <row r="56" customFormat="false" ht="17.15" hidden="false" customHeight="false" outlineLevel="0" collapsed="false">
      <c r="A56" s="17" t="s">
        <v>1983</v>
      </c>
      <c r="B56" s="17" t="s">
        <v>1687</v>
      </c>
      <c r="C56" s="17" t="s">
        <v>511</v>
      </c>
      <c r="D56" s="17" t="s">
        <v>119</v>
      </c>
      <c r="E56" s="17" t="s">
        <v>24</v>
      </c>
      <c r="F56" s="17" t="s">
        <v>1906</v>
      </c>
      <c r="G56" s="17" t="n">
        <v>811</v>
      </c>
      <c r="H56" s="17" t="s">
        <v>1853</v>
      </c>
      <c r="I56" s="18" t="s">
        <v>1984</v>
      </c>
      <c r="J56" s="17" t="s">
        <v>1909</v>
      </c>
      <c r="K56" s="17" t="s">
        <v>1980</v>
      </c>
      <c r="L56" s="17" t="s">
        <v>1965</v>
      </c>
      <c r="M56" s="18" t="s">
        <v>1858</v>
      </c>
      <c r="N56" s="17"/>
      <c r="O56" s="17" t="n">
        <v>0</v>
      </c>
    </row>
    <row r="57" customFormat="false" ht="17.15" hidden="false" customHeight="false" outlineLevel="0" collapsed="false">
      <c r="A57" s="0" t="s">
        <v>1715</v>
      </c>
      <c r="B57" s="0" t="s">
        <v>1687</v>
      </c>
      <c r="C57" s="0" t="s">
        <v>511</v>
      </c>
      <c r="D57" s="0" t="s">
        <v>1700</v>
      </c>
      <c r="E57" s="0" t="s">
        <v>1908</v>
      </c>
      <c r="F57" s="0" t="s">
        <v>1713</v>
      </c>
      <c r="G57" s="9" t="n">
        <v>200</v>
      </c>
      <c r="H57" s="20" t="s">
        <v>1853</v>
      </c>
      <c r="I57" s="5" t="s">
        <v>1714</v>
      </c>
      <c r="J57" s="20" t="s">
        <v>1909</v>
      </c>
      <c r="K57" s="20" t="s">
        <v>1985</v>
      </c>
      <c r="L57" s="20" t="s">
        <v>1986</v>
      </c>
      <c r="M57" s="5" t="s">
        <v>1712</v>
      </c>
      <c r="N57" s="20" t="s">
        <v>1987</v>
      </c>
      <c r="O57" s="0" t="n">
        <v>1</v>
      </c>
    </row>
    <row r="58" customFormat="false" ht="17.15" hidden="false" customHeight="false" outlineLevel="0" collapsed="false">
      <c r="A58" s="0" t="s">
        <v>1988</v>
      </c>
      <c r="B58" s="0" t="s">
        <v>1687</v>
      </c>
      <c r="C58" s="0" t="s">
        <v>511</v>
      </c>
      <c r="D58" s="0" t="s">
        <v>1989</v>
      </c>
      <c r="E58" s="0" t="s">
        <v>24</v>
      </c>
      <c r="F58" s="0" t="s">
        <v>1726</v>
      </c>
      <c r="G58" s="9" t="n">
        <v>40</v>
      </c>
      <c r="H58" s="20" t="s">
        <v>1853</v>
      </c>
      <c r="I58" s="5" t="s">
        <v>1990</v>
      </c>
      <c r="J58" s="20" t="s">
        <v>1909</v>
      </c>
      <c r="K58" s="20" t="s">
        <v>1991</v>
      </c>
      <c r="L58" s="20" t="s">
        <v>1992</v>
      </c>
      <c r="M58" s="5" t="s">
        <v>1704</v>
      </c>
      <c r="O58" s="0" t="n">
        <v>1</v>
      </c>
    </row>
    <row r="59" customFormat="false" ht="17.15" hidden="false" customHeight="false" outlineLevel="0" collapsed="false">
      <c r="A59" s="17" t="s">
        <v>1993</v>
      </c>
      <c r="B59" s="17" t="s">
        <v>1687</v>
      </c>
      <c r="C59" s="17" t="s">
        <v>511</v>
      </c>
      <c r="D59" s="17" t="s">
        <v>119</v>
      </c>
      <c r="E59" s="17" t="s">
        <v>24</v>
      </c>
      <c r="F59" s="17" t="s">
        <v>1726</v>
      </c>
      <c r="G59" s="17" t="n">
        <v>124.259</v>
      </c>
      <c r="H59" s="17" t="s">
        <v>1853</v>
      </c>
      <c r="I59" s="18" t="s">
        <v>1994</v>
      </c>
      <c r="J59" s="17" t="s">
        <v>1909</v>
      </c>
      <c r="K59" s="17" t="s">
        <v>1995</v>
      </c>
      <c r="L59" s="17" t="s">
        <v>1965</v>
      </c>
      <c r="M59" s="18" t="s">
        <v>1887</v>
      </c>
      <c r="N59" s="17"/>
      <c r="O59" s="17" t="n">
        <v>0</v>
      </c>
    </row>
    <row r="60" customFormat="false" ht="17.15" hidden="false" customHeight="false" outlineLevel="0" collapsed="false">
      <c r="A60" s="0" t="s">
        <v>1719</v>
      </c>
      <c r="B60" s="0" t="s">
        <v>1687</v>
      </c>
      <c r="C60" s="0" t="s">
        <v>511</v>
      </c>
      <c r="D60" s="0" t="s">
        <v>1716</v>
      </c>
      <c r="E60" s="0" t="s">
        <v>1912</v>
      </c>
      <c r="F60" s="0" t="s">
        <v>1717</v>
      </c>
      <c r="G60" s="9" t="n">
        <v>44</v>
      </c>
      <c r="H60" s="20" t="s">
        <v>1853</v>
      </c>
      <c r="I60" s="20" t="s">
        <v>1718</v>
      </c>
      <c r="J60" s="20" t="s">
        <v>1909</v>
      </c>
      <c r="K60" s="20" t="s">
        <v>1996</v>
      </c>
      <c r="L60" s="20" t="s">
        <v>1997</v>
      </c>
      <c r="M60" s="5" t="s">
        <v>1704</v>
      </c>
      <c r="O60" s="0" t="n">
        <v>1</v>
      </c>
    </row>
    <row r="61" customFormat="false" ht="17.15" hidden="false" customHeight="false" outlineLevel="0" collapsed="false">
      <c r="A61" s="17" t="s">
        <v>1998</v>
      </c>
      <c r="B61" s="17" t="s">
        <v>1691</v>
      </c>
      <c r="C61" s="17" t="s">
        <v>519</v>
      </c>
      <c r="D61" s="17" t="s">
        <v>1688</v>
      </c>
      <c r="E61" s="17" t="s">
        <v>22</v>
      </c>
      <c r="F61" s="17" t="s">
        <v>1737</v>
      </c>
      <c r="G61" s="17" t="n">
        <v>115.877</v>
      </c>
      <c r="H61" s="17" t="s">
        <v>1853</v>
      </c>
      <c r="I61" s="18" t="s">
        <v>1931</v>
      </c>
      <c r="J61" s="17" t="s">
        <v>1855</v>
      </c>
      <c r="K61" s="17" t="s">
        <v>1999</v>
      </c>
      <c r="L61" s="17" t="s">
        <v>2000</v>
      </c>
      <c r="M61" s="18" t="s">
        <v>1858</v>
      </c>
      <c r="N61" s="17"/>
      <c r="O61" s="17" t="n">
        <v>0</v>
      </c>
    </row>
    <row r="62" customFormat="false" ht="17.15" hidden="false" customHeight="false" outlineLevel="0" collapsed="false">
      <c r="A62" s="17" t="s">
        <v>2001</v>
      </c>
      <c r="B62" s="17" t="s">
        <v>1691</v>
      </c>
      <c r="C62" s="17" t="s">
        <v>519</v>
      </c>
      <c r="D62" s="17" t="s">
        <v>1688</v>
      </c>
      <c r="E62" s="17" t="s">
        <v>22</v>
      </c>
      <c r="F62" s="17" t="s">
        <v>1713</v>
      </c>
      <c r="G62" s="17" t="n">
        <v>77.658</v>
      </c>
      <c r="H62" s="17" t="s">
        <v>1853</v>
      </c>
      <c r="I62" s="18" t="s">
        <v>2002</v>
      </c>
      <c r="J62" s="17" t="s">
        <v>1866</v>
      </c>
      <c r="K62" s="17" t="s">
        <v>1999</v>
      </c>
      <c r="L62" s="17" t="s">
        <v>2000</v>
      </c>
      <c r="M62" s="18" t="s">
        <v>1858</v>
      </c>
      <c r="N62" s="17"/>
      <c r="O62" s="17" t="n">
        <v>0</v>
      </c>
    </row>
    <row r="63" customFormat="false" ht="17.15" hidden="false" customHeight="false" outlineLevel="0" collapsed="false">
      <c r="A63" s="17" t="s">
        <v>2003</v>
      </c>
      <c r="B63" s="17" t="s">
        <v>1691</v>
      </c>
      <c r="C63" s="17" t="s">
        <v>519</v>
      </c>
      <c r="D63" s="17" t="s">
        <v>1688</v>
      </c>
      <c r="E63" s="17" t="s">
        <v>22</v>
      </c>
      <c r="F63" s="17" t="s">
        <v>1701</v>
      </c>
      <c r="G63" s="17" t="n">
        <v>78.512</v>
      </c>
      <c r="H63" s="17" t="s">
        <v>1853</v>
      </c>
      <c r="I63" s="18" t="s">
        <v>2004</v>
      </c>
      <c r="J63" s="17" t="s">
        <v>1866</v>
      </c>
      <c r="K63" s="17" t="s">
        <v>1999</v>
      </c>
      <c r="L63" s="17" t="s">
        <v>2000</v>
      </c>
      <c r="M63" s="18" t="s">
        <v>1858</v>
      </c>
      <c r="N63" s="17"/>
      <c r="O63" s="17" t="n">
        <v>0</v>
      </c>
    </row>
    <row r="64" customFormat="false" ht="17.15" hidden="false" customHeight="false" outlineLevel="0" collapsed="false">
      <c r="A64" s="17" t="s">
        <v>2005</v>
      </c>
      <c r="B64" s="17" t="s">
        <v>1691</v>
      </c>
      <c r="C64" s="17" t="s">
        <v>519</v>
      </c>
      <c r="D64" s="17" t="s">
        <v>1688</v>
      </c>
      <c r="E64" s="17" t="s">
        <v>22</v>
      </c>
      <c r="F64" s="17" t="s">
        <v>1742</v>
      </c>
      <c r="G64" s="17" t="n">
        <v>38.219</v>
      </c>
      <c r="H64" s="17" t="s">
        <v>1853</v>
      </c>
      <c r="I64" s="17" t="s">
        <v>2006</v>
      </c>
      <c r="J64" s="17" t="s">
        <v>1866</v>
      </c>
      <c r="K64" s="17" t="s">
        <v>1999</v>
      </c>
      <c r="L64" s="17" t="s">
        <v>2000</v>
      </c>
      <c r="M64" s="18" t="s">
        <v>1858</v>
      </c>
      <c r="N64" s="17"/>
      <c r="O64" s="17" t="n">
        <v>0</v>
      </c>
    </row>
    <row r="65" customFormat="false" ht="17.15" hidden="false" customHeight="false" outlineLevel="0" collapsed="false">
      <c r="A65" s="17" t="s">
        <v>2007</v>
      </c>
      <c r="B65" s="17" t="s">
        <v>1691</v>
      </c>
      <c r="C65" s="17" t="s">
        <v>519</v>
      </c>
      <c r="D65" s="17" t="s">
        <v>1688</v>
      </c>
      <c r="E65" s="17" t="s">
        <v>22</v>
      </c>
      <c r="F65" s="17" t="s">
        <v>1870</v>
      </c>
      <c r="G65" s="17" t="n">
        <v>0</v>
      </c>
      <c r="H65" s="17" t="s">
        <v>1853</v>
      </c>
      <c r="I65" s="17" t="s">
        <v>2008</v>
      </c>
      <c r="J65" s="17" t="s">
        <v>1855</v>
      </c>
      <c r="K65" s="17" t="s">
        <v>1999</v>
      </c>
      <c r="L65" s="17" t="s">
        <v>2000</v>
      </c>
      <c r="M65" s="18" t="s">
        <v>1858</v>
      </c>
      <c r="N65" s="17"/>
      <c r="O65" s="17" t="n">
        <v>0</v>
      </c>
    </row>
    <row r="66" customFormat="false" ht="17.15" hidden="false" customHeight="false" outlineLevel="0" collapsed="false">
      <c r="A66" s="0" t="s">
        <v>2009</v>
      </c>
      <c r="B66" s="0" t="s">
        <v>1691</v>
      </c>
      <c r="C66" s="0" t="s">
        <v>519</v>
      </c>
      <c r="D66" s="0" t="s">
        <v>1689</v>
      </c>
      <c r="E66" s="0" t="s">
        <v>23</v>
      </c>
      <c r="F66" s="0" t="s">
        <v>1737</v>
      </c>
      <c r="G66" s="9" t="n">
        <v>139.514</v>
      </c>
      <c r="H66" s="20" t="s">
        <v>1853</v>
      </c>
      <c r="I66" s="5" t="s">
        <v>1931</v>
      </c>
      <c r="J66" s="20" t="s">
        <v>1855</v>
      </c>
      <c r="K66" s="20" t="s">
        <v>2010</v>
      </c>
      <c r="L66" s="20" t="s">
        <v>2000</v>
      </c>
      <c r="M66" s="20" t="s">
        <v>1770</v>
      </c>
      <c r="O66" s="0" t="n">
        <v>1</v>
      </c>
    </row>
    <row r="67" customFormat="false" ht="17.15" hidden="false" customHeight="false" outlineLevel="0" collapsed="false">
      <c r="A67" s="0" t="s">
        <v>2011</v>
      </c>
      <c r="B67" s="0" t="s">
        <v>1691</v>
      </c>
      <c r="C67" s="0" t="s">
        <v>519</v>
      </c>
      <c r="D67" s="0" t="s">
        <v>1689</v>
      </c>
      <c r="E67" s="0" t="s">
        <v>23</v>
      </c>
      <c r="F67" s="0" t="s">
        <v>1713</v>
      </c>
      <c r="G67" s="9" t="n">
        <v>128.32</v>
      </c>
      <c r="H67" s="20" t="s">
        <v>1853</v>
      </c>
      <c r="I67" s="5" t="s">
        <v>2012</v>
      </c>
      <c r="J67" s="20" t="s">
        <v>1866</v>
      </c>
      <c r="K67" s="20" t="s">
        <v>2010</v>
      </c>
      <c r="L67" s="20" t="s">
        <v>2000</v>
      </c>
      <c r="M67" s="20" t="s">
        <v>1770</v>
      </c>
      <c r="O67" s="0" t="n">
        <v>1</v>
      </c>
    </row>
    <row r="68" customFormat="false" ht="17.15" hidden="false" customHeight="false" outlineLevel="0" collapsed="false">
      <c r="A68" s="0" t="s">
        <v>2013</v>
      </c>
      <c r="B68" s="0" t="s">
        <v>1691</v>
      </c>
      <c r="C68" s="0" t="s">
        <v>519</v>
      </c>
      <c r="D68" s="0" t="s">
        <v>1689</v>
      </c>
      <c r="E68" s="0" t="s">
        <v>23</v>
      </c>
      <c r="F68" s="0" t="s">
        <v>1701</v>
      </c>
      <c r="G68" s="9" t="n">
        <v>131.231</v>
      </c>
      <c r="H68" s="20" t="s">
        <v>1853</v>
      </c>
      <c r="I68" s="5" t="s">
        <v>2014</v>
      </c>
      <c r="J68" s="20" t="s">
        <v>1866</v>
      </c>
      <c r="K68" s="20" t="s">
        <v>2010</v>
      </c>
      <c r="L68" s="20" t="s">
        <v>2000</v>
      </c>
      <c r="M68" s="20" t="s">
        <v>1770</v>
      </c>
      <c r="O68" s="0" t="n">
        <v>1</v>
      </c>
    </row>
    <row r="69" customFormat="false" ht="17.15" hidden="false" customHeight="false" outlineLevel="0" collapsed="false">
      <c r="A69" s="0" t="s">
        <v>2015</v>
      </c>
      <c r="B69" s="0" t="s">
        <v>1691</v>
      </c>
      <c r="C69" s="0" t="s">
        <v>519</v>
      </c>
      <c r="D69" s="0" t="s">
        <v>1689</v>
      </c>
      <c r="E69" s="0" t="s">
        <v>23</v>
      </c>
      <c r="F69" s="0" t="s">
        <v>1742</v>
      </c>
      <c r="G69" s="9" t="n">
        <v>11.194</v>
      </c>
      <c r="H69" s="20" t="s">
        <v>1853</v>
      </c>
      <c r="I69" s="20" t="s">
        <v>2016</v>
      </c>
      <c r="J69" s="20" t="s">
        <v>1866</v>
      </c>
      <c r="K69" s="20" t="s">
        <v>2010</v>
      </c>
      <c r="L69" s="20" t="s">
        <v>2000</v>
      </c>
      <c r="M69" s="20" t="s">
        <v>1770</v>
      </c>
      <c r="O69" s="0" t="n">
        <v>1</v>
      </c>
    </row>
    <row r="70" customFormat="false" ht="17.15" hidden="false" customHeight="false" outlineLevel="0" collapsed="false">
      <c r="A70" s="0" t="s">
        <v>2017</v>
      </c>
      <c r="B70" s="0" t="s">
        <v>1691</v>
      </c>
      <c r="C70" s="0" t="s">
        <v>519</v>
      </c>
      <c r="D70" s="0" t="s">
        <v>1689</v>
      </c>
      <c r="E70" s="0" t="s">
        <v>23</v>
      </c>
      <c r="F70" s="0" t="s">
        <v>1870</v>
      </c>
      <c r="G70" s="9" t="n">
        <v>0</v>
      </c>
      <c r="H70" s="20" t="s">
        <v>1853</v>
      </c>
      <c r="I70" s="20" t="s">
        <v>2018</v>
      </c>
      <c r="J70" s="20" t="s">
        <v>1855</v>
      </c>
      <c r="K70" s="20" t="s">
        <v>2010</v>
      </c>
      <c r="L70" s="20" t="s">
        <v>2000</v>
      </c>
      <c r="M70" s="20" t="s">
        <v>1770</v>
      </c>
      <c r="O70" s="0" t="n">
        <v>1</v>
      </c>
    </row>
    <row r="71" customFormat="false" ht="17.15" hidden="false" customHeight="false" outlineLevel="0" collapsed="false">
      <c r="A71" s="0" t="s">
        <v>2019</v>
      </c>
      <c r="B71" s="0" t="s">
        <v>1691</v>
      </c>
      <c r="C71" s="0" t="s">
        <v>519</v>
      </c>
      <c r="D71" s="0" t="s">
        <v>1690</v>
      </c>
      <c r="E71" s="0" t="s">
        <v>24</v>
      </c>
      <c r="F71" s="0" t="s">
        <v>1737</v>
      </c>
      <c r="G71" s="9" t="n">
        <v>71.419</v>
      </c>
      <c r="H71" s="20" t="s">
        <v>1853</v>
      </c>
      <c r="I71" s="20" t="s">
        <v>2020</v>
      </c>
      <c r="J71" s="20" t="s">
        <v>1909</v>
      </c>
      <c r="K71" s="20" t="s">
        <v>2021</v>
      </c>
      <c r="L71" s="20" t="s">
        <v>2022</v>
      </c>
      <c r="M71" s="5" t="s">
        <v>1704</v>
      </c>
      <c r="O71" s="0" t="n">
        <v>1</v>
      </c>
    </row>
    <row r="72" customFormat="false" ht="17.15" hidden="false" customHeight="false" outlineLevel="0" collapsed="false">
      <c r="A72" s="0" t="s">
        <v>2023</v>
      </c>
      <c r="B72" s="0" t="s">
        <v>1691</v>
      </c>
      <c r="C72" s="0" t="s">
        <v>519</v>
      </c>
      <c r="D72" s="0" t="s">
        <v>1690</v>
      </c>
      <c r="E72" s="0" t="s">
        <v>24</v>
      </c>
      <c r="F72" s="0" t="s">
        <v>1713</v>
      </c>
      <c r="G72" s="9" t="n">
        <v>96.31</v>
      </c>
      <c r="H72" s="20" t="s">
        <v>1853</v>
      </c>
      <c r="I72" s="5" t="s">
        <v>2024</v>
      </c>
      <c r="J72" s="20" t="s">
        <v>1866</v>
      </c>
      <c r="K72" s="20" t="s">
        <v>2021</v>
      </c>
      <c r="L72" s="20" t="s">
        <v>2022</v>
      </c>
      <c r="M72" s="5" t="s">
        <v>1704</v>
      </c>
      <c r="O72" s="0" t="n">
        <v>1</v>
      </c>
    </row>
    <row r="73" customFormat="false" ht="17.15" hidden="false" customHeight="false" outlineLevel="0" collapsed="false">
      <c r="A73" s="0" t="s">
        <v>2025</v>
      </c>
      <c r="B73" s="0" t="s">
        <v>1691</v>
      </c>
      <c r="C73" s="0" t="s">
        <v>519</v>
      </c>
      <c r="D73" s="0" t="s">
        <v>1690</v>
      </c>
      <c r="E73" s="0" t="s">
        <v>24</v>
      </c>
      <c r="F73" s="0" t="s">
        <v>1862</v>
      </c>
      <c r="G73" s="9" t="n">
        <v>2.128</v>
      </c>
      <c r="H73" s="20" t="s">
        <v>1853</v>
      </c>
      <c r="I73" s="5" t="s">
        <v>2026</v>
      </c>
      <c r="J73" s="20" t="s">
        <v>1909</v>
      </c>
      <c r="K73" s="20" t="s">
        <v>2021</v>
      </c>
      <c r="L73" s="20" t="s">
        <v>2022</v>
      </c>
      <c r="M73" s="5" t="s">
        <v>1704</v>
      </c>
      <c r="O73" s="0" t="n">
        <v>1</v>
      </c>
    </row>
    <row r="74" customFormat="false" ht="17.15" hidden="false" customHeight="false" outlineLevel="0" collapsed="false">
      <c r="A74" s="0" t="s">
        <v>2027</v>
      </c>
      <c r="B74" s="0" t="s">
        <v>1691</v>
      </c>
      <c r="C74" s="0" t="s">
        <v>519</v>
      </c>
      <c r="D74" s="0" t="s">
        <v>1690</v>
      </c>
      <c r="E74" s="0" t="s">
        <v>24</v>
      </c>
      <c r="F74" s="0" t="s">
        <v>1742</v>
      </c>
      <c r="G74" s="9" t="n">
        <v>-24.891</v>
      </c>
      <c r="H74" s="20" t="s">
        <v>1853</v>
      </c>
      <c r="I74" s="20" t="s">
        <v>2028</v>
      </c>
      <c r="J74" s="20" t="s">
        <v>1866</v>
      </c>
      <c r="K74" s="20" t="s">
        <v>2021</v>
      </c>
      <c r="L74" s="20" t="s">
        <v>2022</v>
      </c>
      <c r="M74" s="5" t="s">
        <v>1704</v>
      </c>
      <c r="O74" s="0" t="n">
        <v>1</v>
      </c>
    </row>
    <row r="75" customFormat="false" ht="17.15" hidden="false" customHeight="false" outlineLevel="0" collapsed="false">
      <c r="A75" s="0" t="s">
        <v>2029</v>
      </c>
      <c r="B75" s="0" t="s">
        <v>1691</v>
      </c>
      <c r="C75" s="0" t="s">
        <v>519</v>
      </c>
      <c r="D75" s="0" t="s">
        <v>1915</v>
      </c>
      <c r="E75" s="0" t="s">
        <v>23</v>
      </c>
      <c r="F75" s="0" t="s">
        <v>1709</v>
      </c>
      <c r="G75" s="9" t="n">
        <v>15</v>
      </c>
      <c r="H75" s="20" t="s">
        <v>1853</v>
      </c>
      <c r="I75" s="20" t="s">
        <v>2030</v>
      </c>
      <c r="J75" s="20" t="s">
        <v>1909</v>
      </c>
      <c r="K75" s="20" t="s">
        <v>2031</v>
      </c>
      <c r="L75" s="20" t="s">
        <v>2032</v>
      </c>
      <c r="M75" s="20" t="s">
        <v>1770</v>
      </c>
      <c r="O75" s="0" t="n">
        <v>1</v>
      </c>
    </row>
    <row r="76" customFormat="false" ht="17.15" hidden="false" customHeight="false" outlineLevel="0" collapsed="false">
      <c r="A76" s="0" t="s">
        <v>2033</v>
      </c>
      <c r="B76" s="0" t="s">
        <v>1691</v>
      </c>
      <c r="C76" s="0" t="s">
        <v>519</v>
      </c>
      <c r="D76" s="0" t="s">
        <v>2034</v>
      </c>
      <c r="E76" s="0" t="s">
        <v>24</v>
      </c>
      <c r="F76" s="0" t="s">
        <v>1709</v>
      </c>
      <c r="G76" s="9" t="n">
        <v>53.8</v>
      </c>
      <c r="H76" s="20" t="s">
        <v>1853</v>
      </c>
      <c r="I76" s="20" t="s">
        <v>2035</v>
      </c>
      <c r="J76" s="20" t="s">
        <v>1909</v>
      </c>
      <c r="K76" s="20" t="s">
        <v>2036</v>
      </c>
      <c r="L76" s="20" t="s">
        <v>2037</v>
      </c>
      <c r="M76" s="5" t="s">
        <v>1704</v>
      </c>
      <c r="O76" s="0" t="n">
        <v>1</v>
      </c>
    </row>
    <row r="77" customFormat="false" ht="17.15" hidden="false" customHeight="false" outlineLevel="0" collapsed="false">
      <c r="A77" s="0" t="s">
        <v>1722</v>
      </c>
      <c r="B77" s="0" t="s">
        <v>1691</v>
      </c>
      <c r="C77" s="0" t="s">
        <v>519</v>
      </c>
      <c r="D77" s="0" t="s">
        <v>1720</v>
      </c>
      <c r="E77" s="0" t="s">
        <v>1912</v>
      </c>
      <c r="F77" s="0" t="s">
        <v>1709</v>
      </c>
      <c r="G77" s="9" t="n">
        <v>25</v>
      </c>
      <c r="H77" s="20" t="s">
        <v>1853</v>
      </c>
      <c r="I77" s="20" t="s">
        <v>1721</v>
      </c>
      <c r="J77" s="20" t="s">
        <v>1909</v>
      </c>
      <c r="K77" s="20" t="s">
        <v>2038</v>
      </c>
      <c r="L77" s="20" t="s">
        <v>2039</v>
      </c>
      <c r="M77" s="5" t="s">
        <v>1704</v>
      </c>
      <c r="O77" s="0" t="n">
        <v>1</v>
      </c>
    </row>
    <row r="78" customFormat="false" ht="17.15" hidden="false" customHeight="false" outlineLevel="0" collapsed="false">
      <c r="A78" s="17" t="s">
        <v>2040</v>
      </c>
      <c r="B78" s="17" t="s">
        <v>1691</v>
      </c>
      <c r="C78" s="17" t="s">
        <v>519</v>
      </c>
      <c r="D78" s="17" t="s">
        <v>119</v>
      </c>
      <c r="E78" s="17" t="s">
        <v>24</v>
      </c>
      <c r="F78" s="17" t="s">
        <v>1897</v>
      </c>
      <c r="G78" s="17" t="n">
        <v>64.159</v>
      </c>
      <c r="H78" s="17" t="s">
        <v>1853</v>
      </c>
      <c r="I78" s="18" t="s">
        <v>2041</v>
      </c>
      <c r="J78" s="17" t="s">
        <v>1866</v>
      </c>
      <c r="K78" s="17" t="s">
        <v>2042</v>
      </c>
      <c r="L78" s="17" t="s">
        <v>2043</v>
      </c>
      <c r="M78" s="18" t="s">
        <v>1858</v>
      </c>
      <c r="N78" s="17"/>
      <c r="O78" s="17" t="n">
        <v>0</v>
      </c>
    </row>
    <row r="79" customFormat="false" ht="17.15" hidden="false" customHeight="false" outlineLevel="0" collapsed="false">
      <c r="A79" s="0" t="s">
        <v>2044</v>
      </c>
      <c r="B79" s="0" t="s">
        <v>1691</v>
      </c>
      <c r="C79" s="0" t="s">
        <v>519</v>
      </c>
      <c r="D79" s="0" t="s">
        <v>119</v>
      </c>
      <c r="E79" s="0" t="s">
        <v>24</v>
      </c>
      <c r="F79" s="0" t="s">
        <v>1753</v>
      </c>
      <c r="G79" s="9" t="n">
        <v>137.214</v>
      </c>
      <c r="H79" s="20" t="s">
        <v>1853</v>
      </c>
      <c r="I79" s="5" t="s">
        <v>2045</v>
      </c>
      <c r="J79" s="20" t="s">
        <v>1909</v>
      </c>
      <c r="K79" s="20" t="s">
        <v>2046</v>
      </c>
      <c r="L79" s="20" t="s">
        <v>2043</v>
      </c>
      <c r="M79" s="5" t="s">
        <v>1704</v>
      </c>
      <c r="O79" s="0" t="n">
        <v>1</v>
      </c>
    </row>
    <row r="80" customFormat="false" ht="15" hidden="false" customHeight="false" outlineLevel="0" collapsed="false">
      <c r="A80" s="17" t="s">
        <v>2047</v>
      </c>
      <c r="B80" s="17" t="s">
        <v>1691</v>
      </c>
      <c r="C80" s="17" t="s">
        <v>519</v>
      </c>
      <c r="D80" s="17" t="s">
        <v>119</v>
      </c>
      <c r="E80" s="17" t="s">
        <v>24</v>
      </c>
      <c r="F80" s="17" t="s">
        <v>1756</v>
      </c>
      <c r="G80" s="17" t="n">
        <v>96.32</v>
      </c>
      <c r="H80" s="17" t="s">
        <v>1853</v>
      </c>
      <c r="I80" s="18" t="s">
        <v>2048</v>
      </c>
      <c r="J80" s="17" t="s">
        <v>1909</v>
      </c>
      <c r="K80" s="17" t="s">
        <v>2046</v>
      </c>
      <c r="L80" s="17" t="s">
        <v>2043</v>
      </c>
      <c r="M80" s="18" t="s">
        <v>1858</v>
      </c>
      <c r="N80" s="17"/>
      <c r="O80" s="17" t="n">
        <v>0</v>
      </c>
    </row>
    <row r="81" customFormat="false" ht="17.15" hidden="false" customHeight="false" outlineLevel="0" collapsed="false">
      <c r="A81" s="0" t="s">
        <v>1724</v>
      </c>
      <c r="B81" s="0" t="s">
        <v>1691</v>
      </c>
      <c r="C81" s="0" t="s">
        <v>519</v>
      </c>
      <c r="D81" s="0" t="s">
        <v>1700</v>
      </c>
      <c r="E81" s="0" t="s">
        <v>1908</v>
      </c>
      <c r="F81" s="0" t="s">
        <v>1713</v>
      </c>
      <c r="G81" s="9" t="n">
        <v>220</v>
      </c>
      <c r="H81" s="20" t="s">
        <v>1853</v>
      </c>
      <c r="I81" s="5" t="s">
        <v>1723</v>
      </c>
      <c r="J81" s="20" t="s">
        <v>1909</v>
      </c>
      <c r="K81" s="20" t="s">
        <v>2049</v>
      </c>
      <c r="L81" s="20" t="s">
        <v>2050</v>
      </c>
      <c r="M81" s="5" t="s">
        <v>1712</v>
      </c>
      <c r="N81" s="20" t="s">
        <v>2051</v>
      </c>
      <c r="O81" s="0" t="n">
        <v>1</v>
      </c>
    </row>
    <row r="82" customFormat="false" ht="17.15" hidden="false" customHeight="false" outlineLevel="0" collapsed="false">
      <c r="A82" s="0" t="s">
        <v>1728</v>
      </c>
      <c r="B82" s="0" t="s">
        <v>1691</v>
      </c>
      <c r="C82" s="0" t="s">
        <v>519</v>
      </c>
      <c r="D82" s="0" t="s">
        <v>1725</v>
      </c>
      <c r="E82" s="0" t="s">
        <v>1912</v>
      </c>
      <c r="F82" s="0" t="s">
        <v>1726</v>
      </c>
      <c r="G82" s="9" t="n">
        <v>50</v>
      </c>
      <c r="H82" s="20" t="s">
        <v>1853</v>
      </c>
      <c r="I82" s="5" t="s">
        <v>1727</v>
      </c>
      <c r="J82" s="20" t="s">
        <v>1909</v>
      </c>
      <c r="K82" s="20" t="s">
        <v>2052</v>
      </c>
      <c r="L82" s="20" t="s">
        <v>2043</v>
      </c>
      <c r="M82" s="5" t="s">
        <v>1704</v>
      </c>
      <c r="O82" s="0" t="n">
        <v>1</v>
      </c>
    </row>
    <row r="83" customFormat="false" ht="17.15" hidden="false" customHeight="false" outlineLevel="0" collapsed="false">
      <c r="A83" s="0" t="s">
        <v>2053</v>
      </c>
      <c r="B83" s="0" t="s">
        <v>1691</v>
      </c>
      <c r="C83" s="0" t="s">
        <v>519</v>
      </c>
      <c r="D83" s="0" t="s">
        <v>119</v>
      </c>
      <c r="E83" s="0" t="s">
        <v>24</v>
      </c>
      <c r="F83" s="0" t="s">
        <v>1726</v>
      </c>
      <c r="G83" s="9" t="n">
        <v>18</v>
      </c>
      <c r="H83" s="20" t="s">
        <v>1853</v>
      </c>
      <c r="I83" s="5" t="s">
        <v>2054</v>
      </c>
      <c r="J83" s="20" t="s">
        <v>1855</v>
      </c>
      <c r="K83" s="20" t="s">
        <v>2055</v>
      </c>
      <c r="L83" s="20" t="s">
        <v>2043</v>
      </c>
      <c r="M83" s="5" t="s">
        <v>1704</v>
      </c>
      <c r="O83" s="0" t="n">
        <v>1</v>
      </c>
    </row>
    <row r="84" customFormat="false" ht="17.15" hidden="false" customHeight="false" outlineLevel="0" collapsed="false">
      <c r="A84" s="17" t="s">
        <v>2056</v>
      </c>
      <c r="B84" s="17" t="s">
        <v>1038</v>
      </c>
      <c r="C84" s="17" t="s">
        <v>526</v>
      </c>
      <c r="D84" s="17" t="s">
        <v>1688</v>
      </c>
      <c r="E84" s="17" t="s">
        <v>22</v>
      </c>
      <c r="F84" s="17" t="s">
        <v>1737</v>
      </c>
      <c r="G84" s="17" t="n">
        <v>91.328</v>
      </c>
      <c r="H84" s="17" t="s">
        <v>1853</v>
      </c>
      <c r="I84" s="18" t="s">
        <v>1931</v>
      </c>
      <c r="J84" s="17" t="s">
        <v>1855</v>
      </c>
      <c r="K84" s="17" t="s">
        <v>2057</v>
      </c>
      <c r="L84" s="17" t="s">
        <v>2058</v>
      </c>
      <c r="M84" s="18" t="s">
        <v>1858</v>
      </c>
      <c r="N84" s="17"/>
      <c r="O84" s="17" t="n">
        <v>0</v>
      </c>
    </row>
    <row r="85" customFormat="false" ht="17.15" hidden="false" customHeight="false" outlineLevel="0" collapsed="false">
      <c r="A85" s="17" t="s">
        <v>2059</v>
      </c>
      <c r="B85" s="17" t="s">
        <v>1038</v>
      </c>
      <c r="C85" s="17" t="s">
        <v>526</v>
      </c>
      <c r="D85" s="17" t="s">
        <v>1688</v>
      </c>
      <c r="E85" s="17" t="s">
        <v>22</v>
      </c>
      <c r="F85" s="17" t="s">
        <v>1713</v>
      </c>
      <c r="G85" s="17" t="n">
        <v>37.256</v>
      </c>
      <c r="H85" s="17" t="s">
        <v>1853</v>
      </c>
      <c r="I85" s="17" t="s">
        <v>2060</v>
      </c>
      <c r="J85" s="17" t="s">
        <v>1855</v>
      </c>
      <c r="K85" s="17" t="s">
        <v>2057</v>
      </c>
      <c r="L85" s="17" t="s">
        <v>2058</v>
      </c>
      <c r="M85" s="18" t="s">
        <v>1858</v>
      </c>
      <c r="N85" s="17"/>
      <c r="O85" s="17" t="n">
        <v>0</v>
      </c>
    </row>
    <row r="86" customFormat="false" ht="17.15" hidden="false" customHeight="false" outlineLevel="0" collapsed="false">
      <c r="A86" s="17" t="s">
        <v>2061</v>
      </c>
      <c r="B86" s="17" t="s">
        <v>1038</v>
      </c>
      <c r="C86" s="17" t="s">
        <v>526</v>
      </c>
      <c r="D86" s="17" t="s">
        <v>1688</v>
      </c>
      <c r="E86" s="17" t="s">
        <v>22</v>
      </c>
      <c r="F86" s="17" t="s">
        <v>1701</v>
      </c>
      <c r="G86" s="17" t="n">
        <v>39.225</v>
      </c>
      <c r="H86" s="17" t="s">
        <v>1853</v>
      </c>
      <c r="I86" s="17" t="s">
        <v>2062</v>
      </c>
      <c r="J86" s="17" t="s">
        <v>1866</v>
      </c>
      <c r="K86" s="17" t="s">
        <v>2057</v>
      </c>
      <c r="L86" s="17" t="s">
        <v>2058</v>
      </c>
      <c r="M86" s="18" t="s">
        <v>1858</v>
      </c>
      <c r="N86" s="17"/>
      <c r="O86" s="17" t="n">
        <v>0</v>
      </c>
    </row>
    <row r="87" customFormat="false" ht="17.15" hidden="false" customHeight="false" outlineLevel="0" collapsed="false">
      <c r="A87" s="17" t="s">
        <v>2063</v>
      </c>
      <c r="B87" s="17" t="s">
        <v>1038</v>
      </c>
      <c r="C87" s="17" t="s">
        <v>526</v>
      </c>
      <c r="D87" s="17" t="s">
        <v>1688</v>
      </c>
      <c r="E87" s="17" t="s">
        <v>22</v>
      </c>
      <c r="F87" s="17" t="s">
        <v>1742</v>
      </c>
      <c r="G87" s="17" t="n">
        <v>52.103</v>
      </c>
      <c r="H87" s="17" t="s">
        <v>1853</v>
      </c>
      <c r="I87" s="18" t="s">
        <v>2064</v>
      </c>
      <c r="J87" s="17" t="s">
        <v>1855</v>
      </c>
      <c r="K87" s="17" t="s">
        <v>2057</v>
      </c>
      <c r="L87" s="17" t="s">
        <v>2058</v>
      </c>
      <c r="M87" s="18" t="s">
        <v>1858</v>
      </c>
      <c r="N87" s="17"/>
      <c r="O87" s="17" t="n">
        <v>0</v>
      </c>
    </row>
    <row r="88" customFormat="false" ht="17.15" hidden="false" customHeight="false" outlineLevel="0" collapsed="false">
      <c r="A88" s="17" t="s">
        <v>2065</v>
      </c>
      <c r="B88" s="17" t="s">
        <v>1038</v>
      </c>
      <c r="C88" s="17" t="s">
        <v>526</v>
      </c>
      <c r="D88" s="17" t="s">
        <v>1688</v>
      </c>
      <c r="E88" s="17" t="s">
        <v>22</v>
      </c>
      <c r="F88" s="17" t="s">
        <v>1870</v>
      </c>
      <c r="G88" s="17" t="n">
        <v>35.197</v>
      </c>
      <c r="H88" s="17" t="s">
        <v>1853</v>
      </c>
      <c r="I88" s="18" t="s">
        <v>2066</v>
      </c>
      <c r="J88" s="17" t="s">
        <v>1855</v>
      </c>
      <c r="K88" s="17" t="s">
        <v>2057</v>
      </c>
      <c r="L88" s="17" t="s">
        <v>2058</v>
      </c>
      <c r="M88" s="18" t="s">
        <v>1858</v>
      </c>
      <c r="N88" s="17"/>
      <c r="O88" s="17" t="n">
        <v>0</v>
      </c>
    </row>
    <row r="89" customFormat="false" ht="17.15" hidden="false" customHeight="false" outlineLevel="0" collapsed="false">
      <c r="A89" s="0" t="s">
        <v>2067</v>
      </c>
      <c r="B89" s="0" t="s">
        <v>1038</v>
      </c>
      <c r="C89" s="0" t="s">
        <v>526</v>
      </c>
      <c r="D89" s="0" t="s">
        <v>1689</v>
      </c>
      <c r="E89" s="0" t="s">
        <v>23</v>
      </c>
      <c r="F89" s="0" t="s">
        <v>1737</v>
      </c>
      <c r="G89" s="9" t="n">
        <v>115.8</v>
      </c>
      <c r="H89" s="20" t="s">
        <v>1853</v>
      </c>
      <c r="I89" s="5" t="s">
        <v>1931</v>
      </c>
      <c r="J89" s="20" t="s">
        <v>1855</v>
      </c>
      <c r="K89" s="20" t="s">
        <v>2068</v>
      </c>
      <c r="L89" s="20" t="s">
        <v>2058</v>
      </c>
      <c r="M89" s="5" t="s">
        <v>1704</v>
      </c>
      <c r="O89" s="0" t="n">
        <v>1</v>
      </c>
    </row>
    <row r="90" customFormat="false" ht="17.15" hidden="false" customHeight="false" outlineLevel="0" collapsed="false">
      <c r="A90" s="17" t="s">
        <v>2069</v>
      </c>
      <c r="B90" s="17" t="s">
        <v>1038</v>
      </c>
      <c r="C90" s="17" t="s">
        <v>526</v>
      </c>
      <c r="D90" s="17" t="s">
        <v>1689</v>
      </c>
      <c r="E90" s="17" t="s">
        <v>23</v>
      </c>
      <c r="F90" s="17" t="s">
        <v>1713</v>
      </c>
      <c r="G90" s="17" t="n">
        <v>69.691</v>
      </c>
      <c r="H90" s="17" t="s">
        <v>1853</v>
      </c>
      <c r="I90" s="17" t="s">
        <v>2060</v>
      </c>
      <c r="J90" s="17" t="s">
        <v>1855</v>
      </c>
      <c r="K90" s="17" t="s">
        <v>2057</v>
      </c>
      <c r="L90" s="17" t="s">
        <v>2058</v>
      </c>
      <c r="M90" s="18" t="s">
        <v>1858</v>
      </c>
      <c r="N90" s="17"/>
      <c r="O90" s="17" t="n">
        <v>0</v>
      </c>
    </row>
    <row r="91" customFormat="false" ht="17.15" hidden="false" customHeight="false" outlineLevel="0" collapsed="false">
      <c r="A91" s="0" t="s">
        <v>2070</v>
      </c>
      <c r="B91" s="0" t="s">
        <v>1038</v>
      </c>
      <c r="C91" s="0" t="s">
        <v>526</v>
      </c>
      <c r="D91" s="0" t="s">
        <v>1689</v>
      </c>
      <c r="E91" s="0" t="s">
        <v>23</v>
      </c>
      <c r="F91" s="0" t="s">
        <v>1701</v>
      </c>
      <c r="G91" s="9" t="n">
        <v>72.215</v>
      </c>
      <c r="H91" s="20" t="s">
        <v>1853</v>
      </c>
      <c r="I91" s="20" t="s">
        <v>2071</v>
      </c>
      <c r="J91" s="20" t="s">
        <v>1866</v>
      </c>
      <c r="K91" s="20" t="s">
        <v>2068</v>
      </c>
      <c r="L91" s="20" t="s">
        <v>2058</v>
      </c>
      <c r="M91" s="5" t="s">
        <v>1704</v>
      </c>
      <c r="O91" s="0" t="n">
        <v>1</v>
      </c>
    </row>
    <row r="92" customFormat="false" ht="17.15" hidden="false" customHeight="false" outlineLevel="0" collapsed="false">
      <c r="A92" s="0" t="s">
        <v>2072</v>
      </c>
      <c r="B92" s="0" t="s">
        <v>1038</v>
      </c>
      <c r="C92" s="0" t="s">
        <v>526</v>
      </c>
      <c r="D92" s="0" t="s">
        <v>1689</v>
      </c>
      <c r="E92" s="0" t="s">
        <v>23</v>
      </c>
      <c r="F92" s="0" t="s">
        <v>1742</v>
      </c>
      <c r="G92" s="9" t="n">
        <v>43.585</v>
      </c>
      <c r="H92" s="20" t="s">
        <v>1853</v>
      </c>
      <c r="I92" s="5" t="s">
        <v>2073</v>
      </c>
      <c r="J92" s="20" t="s">
        <v>1855</v>
      </c>
      <c r="K92" s="20" t="s">
        <v>2068</v>
      </c>
      <c r="L92" s="20" t="s">
        <v>2058</v>
      </c>
      <c r="M92" s="5" t="s">
        <v>1704</v>
      </c>
      <c r="O92" s="0" t="n">
        <v>1</v>
      </c>
    </row>
    <row r="93" customFormat="false" ht="17.15" hidden="false" customHeight="false" outlineLevel="0" collapsed="false">
      <c r="A93" s="0" t="s">
        <v>2074</v>
      </c>
      <c r="B93" s="0" t="s">
        <v>1038</v>
      </c>
      <c r="C93" s="0" t="s">
        <v>526</v>
      </c>
      <c r="D93" s="0" t="s">
        <v>1689</v>
      </c>
      <c r="E93" s="0" t="s">
        <v>23</v>
      </c>
      <c r="F93" s="0" t="s">
        <v>1870</v>
      </c>
      <c r="G93" s="9" t="n">
        <v>31.572</v>
      </c>
      <c r="H93" s="20" t="s">
        <v>1853</v>
      </c>
      <c r="I93" s="5" t="s">
        <v>2075</v>
      </c>
      <c r="J93" s="20" t="s">
        <v>1855</v>
      </c>
      <c r="K93" s="20" t="s">
        <v>2068</v>
      </c>
      <c r="L93" s="20" t="s">
        <v>2058</v>
      </c>
      <c r="M93" s="5" t="s">
        <v>1704</v>
      </c>
      <c r="O93" s="0" t="n">
        <v>1</v>
      </c>
    </row>
    <row r="94" customFormat="false" ht="15" hidden="false" customHeight="false" outlineLevel="0" collapsed="false">
      <c r="A94" s="0" t="s">
        <v>2076</v>
      </c>
      <c r="B94" s="0" t="s">
        <v>1038</v>
      </c>
      <c r="C94" s="0" t="s">
        <v>526</v>
      </c>
      <c r="D94" s="0" t="s">
        <v>1692</v>
      </c>
      <c r="E94" s="0" t="s">
        <v>24</v>
      </c>
      <c r="F94" s="0" t="s">
        <v>1737</v>
      </c>
      <c r="G94" s="9" t="n">
        <v>96.873</v>
      </c>
      <c r="H94" s="20" t="s">
        <v>1853</v>
      </c>
      <c r="I94" s="5" t="s">
        <v>2077</v>
      </c>
      <c r="J94" s="20" t="s">
        <v>1855</v>
      </c>
      <c r="K94" s="20" t="s">
        <v>2078</v>
      </c>
      <c r="L94" s="20" t="s">
        <v>2079</v>
      </c>
      <c r="M94" s="5" t="s">
        <v>1704</v>
      </c>
      <c r="O94" s="0" t="n">
        <v>1</v>
      </c>
    </row>
    <row r="95" customFormat="false" ht="17.15" hidden="false" customHeight="false" outlineLevel="0" collapsed="false">
      <c r="A95" s="0" t="s">
        <v>2080</v>
      </c>
      <c r="B95" s="0" t="s">
        <v>1038</v>
      </c>
      <c r="C95" s="0" t="s">
        <v>526</v>
      </c>
      <c r="D95" s="0" t="s">
        <v>1692</v>
      </c>
      <c r="E95" s="0" t="s">
        <v>24</v>
      </c>
      <c r="F95" s="0" t="s">
        <v>1713</v>
      </c>
      <c r="G95" s="9" t="n">
        <v>83.055</v>
      </c>
      <c r="H95" s="20" t="s">
        <v>1853</v>
      </c>
      <c r="I95" s="20" t="s">
        <v>2081</v>
      </c>
      <c r="J95" s="20" t="s">
        <v>1855</v>
      </c>
      <c r="K95" s="20" t="s">
        <v>2078</v>
      </c>
      <c r="L95" s="20" t="s">
        <v>2079</v>
      </c>
      <c r="M95" s="5" t="s">
        <v>1704</v>
      </c>
      <c r="O95" s="0" t="n">
        <v>1</v>
      </c>
    </row>
    <row r="96" customFormat="false" ht="17.15" hidden="false" customHeight="false" outlineLevel="0" collapsed="false">
      <c r="A96" s="0" t="s">
        <v>2082</v>
      </c>
      <c r="B96" s="0" t="s">
        <v>1038</v>
      </c>
      <c r="C96" s="0" t="s">
        <v>526</v>
      </c>
      <c r="D96" s="0" t="s">
        <v>1692</v>
      </c>
      <c r="E96" s="0" t="s">
        <v>24</v>
      </c>
      <c r="F96" s="0" t="s">
        <v>1701</v>
      </c>
      <c r="G96" s="9" t="n">
        <v>85.824</v>
      </c>
      <c r="H96" s="20" t="s">
        <v>1853</v>
      </c>
      <c r="I96" s="5" t="s">
        <v>2083</v>
      </c>
      <c r="J96" s="20" t="s">
        <v>1866</v>
      </c>
      <c r="K96" s="20" t="s">
        <v>2078</v>
      </c>
      <c r="L96" s="20" t="s">
        <v>2079</v>
      </c>
      <c r="M96" s="5" t="s">
        <v>1704</v>
      </c>
      <c r="O96" s="0" t="n">
        <v>1</v>
      </c>
    </row>
    <row r="97" customFormat="false" ht="17.15" hidden="false" customHeight="false" outlineLevel="0" collapsed="false">
      <c r="A97" s="0" t="s">
        <v>2084</v>
      </c>
      <c r="B97" s="0" t="s">
        <v>1038</v>
      </c>
      <c r="C97" s="0" t="s">
        <v>526</v>
      </c>
      <c r="D97" s="0" t="s">
        <v>1692</v>
      </c>
      <c r="E97" s="0" t="s">
        <v>24</v>
      </c>
      <c r="F97" s="0" t="s">
        <v>1742</v>
      </c>
      <c r="G97" s="9" t="n">
        <v>11.049</v>
      </c>
      <c r="H97" s="20" t="s">
        <v>1853</v>
      </c>
      <c r="I97" s="20" t="s">
        <v>2085</v>
      </c>
      <c r="J97" s="20" t="s">
        <v>1866</v>
      </c>
      <c r="K97" s="20" t="s">
        <v>2078</v>
      </c>
      <c r="L97" s="20" t="s">
        <v>2079</v>
      </c>
      <c r="M97" s="5" t="s">
        <v>1704</v>
      </c>
      <c r="O97" s="0" t="n">
        <v>1</v>
      </c>
    </row>
    <row r="98" customFormat="false" ht="17.15" hidden="false" customHeight="false" outlineLevel="0" collapsed="false">
      <c r="A98" s="0" t="s">
        <v>2086</v>
      </c>
      <c r="B98" s="0" t="s">
        <v>1038</v>
      </c>
      <c r="C98" s="0" t="s">
        <v>526</v>
      </c>
      <c r="D98" s="0" t="s">
        <v>1692</v>
      </c>
      <c r="E98" s="0" t="s">
        <v>24</v>
      </c>
      <c r="F98" s="0" t="s">
        <v>1870</v>
      </c>
      <c r="G98" s="9" t="n">
        <v>4.06</v>
      </c>
      <c r="H98" s="20" t="s">
        <v>1853</v>
      </c>
      <c r="I98" s="5" t="s">
        <v>2087</v>
      </c>
      <c r="J98" s="20" t="s">
        <v>1855</v>
      </c>
      <c r="K98" s="20" t="s">
        <v>2078</v>
      </c>
      <c r="L98" s="20" t="s">
        <v>2079</v>
      </c>
      <c r="M98" s="5" t="s">
        <v>1704</v>
      </c>
      <c r="O98" s="0" t="n">
        <v>1</v>
      </c>
    </row>
    <row r="99" customFormat="false" ht="17.15" hidden="false" customHeight="false" outlineLevel="0" collapsed="false">
      <c r="A99" s="0" t="s">
        <v>1730</v>
      </c>
      <c r="B99" s="0" t="s">
        <v>1038</v>
      </c>
      <c r="C99" s="0" t="s">
        <v>526</v>
      </c>
      <c r="D99" s="0" t="s">
        <v>1700</v>
      </c>
      <c r="E99" s="0" t="s">
        <v>1908</v>
      </c>
      <c r="F99" s="0" t="s">
        <v>1701</v>
      </c>
      <c r="G99" s="9" t="n">
        <v>140</v>
      </c>
      <c r="H99" s="20" t="s">
        <v>1853</v>
      </c>
      <c r="I99" s="5" t="s">
        <v>1729</v>
      </c>
      <c r="J99" s="20" t="s">
        <v>1909</v>
      </c>
      <c r="K99" s="20" t="s">
        <v>2088</v>
      </c>
      <c r="L99" s="20" t="s">
        <v>2089</v>
      </c>
      <c r="M99" s="5" t="s">
        <v>1704</v>
      </c>
      <c r="O99" s="0" t="n">
        <v>1</v>
      </c>
    </row>
    <row r="100" customFormat="false" ht="17.15" hidden="false" customHeight="false" outlineLevel="0" collapsed="false">
      <c r="A100" s="0" t="s">
        <v>2090</v>
      </c>
      <c r="B100" s="0" t="s">
        <v>1038</v>
      </c>
      <c r="C100" s="0" t="s">
        <v>526</v>
      </c>
      <c r="D100" s="0" t="s">
        <v>2091</v>
      </c>
      <c r="E100" s="0" t="s">
        <v>23</v>
      </c>
      <c r="F100" s="0" t="s">
        <v>1709</v>
      </c>
      <c r="G100" s="9" t="n">
        <v>30</v>
      </c>
      <c r="H100" s="20" t="s">
        <v>1853</v>
      </c>
      <c r="I100" s="20" t="s">
        <v>2092</v>
      </c>
      <c r="J100" s="20" t="s">
        <v>1909</v>
      </c>
      <c r="K100" s="20" t="s">
        <v>2036</v>
      </c>
      <c r="L100" s="20" t="s">
        <v>2093</v>
      </c>
      <c r="M100" s="20" t="s">
        <v>1770</v>
      </c>
      <c r="O100" s="0" t="n">
        <v>1</v>
      </c>
    </row>
    <row r="101" customFormat="false" ht="17.15" hidden="false" customHeight="false" outlineLevel="0" collapsed="false">
      <c r="A101" s="0" t="s">
        <v>2094</v>
      </c>
      <c r="B101" s="0" t="s">
        <v>1038</v>
      </c>
      <c r="C101" s="0" t="s">
        <v>526</v>
      </c>
      <c r="D101" s="0" t="s">
        <v>2095</v>
      </c>
      <c r="E101" s="0" t="s">
        <v>24</v>
      </c>
      <c r="F101" s="0" t="s">
        <v>1709</v>
      </c>
      <c r="G101" s="9" t="n">
        <v>25</v>
      </c>
      <c r="H101" s="20" t="s">
        <v>1853</v>
      </c>
      <c r="I101" s="20" t="s">
        <v>2096</v>
      </c>
      <c r="J101" s="20" t="s">
        <v>1855</v>
      </c>
      <c r="K101" s="20" t="s">
        <v>2097</v>
      </c>
      <c r="L101" s="20" t="s">
        <v>2079</v>
      </c>
      <c r="M101" s="5" t="s">
        <v>1712</v>
      </c>
      <c r="N101" s="20" t="s">
        <v>2098</v>
      </c>
      <c r="O101" s="0" t="n">
        <v>1</v>
      </c>
    </row>
    <row r="102" customFormat="false" ht="17.15" hidden="false" customHeight="false" outlineLevel="0" collapsed="false">
      <c r="A102" s="0" t="s">
        <v>2099</v>
      </c>
      <c r="B102" s="0" t="s">
        <v>1038</v>
      </c>
      <c r="C102" s="0" t="s">
        <v>526</v>
      </c>
      <c r="D102" s="0" t="s">
        <v>1692</v>
      </c>
      <c r="E102" s="0" t="s">
        <v>24</v>
      </c>
      <c r="F102" s="0" t="s">
        <v>1897</v>
      </c>
      <c r="G102" s="9" t="n">
        <v>22.178</v>
      </c>
      <c r="H102" s="20" t="s">
        <v>1853</v>
      </c>
      <c r="I102" s="5" t="s">
        <v>2100</v>
      </c>
      <c r="J102" s="20" t="s">
        <v>1866</v>
      </c>
      <c r="K102" s="20" t="s">
        <v>2078</v>
      </c>
      <c r="L102" s="20" t="s">
        <v>2079</v>
      </c>
      <c r="M102" s="5" t="s">
        <v>1704</v>
      </c>
      <c r="O102" s="0" t="n">
        <v>1</v>
      </c>
    </row>
    <row r="103" customFormat="false" ht="17.15" hidden="false" customHeight="false" outlineLevel="0" collapsed="false">
      <c r="A103" s="0" t="s">
        <v>2101</v>
      </c>
      <c r="B103" s="0" t="s">
        <v>1038</v>
      </c>
      <c r="C103" s="0" t="s">
        <v>526</v>
      </c>
      <c r="D103" s="0" t="s">
        <v>2102</v>
      </c>
      <c r="E103" s="0" t="s">
        <v>23</v>
      </c>
      <c r="F103" s="0" t="s">
        <v>1717</v>
      </c>
      <c r="G103" s="9" t="n">
        <v>27.3</v>
      </c>
      <c r="H103" s="20" t="s">
        <v>1853</v>
      </c>
      <c r="I103" s="20" t="s">
        <v>2103</v>
      </c>
      <c r="J103" s="20" t="s">
        <v>1909</v>
      </c>
      <c r="K103" s="20" t="s">
        <v>2036</v>
      </c>
      <c r="L103" s="20" t="s">
        <v>2104</v>
      </c>
      <c r="M103" s="5" t="s">
        <v>1704</v>
      </c>
      <c r="O103" s="0" t="n">
        <v>1</v>
      </c>
    </row>
    <row r="104" customFormat="false" ht="17.15" hidden="false" customHeight="false" outlineLevel="0" collapsed="false">
      <c r="A104" s="0" t="s">
        <v>2105</v>
      </c>
      <c r="B104" s="0" t="s">
        <v>1038</v>
      </c>
      <c r="C104" s="0" t="s">
        <v>526</v>
      </c>
      <c r="D104" s="0" t="s">
        <v>1725</v>
      </c>
      <c r="E104" s="0" t="s">
        <v>24</v>
      </c>
      <c r="F104" s="0" t="s">
        <v>1717</v>
      </c>
      <c r="G104" s="9" t="n">
        <v>14</v>
      </c>
      <c r="H104" s="20" t="s">
        <v>1853</v>
      </c>
      <c r="I104" s="20" t="s">
        <v>2106</v>
      </c>
      <c r="J104" s="20" t="s">
        <v>1909</v>
      </c>
      <c r="K104" s="20" t="s">
        <v>2107</v>
      </c>
      <c r="L104" s="20" t="s">
        <v>2108</v>
      </c>
      <c r="M104" s="5" t="s">
        <v>1712</v>
      </c>
      <c r="N104" s="20" t="s">
        <v>2109</v>
      </c>
      <c r="O104" s="0" t="n">
        <v>1</v>
      </c>
    </row>
    <row r="105" customFormat="false" ht="17.15" hidden="false" customHeight="false" outlineLevel="0" collapsed="false">
      <c r="A105" s="0" t="s">
        <v>2110</v>
      </c>
      <c r="B105" s="0" t="s">
        <v>1038</v>
      </c>
      <c r="C105" s="0" t="s">
        <v>526</v>
      </c>
      <c r="D105" s="0" t="s">
        <v>2111</v>
      </c>
      <c r="E105" s="0" t="s">
        <v>24</v>
      </c>
      <c r="F105" s="0" t="s">
        <v>2112</v>
      </c>
      <c r="G105" s="9" t="n">
        <v>68.404</v>
      </c>
      <c r="H105" s="20" t="s">
        <v>1853</v>
      </c>
      <c r="I105" s="5" t="s">
        <v>2113</v>
      </c>
      <c r="J105" s="20" t="s">
        <v>1855</v>
      </c>
      <c r="K105" s="20" t="s">
        <v>2078</v>
      </c>
      <c r="L105" s="20" t="s">
        <v>2079</v>
      </c>
      <c r="M105" s="5" t="s">
        <v>1704</v>
      </c>
      <c r="O105" s="0" t="n">
        <v>1</v>
      </c>
    </row>
    <row r="106" customFormat="false" ht="17.15" hidden="false" customHeight="false" outlineLevel="0" collapsed="false">
      <c r="A106" s="0" t="s">
        <v>2114</v>
      </c>
      <c r="B106" s="0" t="s">
        <v>1038</v>
      </c>
      <c r="C106" s="0" t="s">
        <v>526</v>
      </c>
      <c r="D106" s="0" t="s">
        <v>2111</v>
      </c>
      <c r="E106" s="0" t="s">
        <v>24</v>
      </c>
      <c r="F106" s="0" t="s">
        <v>1753</v>
      </c>
      <c r="G106" s="9" t="n">
        <v>355.73</v>
      </c>
      <c r="H106" s="20" t="s">
        <v>1853</v>
      </c>
      <c r="I106" s="5" t="s">
        <v>2115</v>
      </c>
      <c r="J106" s="20" t="s">
        <v>1855</v>
      </c>
      <c r="K106" s="20" t="s">
        <v>2078</v>
      </c>
      <c r="L106" s="20" t="s">
        <v>2079</v>
      </c>
      <c r="M106" s="5" t="s">
        <v>1704</v>
      </c>
      <c r="O106" s="0" t="n">
        <v>1</v>
      </c>
    </row>
    <row r="107" customFormat="false" ht="17.15" hidden="false" customHeight="false" outlineLevel="0" collapsed="false">
      <c r="A107" s="0" t="s">
        <v>2116</v>
      </c>
      <c r="B107" s="0" t="s">
        <v>1038</v>
      </c>
      <c r="C107" s="0" t="s">
        <v>526</v>
      </c>
      <c r="D107" s="0" t="s">
        <v>2111</v>
      </c>
      <c r="E107" s="0" t="s">
        <v>24</v>
      </c>
      <c r="F107" s="0" t="s">
        <v>1906</v>
      </c>
      <c r="G107" s="9" t="n">
        <v>454.52</v>
      </c>
      <c r="H107" s="20" t="s">
        <v>1853</v>
      </c>
      <c r="I107" s="5" t="s">
        <v>2117</v>
      </c>
      <c r="J107" s="20" t="s">
        <v>1855</v>
      </c>
      <c r="K107" s="20" t="s">
        <v>2078</v>
      </c>
      <c r="L107" s="20" t="s">
        <v>2079</v>
      </c>
      <c r="M107" s="5" t="s">
        <v>1704</v>
      </c>
      <c r="O107" s="0" t="n">
        <v>1</v>
      </c>
    </row>
    <row r="108" customFormat="false" ht="17.15" hidden="false" customHeight="false" outlineLevel="0" collapsed="false">
      <c r="A108" s="0" t="s">
        <v>1734</v>
      </c>
      <c r="B108" s="0" t="s">
        <v>1038</v>
      </c>
      <c r="C108" s="0" t="s">
        <v>526</v>
      </c>
      <c r="D108" s="0" t="s">
        <v>1731</v>
      </c>
      <c r="E108" s="0" t="s">
        <v>1912</v>
      </c>
      <c r="F108" s="0" t="s">
        <v>1732</v>
      </c>
      <c r="G108" s="9" t="n">
        <v>25</v>
      </c>
      <c r="H108" s="20" t="s">
        <v>1853</v>
      </c>
      <c r="I108" s="20" t="s">
        <v>1733</v>
      </c>
      <c r="J108" s="20" t="s">
        <v>1855</v>
      </c>
      <c r="K108" s="20" t="s">
        <v>2118</v>
      </c>
      <c r="L108" s="20" t="s">
        <v>2119</v>
      </c>
      <c r="M108" s="5" t="s">
        <v>1704</v>
      </c>
      <c r="O108" s="0" t="n">
        <v>1</v>
      </c>
    </row>
    <row r="109" customFormat="false" ht="17.15" hidden="false" customHeight="false" outlineLevel="0" collapsed="false">
      <c r="A109" s="0" t="s">
        <v>1736</v>
      </c>
      <c r="B109" s="0" t="s">
        <v>1038</v>
      </c>
      <c r="C109" s="0" t="s">
        <v>526</v>
      </c>
      <c r="D109" s="0" t="s">
        <v>1731</v>
      </c>
      <c r="E109" s="0" t="s">
        <v>1912</v>
      </c>
      <c r="F109" s="0" t="s">
        <v>1732</v>
      </c>
      <c r="G109" s="9" t="n">
        <v>12.5</v>
      </c>
      <c r="H109" s="20" t="s">
        <v>1853</v>
      </c>
      <c r="I109" s="20" t="s">
        <v>1735</v>
      </c>
      <c r="J109" s="20" t="s">
        <v>1855</v>
      </c>
      <c r="K109" s="20" t="s">
        <v>2118</v>
      </c>
      <c r="L109" s="20" t="s">
        <v>2119</v>
      </c>
      <c r="M109" s="5" t="s">
        <v>1704</v>
      </c>
      <c r="O109" s="0" t="n">
        <v>1</v>
      </c>
    </row>
    <row r="110" customFormat="false" ht="17.15" hidden="false" customHeight="false" outlineLevel="0" collapsed="false">
      <c r="A110" s="17" t="s">
        <v>2120</v>
      </c>
      <c r="B110" s="17" t="s">
        <v>1693</v>
      </c>
      <c r="C110" s="17" t="s">
        <v>530</v>
      </c>
      <c r="D110" s="17" t="s">
        <v>1684</v>
      </c>
      <c r="E110" s="17" t="s">
        <v>22</v>
      </c>
      <c r="F110" s="17" t="s">
        <v>1737</v>
      </c>
      <c r="G110" s="17" t="n">
        <v>18.673</v>
      </c>
      <c r="H110" s="17" t="s">
        <v>1853</v>
      </c>
      <c r="I110" s="18" t="s">
        <v>2121</v>
      </c>
      <c r="J110" s="17" t="s">
        <v>1855</v>
      </c>
      <c r="K110" s="17" t="s">
        <v>2122</v>
      </c>
      <c r="L110" s="17" t="s">
        <v>2123</v>
      </c>
      <c r="M110" s="18" t="s">
        <v>1858</v>
      </c>
      <c r="N110" s="17"/>
      <c r="O110" s="17" t="n">
        <v>0</v>
      </c>
    </row>
    <row r="111" customFormat="false" ht="17.15" hidden="false" customHeight="false" outlineLevel="0" collapsed="false">
      <c r="A111" s="17" t="s">
        <v>2124</v>
      </c>
      <c r="B111" s="17" t="s">
        <v>1693</v>
      </c>
      <c r="C111" s="17" t="s">
        <v>530</v>
      </c>
      <c r="D111" s="17" t="s">
        <v>1684</v>
      </c>
      <c r="E111" s="17" t="s">
        <v>22</v>
      </c>
      <c r="F111" s="17" t="s">
        <v>1713</v>
      </c>
      <c r="G111" s="17" t="n">
        <v>6.866</v>
      </c>
      <c r="H111" s="17" t="s">
        <v>1853</v>
      </c>
      <c r="I111" s="18" t="s">
        <v>2125</v>
      </c>
      <c r="J111" s="17" t="s">
        <v>1855</v>
      </c>
      <c r="K111" s="17" t="s">
        <v>2122</v>
      </c>
      <c r="L111" s="17" t="s">
        <v>2123</v>
      </c>
      <c r="M111" s="18" t="s">
        <v>1858</v>
      </c>
      <c r="N111" s="17"/>
      <c r="O111" s="17" t="n">
        <v>0</v>
      </c>
    </row>
    <row r="112" customFormat="false" ht="17.15" hidden="false" customHeight="false" outlineLevel="0" collapsed="false">
      <c r="A112" s="17" t="s">
        <v>2126</v>
      </c>
      <c r="B112" s="17" t="s">
        <v>1693</v>
      </c>
      <c r="C112" s="17" t="s">
        <v>530</v>
      </c>
      <c r="D112" s="17" t="s">
        <v>1684</v>
      </c>
      <c r="E112" s="17" t="s">
        <v>22</v>
      </c>
      <c r="F112" s="17" t="s">
        <v>1742</v>
      </c>
      <c r="G112" s="17" t="n">
        <v>11.807</v>
      </c>
      <c r="H112" s="17" t="s">
        <v>1853</v>
      </c>
      <c r="I112" s="17" t="s">
        <v>1937</v>
      </c>
      <c r="J112" s="17" t="s">
        <v>1866</v>
      </c>
      <c r="K112" s="17" t="s">
        <v>2122</v>
      </c>
      <c r="L112" s="17" t="s">
        <v>2123</v>
      </c>
      <c r="M112" s="18" t="s">
        <v>1858</v>
      </c>
      <c r="N112" s="17"/>
      <c r="O112" s="17" t="n">
        <v>0</v>
      </c>
    </row>
    <row r="113" customFormat="false" ht="17.15" hidden="false" customHeight="false" outlineLevel="0" collapsed="false">
      <c r="A113" s="17" t="s">
        <v>2127</v>
      </c>
      <c r="B113" s="17" t="s">
        <v>1693</v>
      </c>
      <c r="C113" s="17" t="s">
        <v>530</v>
      </c>
      <c r="D113" s="17" t="s">
        <v>1684</v>
      </c>
      <c r="E113" s="17" t="s">
        <v>22</v>
      </c>
      <c r="F113" s="17" t="s">
        <v>1870</v>
      </c>
      <c r="G113" s="17" t="n">
        <v>5.593</v>
      </c>
      <c r="H113" s="17" t="s">
        <v>1853</v>
      </c>
      <c r="I113" s="18" t="s">
        <v>2128</v>
      </c>
      <c r="J113" s="17" t="s">
        <v>1855</v>
      </c>
      <c r="K113" s="17" t="s">
        <v>2122</v>
      </c>
      <c r="L113" s="17" t="s">
        <v>2123</v>
      </c>
      <c r="M113" s="18" t="s">
        <v>1858</v>
      </c>
      <c r="N113" s="17"/>
      <c r="O113" s="17" t="n">
        <v>0</v>
      </c>
    </row>
    <row r="114" customFormat="false" ht="17.15" hidden="false" customHeight="false" outlineLevel="0" collapsed="false">
      <c r="A114" s="17" t="s">
        <v>2129</v>
      </c>
      <c r="B114" s="17" t="s">
        <v>1693</v>
      </c>
      <c r="C114" s="17" t="s">
        <v>530</v>
      </c>
      <c r="D114" s="17" t="s">
        <v>1685</v>
      </c>
      <c r="E114" s="17" t="s">
        <v>23</v>
      </c>
      <c r="F114" s="17" t="s">
        <v>1737</v>
      </c>
      <c r="G114" s="17" t="n">
        <v>20.821</v>
      </c>
      <c r="H114" s="17" t="s">
        <v>1853</v>
      </c>
      <c r="I114" s="18" t="s">
        <v>2121</v>
      </c>
      <c r="J114" s="17" t="s">
        <v>1855</v>
      </c>
      <c r="K114" s="17" t="s">
        <v>2122</v>
      </c>
      <c r="L114" s="17" t="s">
        <v>2123</v>
      </c>
      <c r="M114" s="18" t="s">
        <v>1858</v>
      </c>
      <c r="N114" s="17"/>
      <c r="O114" s="17" t="n">
        <v>0</v>
      </c>
    </row>
    <row r="115" customFormat="false" ht="17.15" hidden="false" customHeight="false" outlineLevel="0" collapsed="false">
      <c r="A115" s="17" t="s">
        <v>2130</v>
      </c>
      <c r="B115" s="17" t="s">
        <v>1693</v>
      </c>
      <c r="C115" s="17" t="s">
        <v>530</v>
      </c>
      <c r="D115" s="17" t="s">
        <v>1685</v>
      </c>
      <c r="E115" s="17" t="s">
        <v>23</v>
      </c>
      <c r="F115" s="17" t="s">
        <v>1713</v>
      </c>
      <c r="G115" s="17" t="n">
        <v>21.215</v>
      </c>
      <c r="H115" s="17" t="s">
        <v>1853</v>
      </c>
      <c r="I115" s="18" t="s">
        <v>2125</v>
      </c>
      <c r="J115" s="17" t="s">
        <v>1855</v>
      </c>
      <c r="K115" s="17" t="s">
        <v>2122</v>
      </c>
      <c r="L115" s="17" t="s">
        <v>2123</v>
      </c>
      <c r="M115" s="18" t="s">
        <v>1858</v>
      </c>
      <c r="N115" s="17"/>
      <c r="O115" s="17" t="n">
        <v>0</v>
      </c>
    </row>
    <row r="116" customFormat="false" ht="17.15" hidden="false" customHeight="false" outlineLevel="0" collapsed="false">
      <c r="A116" s="17" t="s">
        <v>2131</v>
      </c>
      <c r="B116" s="17" t="s">
        <v>1693</v>
      </c>
      <c r="C116" s="17" t="s">
        <v>530</v>
      </c>
      <c r="D116" s="17" t="s">
        <v>1685</v>
      </c>
      <c r="E116" s="17" t="s">
        <v>23</v>
      </c>
      <c r="F116" s="17" t="s">
        <v>1742</v>
      </c>
      <c r="G116" s="17" t="n">
        <v>-0.394</v>
      </c>
      <c r="H116" s="17" t="s">
        <v>1853</v>
      </c>
      <c r="I116" s="17" t="s">
        <v>1937</v>
      </c>
      <c r="J116" s="17" t="s">
        <v>1866</v>
      </c>
      <c r="K116" s="17" t="s">
        <v>2122</v>
      </c>
      <c r="L116" s="17" t="s">
        <v>2123</v>
      </c>
      <c r="M116" s="18" t="s">
        <v>1858</v>
      </c>
      <c r="N116" s="17"/>
      <c r="O116" s="17" t="n">
        <v>0</v>
      </c>
    </row>
    <row r="117" customFormat="false" ht="17.15" hidden="false" customHeight="false" outlineLevel="0" collapsed="false">
      <c r="A117" s="17" t="s">
        <v>2132</v>
      </c>
      <c r="B117" s="17" t="s">
        <v>1693</v>
      </c>
      <c r="C117" s="17" t="s">
        <v>530</v>
      </c>
      <c r="D117" s="17" t="s">
        <v>1685</v>
      </c>
      <c r="E117" s="17" t="s">
        <v>23</v>
      </c>
      <c r="F117" s="17" t="s">
        <v>1870</v>
      </c>
      <c r="G117" s="17" t="n">
        <v>5.343</v>
      </c>
      <c r="H117" s="17" t="s">
        <v>1853</v>
      </c>
      <c r="I117" s="18" t="s">
        <v>2133</v>
      </c>
      <c r="J117" s="17" t="s">
        <v>1855</v>
      </c>
      <c r="K117" s="17" t="s">
        <v>2122</v>
      </c>
      <c r="L117" s="17" t="s">
        <v>2123</v>
      </c>
      <c r="M117" s="18" t="s">
        <v>1858</v>
      </c>
      <c r="N117" s="17"/>
      <c r="O117" s="17" t="n">
        <v>0</v>
      </c>
    </row>
    <row r="118" customFormat="false" ht="17.15" hidden="false" customHeight="false" outlineLevel="0" collapsed="false">
      <c r="A118" s="0" t="s">
        <v>2134</v>
      </c>
      <c r="B118" s="0" t="s">
        <v>1693</v>
      </c>
      <c r="C118" s="0" t="s">
        <v>530</v>
      </c>
      <c r="D118" s="0" t="s">
        <v>1686</v>
      </c>
      <c r="E118" s="0" t="s">
        <v>24</v>
      </c>
      <c r="F118" s="0" t="s">
        <v>1737</v>
      </c>
      <c r="G118" s="9" t="n">
        <v>31.977</v>
      </c>
      <c r="H118" s="20" t="s">
        <v>1853</v>
      </c>
      <c r="I118" s="5" t="s">
        <v>2135</v>
      </c>
      <c r="J118" s="20" t="s">
        <v>1855</v>
      </c>
      <c r="K118" s="20" t="s">
        <v>2136</v>
      </c>
      <c r="L118" s="20" t="s">
        <v>2123</v>
      </c>
      <c r="M118" s="5" t="s">
        <v>1704</v>
      </c>
      <c r="O118" s="0" t="n">
        <v>1</v>
      </c>
    </row>
    <row r="119" customFormat="false" ht="17.15" hidden="false" customHeight="false" outlineLevel="0" collapsed="false">
      <c r="A119" s="0" t="s">
        <v>2137</v>
      </c>
      <c r="B119" s="0" t="s">
        <v>1693</v>
      </c>
      <c r="C119" s="0" t="s">
        <v>530</v>
      </c>
      <c r="D119" s="0" t="s">
        <v>1686</v>
      </c>
      <c r="E119" s="0" t="s">
        <v>24</v>
      </c>
      <c r="F119" s="0" t="s">
        <v>1713</v>
      </c>
      <c r="G119" s="9" t="n">
        <v>55.663</v>
      </c>
      <c r="H119" s="20" t="s">
        <v>1853</v>
      </c>
      <c r="I119" s="5" t="s">
        <v>2125</v>
      </c>
      <c r="J119" s="20" t="s">
        <v>1855</v>
      </c>
      <c r="K119" s="20" t="s">
        <v>2136</v>
      </c>
      <c r="L119" s="20" t="s">
        <v>2123</v>
      </c>
      <c r="M119" s="5" t="s">
        <v>1704</v>
      </c>
      <c r="O119" s="0" t="n">
        <v>1</v>
      </c>
    </row>
    <row r="120" customFormat="false" ht="17.15" hidden="false" customHeight="false" outlineLevel="0" collapsed="false">
      <c r="A120" s="0" t="s">
        <v>2138</v>
      </c>
      <c r="B120" s="0" t="s">
        <v>1693</v>
      </c>
      <c r="C120" s="0" t="s">
        <v>530</v>
      </c>
      <c r="D120" s="0" t="s">
        <v>1686</v>
      </c>
      <c r="E120" s="0" t="s">
        <v>24</v>
      </c>
      <c r="F120" s="0" t="s">
        <v>1742</v>
      </c>
      <c r="G120" s="9" t="n">
        <v>-23.686</v>
      </c>
      <c r="H120" s="20" t="s">
        <v>1853</v>
      </c>
      <c r="I120" s="20" t="s">
        <v>1947</v>
      </c>
      <c r="J120" s="20" t="s">
        <v>1866</v>
      </c>
      <c r="K120" s="20" t="s">
        <v>2136</v>
      </c>
      <c r="L120" s="20" t="s">
        <v>2123</v>
      </c>
      <c r="M120" s="5" t="s">
        <v>1704</v>
      </c>
      <c r="O120" s="0" t="n">
        <v>1</v>
      </c>
    </row>
    <row r="121" customFormat="false" ht="17.15" hidden="false" customHeight="false" outlineLevel="0" collapsed="false">
      <c r="A121" s="17" t="s">
        <v>2139</v>
      </c>
      <c r="B121" s="17" t="s">
        <v>1693</v>
      </c>
      <c r="C121" s="17" t="s">
        <v>530</v>
      </c>
      <c r="D121" s="17" t="s">
        <v>1686</v>
      </c>
      <c r="E121" s="17" t="s">
        <v>24</v>
      </c>
      <c r="F121" s="17" t="s">
        <v>1870</v>
      </c>
      <c r="G121" s="17" t="n">
        <v>5.882</v>
      </c>
      <c r="H121" s="17" t="s">
        <v>1853</v>
      </c>
      <c r="I121" s="18" t="s">
        <v>2140</v>
      </c>
      <c r="J121" s="17" t="s">
        <v>1855</v>
      </c>
      <c r="K121" s="17" t="s">
        <v>2122</v>
      </c>
      <c r="L121" s="17" t="s">
        <v>2123</v>
      </c>
      <c r="M121" s="18" t="s">
        <v>1858</v>
      </c>
      <c r="N121" s="17"/>
      <c r="O121" s="17" t="n">
        <v>0</v>
      </c>
    </row>
    <row r="122" customFormat="false" ht="17.15" hidden="false" customHeight="false" outlineLevel="0" collapsed="false">
      <c r="A122" s="0" t="s">
        <v>1739</v>
      </c>
      <c r="B122" s="0" t="s">
        <v>1693</v>
      </c>
      <c r="C122" s="0" t="s">
        <v>530</v>
      </c>
      <c r="D122" s="0" t="s">
        <v>1705</v>
      </c>
      <c r="E122" s="0" t="s">
        <v>1912</v>
      </c>
      <c r="F122" s="0" t="s">
        <v>1737</v>
      </c>
      <c r="G122" s="9" t="n">
        <v>23.103</v>
      </c>
      <c r="H122" s="20" t="s">
        <v>1853</v>
      </c>
      <c r="I122" s="5" t="s">
        <v>1738</v>
      </c>
      <c r="J122" s="20" t="s">
        <v>1909</v>
      </c>
      <c r="K122" s="20" t="s">
        <v>2141</v>
      </c>
      <c r="L122" s="20" t="s">
        <v>2142</v>
      </c>
      <c r="M122" s="5" t="s">
        <v>1704</v>
      </c>
      <c r="O122" s="0" t="n">
        <v>1</v>
      </c>
    </row>
    <row r="123" customFormat="false" ht="17.15" hidden="false" customHeight="false" outlineLevel="0" collapsed="false">
      <c r="A123" s="0" t="s">
        <v>1741</v>
      </c>
      <c r="B123" s="0" t="s">
        <v>1693</v>
      </c>
      <c r="C123" s="0" t="s">
        <v>530</v>
      </c>
      <c r="D123" s="0" t="s">
        <v>1705</v>
      </c>
      <c r="E123" s="0" t="s">
        <v>1912</v>
      </c>
      <c r="F123" s="0" t="s">
        <v>1713</v>
      </c>
      <c r="G123" s="9" t="n">
        <v>28.499</v>
      </c>
      <c r="H123" s="20" t="s">
        <v>1853</v>
      </c>
      <c r="I123" s="5" t="s">
        <v>1740</v>
      </c>
      <c r="J123" s="20" t="s">
        <v>1909</v>
      </c>
      <c r="K123" s="20" t="s">
        <v>2141</v>
      </c>
      <c r="L123" s="20" t="s">
        <v>2142</v>
      </c>
      <c r="M123" s="5" t="s">
        <v>1704</v>
      </c>
      <c r="O123" s="0" t="n">
        <v>1</v>
      </c>
    </row>
    <row r="124" customFormat="false" ht="17.15" hidden="false" customHeight="false" outlineLevel="0" collapsed="false">
      <c r="A124" s="0" t="s">
        <v>1744</v>
      </c>
      <c r="B124" s="0" t="s">
        <v>1693</v>
      </c>
      <c r="C124" s="0" t="s">
        <v>530</v>
      </c>
      <c r="D124" s="0" t="s">
        <v>1705</v>
      </c>
      <c r="E124" s="0" t="s">
        <v>1912</v>
      </c>
      <c r="F124" s="0" t="s">
        <v>1742</v>
      </c>
      <c r="G124" s="9" t="n">
        <v>-5.396</v>
      </c>
      <c r="H124" s="20" t="s">
        <v>1853</v>
      </c>
      <c r="I124" s="5" t="s">
        <v>1743</v>
      </c>
      <c r="J124" s="20" t="s">
        <v>1866</v>
      </c>
      <c r="K124" s="20" t="s">
        <v>2141</v>
      </c>
      <c r="L124" s="20" t="s">
        <v>2142</v>
      </c>
      <c r="M124" s="5" t="s">
        <v>1704</v>
      </c>
      <c r="O124" s="0" t="n">
        <v>1</v>
      </c>
    </row>
    <row r="125" customFormat="false" ht="17.15" hidden="false" customHeight="false" outlineLevel="0" collapsed="false">
      <c r="A125" s="0" t="s">
        <v>1747</v>
      </c>
      <c r="B125" s="0" t="s">
        <v>1693</v>
      </c>
      <c r="C125" s="0" t="s">
        <v>530</v>
      </c>
      <c r="D125" s="0" t="s">
        <v>1745</v>
      </c>
      <c r="E125" s="0" t="s">
        <v>1908</v>
      </c>
      <c r="F125" s="0" t="s">
        <v>1713</v>
      </c>
      <c r="G125" s="9" t="n">
        <v>92.5</v>
      </c>
      <c r="H125" s="20" t="s">
        <v>1853</v>
      </c>
      <c r="I125" s="5" t="s">
        <v>1746</v>
      </c>
      <c r="J125" s="20" t="s">
        <v>1909</v>
      </c>
      <c r="K125" s="20" t="s">
        <v>2143</v>
      </c>
      <c r="L125" s="20" t="s">
        <v>2144</v>
      </c>
      <c r="M125" s="5" t="s">
        <v>1712</v>
      </c>
      <c r="N125" s="20" t="s">
        <v>2145</v>
      </c>
      <c r="O125" s="0" t="n">
        <v>1</v>
      </c>
    </row>
    <row r="126" customFormat="false" ht="17.15" hidden="false" customHeight="false" outlineLevel="0" collapsed="false">
      <c r="A126" s="0" t="s">
        <v>2146</v>
      </c>
      <c r="B126" s="0" t="s">
        <v>1693</v>
      </c>
      <c r="C126" s="0" t="s">
        <v>530</v>
      </c>
      <c r="D126" s="0" t="s">
        <v>1686</v>
      </c>
      <c r="E126" s="0" t="s">
        <v>24</v>
      </c>
      <c r="F126" s="0" t="s">
        <v>1709</v>
      </c>
      <c r="G126" s="9" t="n">
        <v>43</v>
      </c>
      <c r="H126" s="20" t="s">
        <v>1853</v>
      </c>
      <c r="I126" s="20" t="s">
        <v>2147</v>
      </c>
      <c r="J126" s="20" t="s">
        <v>1855</v>
      </c>
      <c r="K126" s="20" t="s">
        <v>2136</v>
      </c>
      <c r="L126" s="20" t="s">
        <v>2123</v>
      </c>
      <c r="M126" s="5" t="s">
        <v>1704</v>
      </c>
      <c r="O126" s="0" t="n">
        <v>1</v>
      </c>
    </row>
    <row r="127" customFormat="false" ht="17.15" hidden="false" customHeight="false" outlineLevel="0" collapsed="false">
      <c r="A127" s="17" t="s">
        <v>2148</v>
      </c>
      <c r="B127" s="17" t="s">
        <v>1693</v>
      </c>
      <c r="C127" s="17" t="s">
        <v>530</v>
      </c>
      <c r="D127" s="17" t="s">
        <v>2149</v>
      </c>
      <c r="E127" s="17" t="s">
        <v>24</v>
      </c>
      <c r="F127" s="17" t="s">
        <v>2150</v>
      </c>
      <c r="G127" s="17" t="n">
        <v>5.137</v>
      </c>
      <c r="H127" s="17" t="s">
        <v>1853</v>
      </c>
      <c r="I127" s="18" t="s">
        <v>2151</v>
      </c>
      <c r="J127" s="17" t="s">
        <v>1855</v>
      </c>
      <c r="K127" s="17" t="s">
        <v>2122</v>
      </c>
      <c r="L127" s="17" t="s">
        <v>2123</v>
      </c>
      <c r="M127" s="18" t="s">
        <v>1858</v>
      </c>
      <c r="N127" s="17"/>
      <c r="O127" s="17" t="n">
        <v>0</v>
      </c>
    </row>
    <row r="128" customFormat="false" ht="17.15" hidden="false" customHeight="false" outlineLevel="0" collapsed="false">
      <c r="A128" s="0" t="s">
        <v>2152</v>
      </c>
      <c r="B128" s="0" t="s">
        <v>1693</v>
      </c>
      <c r="C128" s="0" t="s">
        <v>530</v>
      </c>
      <c r="D128" s="0" t="s">
        <v>2153</v>
      </c>
      <c r="E128" s="0" t="s">
        <v>24</v>
      </c>
      <c r="F128" s="0" t="s">
        <v>1732</v>
      </c>
      <c r="G128" s="9" t="n">
        <v>5</v>
      </c>
      <c r="H128" s="20" t="s">
        <v>1853</v>
      </c>
      <c r="I128" s="5" t="s">
        <v>2154</v>
      </c>
      <c r="J128" s="20" t="s">
        <v>1909</v>
      </c>
      <c r="K128" s="20" t="s">
        <v>2155</v>
      </c>
      <c r="L128" s="20" t="s">
        <v>2156</v>
      </c>
      <c r="M128" s="5" t="s">
        <v>1704</v>
      </c>
      <c r="O128" s="0" t="n">
        <v>1</v>
      </c>
    </row>
    <row r="129" customFormat="false" ht="17.15" hidden="false" customHeight="false" outlineLevel="0" collapsed="false">
      <c r="A129" s="0" t="s">
        <v>1749</v>
      </c>
      <c r="B129" s="0" t="s">
        <v>1693</v>
      </c>
      <c r="C129" s="0" t="s">
        <v>530</v>
      </c>
      <c r="D129" s="0" t="s">
        <v>1705</v>
      </c>
      <c r="E129" s="0" t="s">
        <v>1912</v>
      </c>
      <c r="F129" s="0" t="s">
        <v>1732</v>
      </c>
      <c r="G129" s="9" t="n">
        <v>20</v>
      </c>
      <c r="H129" s="20" t="s">
        <v>1853</v>
      </c>
      <c r="I129" s="20" t="s">
        <v>1748</v>
      </c>
      <c r="J129" s="20" t="s">
        <v>1909</v>
      </c>
      <c r="K129" s="20" t="s">
        <v>2157</v>
      </c>
      <c r="L129" s="20" t="s">
        <v>2158</v>
      </c>
      <c r="M129" s="5" t="s">
        <v>1704</v>
      </c>
      <c r="O129" s="0" t="n">
        <v>1</v>
      </c>
    </row>
    <row r="130" customFormat="false" ht="17.15" hidden="false" customHeight="false" outlineLevel="0" collapsed="false">
      <c r="A130" s="0" t="s">
        <v>1752</v>
      </c>
      <c r="B130" s="0" t="s">
        <v>1693</v>
      </c>
      <c r="C130" s="0" t="s">
        <v>530</v>
      </c>
      <c r="D130" s="0" t="s">
        <v>138</v>
      </c>
      <c r="E130" s="0" t="s">
        <v>1912</v>
      </c>
      <c r="F130" s="0" t="s">
        <v>1750</v>
      </c>
      <c r="G130" s="9" t="n">
        <v>88.26</v>
      </c>
      <c r="H130" s="20" t="s">
        <v>1853</v>
      </c>
      <c r="I130" s="5" t="s">
        <v>1751</v>
      </c>
      <c r="J130" s="20" t="s">
        <v>1866</v>
      </c>
      <c r="K130" s="20" t="s">
        <v>2159</v>
      </c>
      <c r="L130" s="20" t="s">
        <v>2160</v>
      </c>
      <c r="M130" s="5" t="s">
        <v>1704</v>
      </c>
      <c r="O130" s="0" t="n">
        <v>1</v>
      </c>
    </row>
    <row r="131" customFormat="false" ht="17.15" hidden="false" customHeight="false" outlineLevel="0" collapsed="false">
      <c r="A131" s="0" t="s">
        <v>1755</v>
      </c>
      <c r="B131" s="0" t="s">
        <v>1693</v>
      </c>
      <c r="C131" s="0" t="s">
        <v>530</v>
      </c>
      <c r="D131" s="0" t="s">
        <v>138</v>
      </c>
      <c r="E131" s="0" t="s">
        <v>1912</v>
      </c>
      <c r="F131" s="0" t="s">
        <v>1753</v>
      </c>
      <c r="G131" s="9" t="n">
        <v>288</v>
      </c>
      <c r="H131" s="20" t="s">
        <v>1853</v>
      </c>
      <c r="I131" s="5" t="s">
        <v>1754</v>
      </c>
      <c r="J131" s="20" t="s">
        <v>1909</v>
      </c>
      <c r="K131" s="20" t="s">
        <v>2159</v>
      </c>
      <c r="L131" s="20" t="s">
        <v>2160</v>
      </c>
      <c r="M131" s="5" t="s">
        <v>1704</v>
      </c>
      <c r="O131" s="0" t="n">
        <v>1</v>
      </c>
    </row>
    <row r="132" customFormat="false" ht="17.15" hidden="false" customHeight="false" outlineLevel="0" collapsed="false">
      <c r="A132" s="0" t="s">
        <v>1758</v>
      </c>
      <c r="B132" s="0" t="s">
        <v>1693</v>
      </c>
      <c r="C132" s="0" t="s">
        <v>530</v>
      </c>
      <c r="D132" s="0" t="s">
        <v>138</v>
      </c>
      <c r="E132" s="0" t="s">
        <v>1912</v>
      </c>
      <c r="F132" s="0" t="s">
        <v>1756</v>
      </c>
      <c r="G132" s="9" t="n">
        <v>34.621</v>
      </c>
      <c r="H132" s="20" t="s">
        <v>1853</v>
      </c>
      <c r="I132" s="5" t="s">
        <v>1757</v>
      </c>
      <c r="J132" s="20" t="s">
        <v>1909</v>
      </c>
      <c r="K132" s="20" t="s">
        <v>2159</v>
      </c>
      <c r="L132" s="20" t="s">
        <v>2160</v>
      </c>
      <c r="M132" s="5" t="s">
        <v>1704</v>
      </c>
      <c r="O132" s="0" t="n">
        <v>1</v>
      </c>
    </row>
    <row r="133" customFormat="false" ht="17.15" hidden="false" customHeight="false" outlineLevel="0" collapsed="false">
      <c r="A133" s="0" t="s">
        <v>1760</v>
      </c>
      <c r="B133" s="0" t="s">
        <v>1693</v>
      </c>
      <c r="C133" s="0" t="s">
        <v>530</v>
      </c>
      <c r="D133" s="0" t="s">
        <v>1705</v>
      </c>
      <c r="E133" s="0" t="s">
        <v>1912</v>
      </c>
      <c r="F133" s="0" t="s">
        <v>1726</v>
      </c>
      <c r="G133" s="9" t="n">
        <v>11.363</v>
      </c>
      <c r="H133" s="20" t="s">
        <v>1853</v>
      </c>
      <c r="I133" s="5" t="s">
        <v>1759</v>
      </c>
      <c r="J133" s="20" t="s">
        <v>1866</v>
      </c>
      <c r="K133" s="20" t="s">
        <v>2159</v>
      </c>
      <c r="L133" s="20" t="s">
        <v>2160</v>
      </c>
      <c r="M133" s="5" t="s">
        <v>1704</v>
      </c>
      <c r="O133" s="0" t="n">
        <v>1</v>
      </c>
    </row>
    <row r="134" customFormat="false" ht="17.15" hidden="false" customHeight="false" outlineLevel="0" collapsed="false">
      <c r="A134" s="0" t="s">
        <v>2161</v>
      </c>
      <c r="B134" s="0" t="s">
        <v>1693</v>
      </c>
      <c r="C134" s="0" t="s">
        <v>530</v>
      </c>
      <c r="D134" s="0" t="s">
        <v>2162</v>
      </c>
      <c r="E134" s="0" t="s">
        <v>24</v>
      </c>
      <c r="F134" s="0" t="s">
        <v>1717</v>
      </c>
      <c r="G134" s="9" t="n">
        <v>38</v>
      </c>
      <c r="H134" s="20" t="s">
        <v>1853</v>
      </c>
      <c r="I134" s="20" t="s">
        <v>2163</v>
      </c>
      <c r="J134" s="20" t="s">
        <v>1909</v>
      </c>
      <c r="K134" s="20" t="s">
        <v>2164</v>
      </c>
      <c r="L134" s="20" t="s">
        <v>2165</v>
      </c>
      <c r="M134" s="5" t="s">
        <v>1704</v>
      </c>
      <c r="O134" s="0" t="n">
        <v>1</v>
      </c>
    </row>
    <row r="135" customFormat="false" ht="17.15" hidden="false" customHeight="false" outlineLevel="0" collapsed="false">
      <c r="A135" s="0" t="s">
        <v>2166</v>
      </c>
      <c r="B135" s="0" t="s">
        <v>1693</v>
      </c>
      <c r="C135" s="0" t="s">
        <v>530</v>
      </c>
      <c r="D135" s="0" t="s">
        <v>2167</v>
      </c>
      <c r="E135" s="0" t="s">
        <v>24</v>
      </c>
      <c r="F135" s="0" t="s">
        <v>1717</v>
      </c>
      <c r="G135" s="9" t="n">
        <v>18</v>
      </c>
      <c r="H135" s="20" t="s">
        <v>1853</v>
      </c>
      <c r="I135" s="20" t="s">
        <v>2168</v>
      </c>
      <c r="J135" s="20" t="s">
        <v>2169</v>
      </c>
      <c r="K135" s="20" t="s">
        <v>2170</v>
      </c>
      <c r="L135" s="20" t="s">
        <v>2171</v>
      </c>
      <c r="M135" s="5" t="s">
        <v>1712</v>
      </c>
      <c r="N135" s="20" t="s">
        <v>2172</v>
      </c>
      <c r="O135" s="0" t="n">
        <v>1</v>
      </c>
    </row>
    <row r="136" customFormat="false" ht="17.15" hidden="false" customHeight="false" outlineLevel="0" collapsed="false">
      <c r="A136" s="0" t="s">
        <v>2173</v>
      </c>
      <c r="B136" s="0" t="s">
        <v>1693</v>
      </c>
      <c r="C136" s="0" t="s">
        <v>530</v>
      </c>
      <c r="D136" s="0" t="s">
        <v>2174</v>
      </c>
      <c r="E136" s="0" t="s">
        <v>23</v>
      </c>
      <c r="F136" s="0" t="s">
        <v>1717</v>
      </c>
      <c r="G136" s="9" t="n">
        <v>15</v>
      </c>
      <c r="H136" s="20" t="s">
        <v>1853</v>
      </c>
      <c r="I136" s="20" t="s">
        <v>2175</v>
      </c>
      <c r="J136" s="20" t="s">
        <v>1909</v>
      </c>
      <c r="K136" s="20" t="s">
        <v>2176</v>
      </c>
      <c r="L136" s="20" t="s">
        <v>2177</v>
      </c>
      <c r="M136" s="5" t="s">
        <v>1704</v>
      </c>
      <c r="O136" s="0" t="n">
        <v>1</v>
      </c>
    </row>
    <row r="137" customFormat="false" ht="17.15" hidden="false" customHeight="false" outlineLevel="0" collapsed="false">
      <c r="A137" s="17" t="s">
        <v>2178</v>
      </c>
      <c r="B137" s="17" t="s">
        <v>1693</v>
      </c>
      <c r="C137" s="17" t="s">
        <v>530</v>
      </c>
      <c r="D137" s="17" t="s">
        <v>2179</v>
      </c>
      <c r="E137" s="17" t="s">
        <v>24</v>
      </c>
      <c r="F137" s="17" t="s">
        <v>1717</v>
      </c>
      <c r="G137" s="17" t="n">
        <v>10</v>
      </c>
      <c r="H137" s="17" t="s">
        <v>1853</v>
      </c>
      <c r="I137" s="17" t="s">
        <v>2180</v>
      </c>
      <c r="J137" s="17" t="s">
        <v>1909</v>
      </c>
      <c r="K137" s="17" t="s">
        <v>2181</v>
      </c>
      <c r="L137" s="17" t="s">
        <v>2182</v>
      </c>
      <c r="M137" s="18" t="s">
        <v>1858</v>
      </c>
      <c r="N137" s="17"/>
      <c r="O137" s="17" t="n">
        <v>0</v>
      </c>
    </row>
    <row r="138" customFormat="false" ht="17.15" hidden="false" customHeight="false" outlineLevel="0" collapsed="false">
      <c r="A138" s="0" t="s">
        <v>1762</v>
      </c>
      <c r="B138" s="0" t="s">
        <v>1693</v>
      </c>
      <c r="C138" s="0" t="s">
        <v>530</v>
      </c>
      <c r="D138" s="0" t="s">
        <v>1745</v>
      </c>
      <c r="E138" s="0" t="s">
        <v>1908</v>
      </c>
      <c r="F138" s="0" t="s">
        <v>1742</v>
      </c>
      <c r="G138" s="9" t="n">
        <v>-42</v>
      </c>
      <c r="H138" s="20" t="s">
        <v>1853</v>
      </c>
      <c r="I138" s="20" t="s">
        <v>1761</v>
      </c>
      <c r="J138" s="20" t="s">
        <v>1909</v>
      </c>
      <c r="K138" s="20" t="s">
        <v>2183</v>
      </c>
      <c r="L138" s="20" t="s">
        <v>2184</v>
      </c>
      <c r="M138" s="5" t="s">
        <v>1704</v>
      </c>
      <c r="O138" s="0" t="n">
        <v>1</v>
      </c>
    </row>
    <row r="139" customFormat="false" ht="17.15" hidden="false" customHeight="false" outlineLevel="0" collapsed="false">
      <c r="A139" s="0" t="s">
        <v>2185</v>
      </c>
      <c r="B139" s="0" t="s">
        <v>1076</v>
      </c>
      <c r="C139" s="0" t="s">
        <v>620</v>
      </c>
      <c r="D139" s="0" t="s">
        <v>1688</v>
      </c>
      <c r="E139" s="0" t="s">
        <v>22</v>
      </c>
      <c r="F139" s="0" t="s">
        <v>1737</v>
      </c>
      <c r="G139" s="9" t="n">
        <v>2.749</v>
      </c>
      <c r="H139" s="20" t="s">
        <v>1853</v>
      </c>
      <c r="I139" s="5" t="s">
        <v>2186</v>
      </c>
      <c r="J139" s="20" t="s">
        <v>1855</v>
      </c>
      <c r="K139" s="20" t="s">
        <v>2187</v>
      </c>
      <c r="L139" s="20" t="s">
        <v>2188</v>
      </c>
      <c r="M139" s="5" t="s">
        <v>1704</v>
      </c>
      <c r="O139" s="0" t="n">
        <v>1</v>
      </c>
    </row>
    <row r="140" customFormat="false" ht="17.15" hidden="false" customHeight="false" outlineLevel="0" collapsed="false">
      <c r="A140" s="0" t="s">
        <v>2189</v>
      </c>
      <c r="B140" s="0" t="s">
        <v>1076</v>
      </c>
      <c r="C140" s="0" t="s">
        <v>620</v>
      </c>
      <c r="D140" s="0" t="s">
        <v>1688</v>
      </c>
      <c r="E140" s="0" t="s">
        <v>22</v>
      </c>
      <c r="F140" s="0" t="s">
        <v>1713</v>
      </c>
      <c r="G140" s="9" t="n">
        <v>8.702</v>
      </c>
      <c r="H140" s="20" t="s">
        <v>1853</v>
      </c>
      <c r="I140" s="20" t="s">
        <v>2190</v>
      </c>
      <c r="J140" s="20" t="s">
        <v>1855</v>
      </c>
      <c r="K140" s="20" t="s">
        <v>2187</v>
      </c>
      <c r="L140" s="20" t="s">
        <v>2188</v>
      </c>
      <c r="M140" s="5" t="s">
        <v>1704</v>
      </c>
      <c r="O140" s="0" t="n">
        <v>1</v>
      </c>
    </row>
    <row r="141" customFormat="false" ht="17.15" hidden="false" customHeight="false" outlineLevel="0" collapsed="false">
      <c r="A141" s="17" t="s">
        <v>2191</v>
      </c>
      <c r="B141" s="17" t="s">
        <v>1076</v>
      </c>
      <c r="C141" s="17" t="s">
        <v>620</v>
      </c>
      <c r="D141" s="17" t="s">
        <v>1688</v>
      </c>
      <c r="E141" s="17" t="s">
        <v>22</v>
      </c>
      <c r="F141" s="17" t="s">
        <v>1742</v>
      </c>
      <c r="G141" s="17" t="n">
        <v>-5.953</v>
      </c>
      <c r="H141" s="17" t="s">
        <v>1853</v>
      </c>
      <c r="I141" s="17" t="s">
        <v>2192</v>
      </c>
      <c r="J141" s="17" t="s">
        <v>1866</v>
      </c>
      <c r="K141" s="17" t="s">
        <v>2193</v>
      </c>
      <c r="L141" s="17" t="s">
        <v>2188</v>
      </c>
      <c r="M141" s="18" t="s">
        <v>1858</v>
      </c>
      <c r="N141" s="17"/>
      <c r="O141" s="17" t="n">
        <v>0</v>
      </c>
    </row>
    <row r="142" customFormat="false" ht="17.15" hidden="false" customHeight="false" outlineLevel="0" collapsed="false">
      <c r="A142" s="0" t="s">
        <v>2194</v>
      </c>
      <c r="B142" s="0" t="s">
        <v>1076</v>
      </c>
      <c r="C142" s="0" t="s">
        <v>620</v>
      </c>
      <c r="D142" s="0" t="s">
        <v>1688</v>
      </c>
      <c r="E142" s="0" t="s">
        <v>22</v>
      </c>
      <c r="F142" s="0" t="s">
        <v>1772</v>
      </c>
      <c r="G142" s="9" t="n">
        <v>7.018</v>
      </c>
      <c r="H142" s="20" t="s">
        <v>1853</v>
      </c>
      <c r="I142" s="5" t="s">
        <v>2195</v>
      </c>
      <c r="J142" s="20" t="s">
        <v>1855</v>
      </c>
      <c r="K142" s="20" t="s">
        <v>2187</v>
      </c>
      <c r="L142" s="20" t="s">
        <v>2188</v>
      </c>
      <c r="M142" s="5" t="s">
        <v>1704</v>
      </c>
      <c r="O142" s="0" t="n">
        <v>1</v>
      </c>
    </row>
    <row r="143" customFormat="false" ht="17.15" hidden="false" customHeight="false" outlineLevel="0" collapsed="false">
      <c r="A143" s="0" t="s">
        <v>2196</v>
      </c>
      <c r="B143" s="0" t="s">
        <v>1076</v>
      </c>
      <c r="C143" s="0" t="s">
        <v>620</v>
      </c>
      <c r="D143" s="0" t="s">
        <v>1689</v>
      </c>
      <c r="E143" s="0" t="s">
        <v>23</v>
      </c>
      <c r="F143" s="0" t="s">
        <v>1737</v>
      </c>
      <c r="G143" s="9" t="n">
        <v>3.058</v>
      </c>
      <c r="H143" s="20" t="s">
        <v>1853</v>
      </c>
      <c r="I143" s="5" t="s">
        <v>2186</v>
      </c>
      <c r="J143" s="20" t="s">
        <v>1855</v>
      </c>
      <c r="K143" s="20" t="s">
        <v>2187</v>
      </c>
      <c r="L143" s="20" t="s">
        <v>2188</v>
      </c>
      <c r="M143" s="5" t="s">
        <v>1704</v>
      </c>
      <c r="O143" s="0" t="n">
        <v>1</v>
      </c>
    </row>
    <row r="144" customFormat="false" ht="17.15" hidden="false" customHeight="false" outlineLevel="0" collapsed="false">
      <c r="A144" s="0" t="s">
        <v>2197</v>
      </c>
      <c r="B144" s="0" t="s">
        <v>1076</v>
      </c>
      <c r="C144" s="0" t="s">
        <v>620</v>
      </c>
      <c r="D144" s="0" t="s">
        <v>1689</v>
      </c>
      <c r="E144" s="0" t="s">
        <v>23</v>
      </c>
      <c r="F144" s="0" t="s">
        <v>1713</v>
      </c>
      <c r="G144" s="9" t="n">
        <v>10.309</v>
      </c>
      <c r="H144" s="20" t="s">
        <v>1853</v>
      </c>
      <c r="I144" s="20" t="s">
        <v>2190</v>
      </c>
      <c r="J144" s="20" t="s">
        <v>1855</v>
      </c>
      <c r="K144" s="20" t="s">
        <v>2187</v>
      </c>
      <c r="L144" s="20" t="s">
        <v>2188</v>
      </c>
      <c r="M144" s="5" t="s">
        <v>1704</v>
      </c>
      <c r="O144" s="0" t="n">
        <v>1</v>
      </c>
    </row>
    <row r="145" customFormat="false" ht="17.15" hidden="false" customHeight="false" outlineLevel="0" collapsed="false">
      <c r="A145" s="17" t="s">
        <v>2198</v>
      </c>
      <c r="B145" s="17" t="s">
        <v>1076</v>
      </c>
      <c r="C145" s="17" t="s">
        <v>620</v>
      </c>
      <c r="D145" s="17" t="s">
        <v>1689</v>
      </c>
      <c r="E145" s="17" t="s">
        <v>23</v>
      </c>
      <c r="F145" s="17" t="s">
        <v>1742</v>
      </c>
      <c r="G145" s="17" t="n">
        <v>-7.251</v>
      </c>
      <c r="H145" s="17" t="s">
        <v>1853</v>
      </c>
      <c r="I145" s="17" t="s">
        <v>2192</v>
      </c>
      <c r="J145" s="17" t="s">
        <v>1866</v>
      </c>
      <c r="K145" s="17" t="s">
        <v>2193</v>
      </c>
      <c r="L145" s="17" t="s">
        <v>2188</v>
      </c>
      <c r="M145" s="18" t="s">
        <v>1858</v>
      </c>
      <c r="N145" s="17"/>
      <c r="O145" s="17" t="n">
        <v>0</v>
      </c>
    </row>
    <row r="146" customFormat="false" ht="17.15" hidden="false" customHeight="false" outlineLevel="0" collapsed="false">
      <c r="A146" s="0" t="s">
        <v>2199</v>
      </c>
      <c r="B146" s="0" t="s">
        <v>1076</v>
      </c>
      <c r="C146" s="0" t="s">
        <v>620</v>
      </c>
      <c r="D146" s="0" t="s">
        <v>1689</v>
      </c>
      <c r="E146" s="0" t="s">
        <v>23</v>
      </c>
      <c r="F146" s="0" t="s">
        <v>1772</v>
      </c>
      <c r="G146" s="9" t="n">
        <v>11.829</v>
      </c>
      <c r="H146" s="20" t="s">
        <v>1853</v>
      </c>
      <c r="I146" s="5" t="s">
        <v>2200</v>
      </c>
      <c r="J146" s="20" t="s">
        <v>1855</v>
      </c>
      <c r="K146" s="20" t="s">
        <v>2187</v>
      </c>
      <c r="L146" s="20" t="s">
        <v>2188</v>
      </c>
      <c r="M146" s="5" t="s">
        <v>1704</v>
      </c>
      <c r="O146" s="0" t="n">
        <v>1</v>
      </c>
    </row>
    <row r="147" customFormat="false" ht="17.15" hidden="false" customHeight="false" outlineLevel="0" collapsed="false">
      <c r="A147" s="0" t="s">
        <v>2201</v>
      </c>
      <c r="B147" s="0" t="s">
        <v>1076</v>
      </c>
      <c r="C147" s="0" t="s">
        <v>620</v>
      </c>
      <c r="D147" s="0" t="s">
        <v>1689</v>
      </c>
      <c r="E147" s="0" t="s">
        <v>23</v>
      </c>
      <c r="F147" s="0" t="s">
        <v>1732</v>
      </c>
      <c r="G147" s="9" t="n">
        <v>1.491</v>
      </c>
      <c r="H147" s="20" t="s">
        <v>1853</v>
      </c>
      <c r="I147" s="20" t="s">
        <v>2202</v>
      </c>
      <c r="J147" s="20" t="s">
        <v>1855</v>
      </c>
      <c r="K147" s="20" t="s">
        <v>2187</v>
      </c>
      <c r="L147" s="20" t="s">
        <v>2188</v>
      </c>
      <c r="M147" s="5" t="s">
        <v>1704</v>
      </c>
      <c r="O147" s="0" t="n">
        <v>1</v>
      </c>
    </row>
    <row r="148" customFormat="false" ht="17.15" hidden="false" customHeight="false" outlineLevel="0" collapsed="false">
      <c r="A148" s="0" t="s">
        <v>2203</v>
      </c>
      <c r="B148" s="0" t="s">
        <v>1076</v>
      </c>
      <c r="C148" s="0" t="s">
        <v>620</v>
      </c>
      <c r="D148" s="0" t="s">
        <v>2204</v>
      </c>
      <c r="E148" s="0" t="s">
        <v>23</v>
      </c>
      <c r="F148" s="0" t="s">
        <v>1897</v>
      </c>
      <c r="G148" s="9" t="n">
        <v>13.447</v>
      </c>
      <c r="H148" s="20" t="s">
        <v>1853</v>
      </c>
      <c r="I148" s="5" t="s">
        <v>2205</v>
      </c>
      <c r="J148" s="20" t="s">
        <v>1866</v>
      </c>
      <c r="K148" s="20" t="s">
        <v>2187</v>
      </c>
      <c r="L148" s="20" t="s">
        <v>2188</v>
      </c>
      <c r="M148" s="5" t="s">
        <v>1704</v>
      </c>
      <c r="O148" s="0" t="n">
        <v>1</v>
      </c>
    </row>
    <row r="149" customFormat="false" ht="17.15" hidden="false" customHeight="false" outlineLevel="0" collapsed="false">
      <c r="A149" s="0" t="s">
        <v>2206</v>
      </c>
      <c r="B149" s="0" t="s">
        <v>1076</v>
      </c>
      <c r="C149" s="0" t="s">
        <v>620</v>
      </c>
      <c r="D149" s="0" t="s">
        <v>1690</v>
      </c>
      <c r="E149" s="0" t="s">
        <v>24</v>
      </c>
      <c r="F149" s="0" t="s">
        <v>1737</v>
      </c>
      <c r="G149" s="9" t="n">
        <v>3.663</v>
      </c>
      <c r="H149" s="20" t="s">
        <v>1853</v>
      </c>
      <c r="I149" s="5" t="s">
        <v>2207</v>
      </c>
      <c r="J149" s="20" t="s">
        <v>1855</v>
      </c>
      <c r="K149" s="20" t="s">
        <v>2208</v>
      </c>
      <c r="L149" s="20" t="s">
        <v>2209</v>
      </c>
      <c r="M149" s="5" t="s">
        <v>1704</v>
      </c>
      <c r="O149" s="0" t="n">
        <v>1</v>
      </c>
    </row>
    <row r="150" customFormat="false" ht="17.15" hidden="false" customHeight="false" outlineLevel="0" collapsed="false">
      <c r="A150" s="0" t="s">
        <v>2210</v>
      </c>
      <c r="B150" s="0" t="s">
        <v>1076</v>
      </c>
      <c r="C150" s="0" t="s">
        <v>620</v>
      </c>
      <c r="D150" s="0" t="s">
        <v>1690</v>
      </c>
      <c r="E150" s="0" t="s">
        <v>24</v>
      </c>
      <c r="F150" s="0" t="s">
        <v>1713</v>
      </c>
      <c r="G150" s="9" t="n">
        <v>14.117</v>
      </c>
      <c r="H150" s="20" t="s">
        <v>1853</v>
      </c>
      <c r="I150" s="5" t="s">
        <v>2211</v>
      </c>
      <c r="J150" s="20" t="s">
        <v>1855</v>
      </c>
      <c r="K150" s="20" t="s">
        <v>2208</v>
      </c>
      <c r="L150" s="20" t="s">
        <v>2209</v>
      </c>
      <c r="M150" s="5" t="s">
        <v>1704</v>
      </c>
      <c r="O150" s="0" t="n">
        <v>1</v>
      </c>
    </row>
    <row r="151" customFormat="false" ht="17.15" hidden="false" customHeight="false" outlineLevel="0" collapsed="false">
      <c r="A151" s="17" t="s">
        <v>2212</v>
      </c>
      <c r="B151" s="17" t="s">
        <v>1076</v>
      </c>
      <c r="C151" s="17" t="s">
        <v>620</v>
      </c>
      <c r="D151" s="17" t="s">
        <v>1690</v>
      </c>
      <c r="E151" s="17" t="s">
        <v>24</v>
      </c>
      <c r="F151" s="17" t="s">
        <v>1742</v>
      </c>
      <c r="G151" s="17" t="n">
        <v>-10.454</v>
      </c>
      <c r="H151" s="17" t="s">
        <v>1853</v>
      </c>
      <c r="I151" s="17" t="s">
        <v>2192</v>
      </c>
      <c r="J151" s="17" t="s">
        <v>1866</v>
      </c>
      <c r="K151" s="17" t="s">
        <v>2213</v>
      </c>
      <c r="L151" s="17" t="s">
        <v>2209</v>
      </c>
      <c r="M151" s="18" t="s">
        <v>1858</v>
      </c>
      <c r="N151" s="17"/>
      <c r="O151" s="17" t="n">
        <v>0</v>
      </c>
    </row>
    <row r="152" customFormat="false" ht="17.15" hidden="false" customHeight="false" outlineLevel="0" collapsed="false">
      <c r="A152" s="0" t="s">
        <v>2214</v>
      </c>
      <c r="B152" s="0" t="s">
        <v>1076</v>
      </c>
      <c r="C152" s="0" t="s">
        <v>620</v>
      </c>
      <c r="D152" s="0" t="s">
        <v>1690</v>
      </c>
      <c r="E152" s="0" t="s">
        <v>24</v>
      </c>
      <c r="F152" s="0" t="s">
        <v>1772</v>
      </c>
      <c r="G152" s="9" t="n">
        <v>16.747</v>
      </c>
      <c r="H152" s="20" t="s">
        <v>1853</v>
      </c>
      <c r="I152" s="5" t="s">
        <v>2215</v>
      </c>
      <c r="J152" s="20" t="s">
        <v>1855</v>
      </c>
      <c r="K152" s="20" t="s">
        <v>2208</v>
      </c>
      <c r="L152" s="20" t="s">
        <v>2209</v>
      </c>
      <c r="M152" s="5" t="s">
        <v>1704</v>
      </c>
      <c r="O152" s="0" t="n">
        <v>1</v>
      </c>
    </row>
    <row r="153" customFormat="false" ht="17.15" hidden="false" customHeight="false" outlineLevel="0" collapsed="false">
      <c r="A153" s="17" t="s">
        <v>2216</v>
      </c>
      <c r="B153" s="17" t="s">
        <v>1076</v>
      </c>
      <c r="C153" s="17" t="s">
        <v>620</v>
      </c>
      <c r="D153" s="17" t="s">
        <v>2034</v>
      </c>
      <c r="E153" s="17" t="s">
        <v>24</v>
      </c>
      <c r="F153" s="17" t="s">
        <v>1772</v>
      </c>
      <c r="G153" s="17" t="n">
        <v>8.5</v>
      </c>
      <c r="H153" s="17" t="s">
        <v>1853</v>
      </c>
      <c r="I153" s="17" t="s">
        <v>2217</v>
      </c>
      <c r="J153" s="17" t="s">
        <v>1855</v>
      </c>
      <c r="K153" s="17" t="s">
        <v>2213</v>
      </c>
      <c r="L153" s="17" t="s">
        <v>2209</v>
      </c>
      <c r="M153" s="18" t="s">
        <v>1887</v>
      </c>
      <c r="N153" s="17"/>
      <c r="O153" s="17" t="n">
        <v>0</v>
      </c>
    </row>
    <row r="154" customFormat="false" ht="17.15" hidden="false" customHeight="false" outlineLevel="0" collapsed="false">
      <c r="A154" s="17" t="s">
        <v>2218</v>
      </c>
      <c r="B154" s="17" t="s">
        <v>1076</v>
      </c>
      <c r="C154" s="17" t="s">
        <v>620</v>
      </c>
      <c r="D154" s="17" t="s">
        <v>24</v>
      </c>
      <c r="E154" s="17" t="s">
        <v>1912</v>
      </c>
      <c r="F154" s="17" t="s">
        <v>1709</v>
      </c>
      <c r="G154" s="17" t="n">
        <v>6.279</v>
      </c>
      <c r="H154" s="17" t="s">
        <v>1853</v>
      </c>
      <c r="I154" s="17" t="s">
        <v>2219</v>
      </c>
      <c r="J154" s="17" t="s">
        <v>1855</v>
      </c>
      <c r="K154" s="17" t="s">
        <v>2213</v>
      </c>
      <c r="L154" s="17" t="s">
        <v>2209</v>
      </c>
      <c r="M154" s="18" t="s">
        <v>1887</v>
      </c>
      <c r="N154" s="17"/>
      <c r="O154" s="17" t="n">
        <v>0</v>
      </c>
    </row>
    <row r="155" customFormat="false" ht="17.15" hidden="false" customHeight="false" outlineLevel="0" collapsed="false">
      <c r="A155" s="17" t="s">
        <v>2220</v>
      </c>
      <c r="B155" s="17" t="s">
        <v>1076</v>
      </c>
      <c r="C155" s="17" t="s">
        <v>620</v>
      </c>
      <c r="D155" s="17" t="s">
        <v>24</v>
      </c>
      <c r="E155" s="17" t="s">
        <v>1912</v>
      </c>
      <c r="F155" s="17" t="s">
        <v>1709</v>
      </c>
      <c r="G155" s="17" t="n">
        <v>4</v>
      </c>
      <c r="H155" s="17" t="s">
        <v>1853</v>
      </c>
      <c r="I155" s="17" t="s">
        <v>2221</v>
      </c>
      <c r="J155" s="17" t="s">
        <v>1855</v>
      </c>
      <c r="K155" s="17" t="s">
        <v>2213</v>
      </c>
      <c r="L155" s="17" t="s">
        <v>2209</v>
      </c>
      <c r="M155" s="18" t="s">
        <v>1858</v>
      </c>
      <c r="N155" s="17"/>
      <c r="O155" s="17" t="n">
        <v>0</v>
      </c>
    </row>
    <row r="156" customFormat="false" ht="17.15" hidden="false" customHeight="false" outlineLevel="0" collapsed="false">
      <c r="A156" s="0" t="s">
        <v>2222</v>
      </c>
      <c r="B156" s="0" t="s">
        <v>1076</v>
      </c>
      <c r="C156" s="0" t="s">
        <v>620</v>
      </c>
      <c r="D156" s="0" t="s">
        <v>1690</v>
      </c>
      <c r="E156" s="0" t="s">
        <v>24</v>
      </c>
      <c r="F156" s="0" t="s">
        <v>1732</v>
      </c>
      <c r="G156" s="9" t="n">
        <v>2.982</v>
      </c>
      <c r="H156" s="20" t="s">
        <v>1853</v>
      </c>
      <c r="I156" s="20" t="s">
        <v>2223</v>
      </c>
      <c r="J156" s="20" t="s">
        <v>1855</v>
      </c>
      <c r="K156" s="20" t="s">
        <v>2208</v>
      </c>
      <c r="L156" s="20" t="s">
        <v>2209</v>
      </c>
      <c r="M156" s="5" t="s">
        <v>1704</v>
      </c>
      <c r="O156" s="0" t="n">
        <v>1</v>
      </c>
    </row>
    <row r="157" customFormat="false" ht="17.15" hidden="false" customHeight="false" outlineLevel="0" collapsed="false">
      <c r="A157" s="0" t="s">
        <v>1764</v>
      </c>
      <c r="B157" s="0" t="s">
        <v>1076</v>
      </c>
      <c r="C157" s="0" t="s">
        <v>620</v>
      </c>
      <c r="D157" s="0" t="s">
        <v>1700</v>
      </c>
      <c r="E157" s="0" t="s">
        <v>1908</v>
      </c>
      <c r="F157" s="0" t="s">
        <v>1701</v>
      </c>
      <c r="G157" s="9" t="n">
        <v>37</v>
      </c>
      <c r="H157" s="20" t="s">
        <v>1853</v>
      </c>
      <c r="I157" s="5" t="s">
        <v>1763</v>
      </c>
      <c r="J157" s="20" t="s">
        <v>1909</v>
      </c>
      <c r="K157" s="20" t="s">
        <v>2224</v>
      </c>
      <c r="L157" s="20" t="s">
        <v>2225</v>
      </c>
      <c r="M157" s="5" t="s">
        <v>1704</v>
      </c>
      <c r="O157" s="0" t="n">
        <v>1</v>
      </c>
    </row>
    <row r="158" customFormat="false" ht="17.15" hidden="false" customHeight="false" outlineLevel="0" collapsed="false">
      <c r="A158" s="17" t="s">
        <v>2226</v>
      </c>
      <c r="B158" s="17" t="s">
        <v>1076</v>
      </c>
      <c r="C158" s="17" t="s">
        <v>620</v>
      </c>
      <c r="D158" s="17" t="s">
        <v>119</v>
      </c>
      <c r="E158" s="17" t="s">
        <v>24</v>
      </c>
      <c r="F158" s="17" t="s">
        <v>1753</v>
      </c>
      <c r="G158" s="17" t="n">
        <v>35.5</v>
      </c>
      <c r="H158" s="17" t="s">
        <v>1853</v>
      </c>
      <c r="I158" s="18" t="s">
        <v>2227</v>
      </c>
      <c r="J158" s="17" t="s">
        <v>1855</v>
      </c>
      <c r="K158" s="17" t="s">
        <v>2213</v>
      </c>
      <c r="L158" s="17" t="s">
        <v>2209</v>
      </c>
      <c r="M158" s="18" t="s">
        <v>1858</v>
      </c>
      <c r="N158" s="17"/>
      <c r="O158" s="17" t="n">
        <v>0</v>
      </c>
    </row>
    <row r="159" customFormat="false" ht="17.15" hidden="false" customHeight="false" outlineLevel="0" collapsed="false">
      <c r="A159" s="17" t="s">
        <v>2228</v>
      </c>
      <c r="B159" s="17" t="s">
        <v>1076</v>
      </c>
      <c r="C159" s="17" t="s">
        <v>620</v>
      </c>
      <c r="D159" s="17" t="s">
        <v>119</v>
      </c>
      <c r="E159" s="17" t="s">
        <v>24</v>
      </c>
      <c r="F159" s="17" t="s">
        <v>1750</v>
      </c>
      <c r="G159" s="17" t="n">
        <v>30</v>
      </c>
      <c r="H159" s="17" t="s">
        <v>1853</v>
      </c>
      <c r="I159" s="18" t="s">
        <v>2229</v>
      </c>
      <c r="J159" s="17" t="s">
        <v>1866</v>
      </c>
      <c r="K159" s="17" t="s">
        <v>2213</v>
      </c>
      <c r="L159" s="17" t="s">
        <v>2209</v>
      </c>
      <c r="M159" s="18" t="s">
        <v>1858</v>
      </c>
      <c r="N159" s="17"/>
      <c r="O159" s="17" t="n">
        <v>0</v>
      </c>
    </row>
    <row r="160" customFormat="false" ht="17.15" hidden="false" customHeight="false" outlineLevel="0" collapsed="false">
      <c r="A160" s="0" t="s">
        <v>1767</v>
      </c>
      <c r="B160" s="0" t="s">
        <v>1076</v>
      </c>
      <c r="C160" s="0" t="s">
        <v>620</v>
      </c>
      <c r="D160" s="0" t="s">
        <v>1765</v>
      </c>
      <c r="E160" s="0" t="s">
        <v>1912</v>
      </c>
      <c r="F160" s="0" t="s">
        <v>1726</v>
      </c>
      <c r="G160" s="9" t="n">
        <v>6.3</v>
      </c>
      <c r="H160" s="20" t="s">
        <v>1853</v>
      </c>
      <c r="I160" s="20" t="s">
        <v>1766</v>
      </c>
      <c r="J160" s="20" t="s">
        <v>1909</v>
      </c>
      <c r="K160" s="20" t="s">
        <v>2230</v>
      </c>
      <c r="L160" s="20" t="s">
        <v>2231</v>
      </c>
      <c r="M160" s="5" t="s">
        <v>1704</v>
      </c>
      <c r="O160" s="0" t="n">
        <v>1</v>
      </c>
    </row>
    <row r="161" customFormat="false" ht="17.15" hidden="false" customHeight="false" outlineLevel="0" collapsed="false">
      <c r="A161" s="0" t="s">
        <v>2232</v>
      </c>
      <c r="B161" s="0" t="s">
        <v>1095</v>
      </c>
      <c r="C161" s="0" t="s">
        <v>651</v>
      </c>
      <c r="D161" s="0" t="s">
        <v>1689</v>
      </c>
      <c r="E161" s="0" t="s">
        <v>23</v>
      </c>
      <c r="F161" s="0" t="s">
        <v>1713</v>
      </c>
      <c r="G161" s="9" t="n">
        <v>4.1</v>
      </c>
      <c r="H161" s="20" t="s">
        <v>1853</v>
      </c>
      <c r="I161" s="20" t="s">
        <v>2233</v>
      </c>
      <c r="J161" s="20" t="s">
        <v>1909</v>
      </c>
      <c r="K161" s="20" t="s">
        <v>2234</v>
      </c>
      <c r="L161" s="20" t="s">
        <v>2235</v>
      </c>
      <c r="M161" s="5" t="s">
        <v>1704</v>
      </c>
      <c r="O161" s="0" t="n">
        <v>1</v>
      </c>
    </row>
    <row r="162" customFormat="false" ht="17.15" hidden="false" customHeight="false" outlineLevel="0" collapsed="false">
      <c r="A162" s="17" t="s">
        <v>2236</v>
      </c>
      <c r="B162" s="17" t="s">
        <v>1095</v>
      </c>
      <c r="C162" s="17" t="s">
        <v>651</v>
      </c>
      <c r="D162" s="17" t="s">
        <v>1689</v>
      </c>
      <c r="E162" s="17" t="s">
        <v>23</v>
      </c>
      <c r="F162" s="17" t="s">
        <v>1709</v>
      </c>
      <c r="G162" s="17" t="n">
        <v>4.163</v>
      </c>
      <c r="H162" s="17" t="s">
        <v>1853</v>
      </c>
      <c r="I162" s="18" t="s">
        <v>2237</v>
      </c>
      <c r="J162" s="17" t="s">
        <v>1855</v>
      </c>
      <c r="K162" s="17" t="s">
        <v>2238</v>
      </c>
      <c r="L162" s="17" t="s">
        <v>2239</v>
      </c>
      <c r="M162" s="18" t="s">
        <v>1858</v>
      </c>
      <c r="N162" s="17"/>
      <c r="O162" s="17" t="n">
        <v>0</v>
      </c>
    </row>
    <row r="163" customFormat="false" ht="17.15" hidden="false" customHeight="false" outlineLevel="0" collapsed="false">
      <c r="A163" s="17" t="s">
        <v>2240</v>
      </c>
      <c r="B163" s="17" t="s">
        <v>1095</v>
      </c>
      <c r="C163" s="17" t="s">
        <v>651</v>
      </c>
      <c r="D163" s="17" t="s">
        <v>1690</v>
      </c>
      <c r="E163" s="17" t="s">
        <v>24</v>
      </c>
      <c r="F163" s="17" t="s">
        <v>1737</v>
      </c>
      <c r="G163" s="17" t="n">
        <v>4.504</v>
      </c>
      <c r="H163" s="17" t="s">
        <v>1853</v>
      </c>
      <c r="I163" s="18" t="s">
        <v>2241</v>
      </c>
      <c r="J163" s="17" t="s">
        <v>1909</v>
      </c>
      <c r="K163" s="17" t="s">
        <v>2242</v>
      </c>
      <c r="L163" s="17" t="s">
        <v>2239</v>
      </c>
      <c r="M163" s="18" t="s">
        <v>1858</v>
      </c>
      <c r="N163" s="17"/>
      <c r="O163" s="17" t="n">
        <v>0</v>
      </c>
    </row>
    <row r="164" customFormat="false" ht="17.15" hidden="false" customHeight="false" outlineLevel="0" collapsed="false">
      <c r="A164" s="0" t="s">
        <v>2243</v>
      </c>
      <c r="B164" s="0" t="s">
        <v>1095</v>
      </c>
      <c r="C164" s="0" t="s">
        <v>651</v>
      </c>
      <c r="D164" s="0" t="s">
        <v>1690</v>
      </c>
      <c r="E164" s="0" t="s">
        <v>24</v>
      </c>
      <c r="F164" s="0" t="s">
        <v>1713</v>
      </c>
      <c r="G164" s="9" t="n">
        <v>8.13</v>
      </c>
      <c r="H164" s="20" t="s">
        <v>1853</v>
      </c>
      <c r="I164" s="20" t="s">
        <v>2244</v>
      </c>
      <c r="J164" s="20" t="s">
        <v>1909</v>
      </c>
      <c r="K164" s="20" t="s">
        <v>2245</v>
      </c>
      <c r="L164" s="20" t="s">
        <v>2246</v>
      </c>
      <c r="M164" s="5" t="s">
        <v>1775</v>
      </c>
      <c r="N164" s="20" t="s">
        <v>2247</v>
      </c>
      <c r="O164" s="0" t="n">
        <v>1</v>
      </c>
    </row>
    <row r="165" customFormat="false" ht="17.15" hidden="false" customHeight="false" outlineLevel="0" collapsed="false">
      <c r="A165" s="0" t="s">
        <v>2248</v>
      </c>
      <c r="B165" s="0" t="s">
        <v>1095</v>
      </c>
      <c r="C165" s="0" t="s">
        <v>651</v>
      </c>
      <c r="D165" s="0" t="s">
        <v>1690</v>
      </c>
      <c r="E165" s="0" t="s">
        <v>24</v>
      </c>
      <c r="F165" s="0" t="s">
        <v>1742</v>
      </c>
      <c r="G165" s="9" t="n">
        <v>-3.626</v>
      </c>
      <c r="H165" s="20" t="s">
        <v>1853</v>
      </c>
      <c r="I165" s="20" t="s">
        <v>1947</v>
      </c>
      <c r="J165" s="20" t="s">
        <v>1866</v>
      </c>
      <c r="K165" s="20" t="s">
        <v>2245</v>
      </c>
      <c r="L165" s="20" t="s">
        <v>2246</v>
      </c>
      <c r="M165" s="5" t="s">
        <v>1775</v>
      </c>
      <c r="N165" s="20" t="s">
        <v>2247</v>
      </c>
      <c r="O165" s="0" t="n">
        <v>1</v>
      </c>
    </row>
    <row r="166" customFormat="false" ht="17.15" hidden="false" customHeight="false" outlineLevel="0" collapsed="false">
      <c r="A166" s="0" t="s">
        <v>2249</v>
      </c>
      <c r="B166" s="0" t="s">
        <v>1095</v>
      </c>
      <c r="C166" s="0" t="s">
        <v>651</v>
      </c>
      <c r="D166" s="0" t="s">
        <v>2034</v>
      </c>
      <c r="E166" s="0" t="s">
        <v>24</v>
      </c>
      <c r="F166" s="0" t="s">
        <v>1709</v>
      </c>
      <c r="G166" s="9" t="n">
        <v>4.338</v>
      </c>
      <c r="H166" s="20" t="s">
        <v>1853</v>
      </c>
      <c r="I166" s="5" t="s">
        <v>2250</v>
      </c>
      <c r="J166" s="20" t="s">
        <v>1909</v>
      </c>
      <c r="K166" s="20" t="s">
        <v>2245</v>
      </c>
      <c r="L166" s="20" t="s">
        <v>2246</v>
      </c>
      <c r="M166" s="20" t="s">
        <v>1770</v>
      </c>
      <c r="N166" s="20" t="s">
        <v>2247</v>
      </c>
      <c r="O166" s="0" t="n">
        <v>1</v>
      </c>
    </row>
    <row r="167" customFormat="false" ht="17.15" hidden="false" customHeight="false" outlineLevel="0" collapsed="false">
      <c r="A167" s="0" t="s">
        <v>1769</v>
      </c>
      <c r="B167" s="0" t="s">
        <v>1095</v>
      </c>
      <c r="C167" s="0" t="s">
        <v>651</v>
      </c>
      <c r="D167" s="0" t="s">
        <v>1716</v>
      </c>
      <c r="E167" s="0" t="s">
        <v>1912</v>
      </c>
      <c r="F167" s="0" t="s">
        <v>1709</v>
      </c>
      <c r="G167" s="9" t="n">
        <v>5.75</v>
      </c>
      <c r="H167" s="20" t="s">
        <v>1853</v>
      </c>
      <c r="I167" s="5" t="s">
        <v>1768</v>
      </c>
      <c r="J167" s="20" t="s">
        <v>1909</v>
      </c>
      <c r="K167" s="20" t="s">
        <v>2245</v>
      </c>
      <c r="L167" s="20" t="s">
        <v>2246</v>
      </c>
      <c r="M167" s="20" t="s">
        <v>1770</v>
      </c>
      <c r="N167" s="20" t="s">
        <v>2247</v>
      </c>
      <c r="O167" s="0" t="n">
        <v>1</v>
      </c>
    </row>
    <row r="168" customFormat="false" ht="17.15" hidden="false" customHeight="false" outlineLevel="0" collapsed="false">
      <c r="A168" s="0" t="s">
        <v>1774</v>
      </c>
      <c r="B168" s="0" t="s">
        <v>1095</v>
      </c>
      <c r="C168" s="0" t="s">
        <v>651</v>
      </c>
      <c r="D168" s="0" t="s">
        <v>1771</v>
      </c>
      <c r="E168" s="0" t="s">
        <v>1912</v>
      </c>
      <c r="F168" s="0" t="s">
        <v>1772</v>
      </c>
      <c r="G168" s="9" t="n">
        <v>0.775</v>
      </c>
      <c r="H168" s="20" t="s">
        <v>1853</v>
      </c>
      <c r="I168" s="5" t="s">
        <v>1773</v>
      </c>
      <c r="J168" s="20" t="s">
        <v>1909</v>
      </c>
      <c r="K168" s="20" t="s">
        <v>2245</v>
      </c>
      <c r="L168" s="20" t="s">
        <v>2246</v>
      </c>
      <c r="M168" s="5" t="s">
        <v>1775</v>
      </c>
      <c r="N168" s="20" t="s">
        <v>2247</v>
      </c>
      <c r="O168" s="0" t="n">
        <v>1</v>
      </c>
    </row>
    <row r="169" customFormat="false" ht="17.15" hidden="false" customHeight="false" outlineLevel="0" collapsed="false">
      <c r="A169" s="0" t="s">
        <v>2251</v>
      </c>
      <c r="B169" s="0" t="s">
        <v>1095</v>
      </c>
      <c r="C169" s="0" t="s">
        <v>651</v>
      </c>
      <c r="D169" s="0" t="s">
        <v>1690</v>
      </c>
      <c r="E169" s="0" t="s">
        <v>24</v>
      </c>
      <c r="F169" s="0" t="s">
        <v>1732</v>
      </c>
      <c r="G169" s="9" t="n">
        <v>4.811</v>
      </c>
      <c r="H169" s="20" t="s">
        <v>1853</v>
      </c>
      <c r="I169" s="20" t="s">
        <v>2252</v>
      </c>
      <c r="J169" s="20" t="s">
        <v>1909</v>
      </c>
      <c r="K169" s="20" t="s">
        <v>2245</v>
      </c>
      <c r="L169" s="20" t="s">
        <v>2246</v>
      </c>
      <c r="M169" s="5" t="s">
        <v>1775</v>
      </c>
      <c r="N169" s="20" t="s">
        <v>2247</v>
      </c>
      <c r="O169" s="0" t="n">
        <v>1</v>
      </c>
    </row>
    <row r="170" customFormat="false" ht="17.15" hidden="false" customHeight="false" outlineLevel="0" collapsed="false">
      <c r="A170" s="0" t="s">
        <v>2253</v>
      </c>
      <c r="B170" s="0" t="s">
        <v>1095</v>
      </c>
      <c r="C170" s="0" t="s">
        <v>651</v>
      </c>
      <c r="D170" s="0" t="s">
        <v>119</v>
      </c>
      <c r="E170" s="0" t="s">
        <v>24</v>
      </c>
      <c r="F170" s="0" t="s">
        <v>1753</v>
      </c>
      <c r="G170" s="9" t="n">
        <v>12.054</v>
      </c>
      <c r="H170" s="20" t="s">
        <v>1853</v>
      </c>
      <c r="I170" s="5" t="s">
        <v>2254</v>
      </c>
      <c r="J170" s="20" t="s">
        <v>1909</v>
      </c>
      <c r="K170" s="20" t="s">
        <v>2245</v>
      </c>
      <c r="L170" s="20" t="s">
        <v>2246</v>
      </c>
      <c r="M170" s="20" t="s">
        <v>1770</v>
      </c>
      <c r="N170" s="20" t="s">
        <v>2247</v>
      </c>
      <c r="O170" s="0" t="n">
        <v>1</v>
      </c>
    </row>
    <row r="171" customFormat="false" ht="17.15" hidden="false" customHeight="false" outlineLevel="0" collapsed="false">
      <c r="A171" s="0" t="s">
        <v>2255</v>
      </c>
      <c r="B171" s="0" t="s">
        <v>1095</v>
      </c>
      <c r="C171" s="0" t="s">
        <v>651</v>
      </c>
      <c r="D171" s="0" t="s">
        <v>119</v>
      </c>
      <c r="E171" s="0" t="s">
        <v>24</v>
      </c>
      <c r="F171" s="0" t="s">
        <v>1750</v>
      </c>
      <c r="G171" s="9" t="n">
        <v>-13.675</v>
      </c>
      <c r="H171" s="20" t="s">
        <v>1853</v>
      </c>
      <c r="I171" s="5" t="s">
        <v>2256</v>
      </c>
      <c r="J171" s="20" t="s">
        <v>1866</v>
      </c>
      <c r="K171" s="20" t="s">
        <v>2245</v>
      </c>
      <c r="L171" s="20" t="s">
        <v>2246</v>
      </c>
      <c r="M171" s="5" t="s">
        <v>1775</v>
      </c>
      <c r="N171" s="20" t="s">
        <v>2247</v>
      </c>
      <c r="O171" s="0" t="n">
        <v>1</v>
      </c>
    </row>
    <row r="172" customFormat="false" ht="17.15" hidden="false" customHeight="false" outlineLevel="0" collapsed="false">
      <c r="A172" s="0" t="s">
        <v>1777</v>
      </c>
      <c r="B172" s="0" t="s">
        <v>1095</v>
      </c>
      <c r="C172" s="0" t="s">
        <v>651</v>
      </c>
      <c r="D172" s="0" t="s">
        <v>1700</v>
      </c>
      <c r="E172" s="0" t="s">
        <v>1908</v>
      </c>
      <c r="F172" s="0" t="s">
        <v>1713</v>
      </c>
      <c r="G172" s="9" t="n">
        <v>22.5</v>
      </c>
      <c r="H172" s="20" t="s">
        <v>1853</v>
      </c>
      <c r="I172" s="5" t="s">
        <v>1776</v>
      </c>
      <c r="J172" s="20" t="s">
        <v>1909</v>
      </c>
      <c r="K172" s="20" t="s">
        <v>2257</v>
      </c>
      <c r="L172" s="20" t="s">
        <v>2235</v>
      </c>
      <c r="M172" s="5" t="s">
        <v>1712</v>
      </c>
      <c r="N172" s="20" t="s">
        <v>2258</v>
      </c>
      <c r="O172" s="0" t="n">
        <v>1</v>
      </c>
    </row>
    <row r="173" customFormat="false" ht="17.15" hidden="false" customHeight="false" outlineLevel="0" collapsed="false">
      <c r="A173" s="17" t="s">
        <v>2259</v>
      </c>
      <c r="B173" s="17" t="s">
        <v>1291</v>
      </c>
      <c r="C173" s="17" t="s">
        <v>531</v>
      </c>
      <c r="D173" s="17" t="s">
        <v>2260</v>
      </c>
      <c r="E173" s="17" t="s">
        <v>23</v>
      </c>
      <c r="F173" s="17" t="s">
        <v>1732</v>
      </c>
      <c r="G173" s="17" t="n">
        <v>40</v>
      </c>
      <c r="H173" s="17" t="s">
        <v>1853</v>
      </c>
      <c r="I173" s="17" t="s">
        <v>2261</v>
      </c>
      <c r="J173" s="17" t="s">
        <v>1909</v>
      </c>
      <c r="K173" s="17" t="s">
        <v>2262</v>
      </c>
      <c r="L173" s="17" t="s">
        <v>2263</v>
      </c>
      <c r="M173" s="18" t="s">
        <v>1858</v>
      </c>
      <c r="N173" s="17"/>
      <c r="O173" s="17" t="n">
        <v>0</v>
      </c>
    </row>
    <row r="174" customFormat="false" ht="17.15" hidden="false" customHeight="false" outlineLevel="0" collapsed="false">
      <c r="A174" s="17" t="s">
        <v>2264</v>
      </c>
      <c r="B174" s="17" t="s">
        <v>1291</v>
      </c>
      <c r="C174" s="17" t="s">
        <v>531</v>
      </c>
      <c r="D174" s="17" t="s">
        <v>2265</v>
      </c>
      <c r="E174" s="17" t="s">
        <v>23</v>
      </c>
      <c r="F174" s="17" t="s">
        <v>1732</v>
      </c>
      <c r="G174" s="17" t="n">
        <v>6.6</v>
      </c>
      <c r="H174" s="17" t="s">
        <v>1853</v>
      </c>
      <c r="I174" s="18" t="s">
        <v>2266</v>
      </c>
      <c r="J174" s="17" t="s">
        <v>1909</v>
      </c>
      <c r="K174" s="17" t="s">
        <v>2267</v>
      </c>
      <c r="L174" s="17" t="s">
        <v>2268</v>
      </c>
      <c r="M174" s="18" t="s">
        <v>1858</v>
      </c>
      <c r="N174" s="17"/>
      <c r="O174" s="17" t="n">
        <v>0</v>
      </c>
    </row>
    <row r="175" customFormat="false" ht="17.15" hidden="false" customHeight="false" outlineLevel="0" collapsed="false">
      <c r="A175" s="0" t="s">
        <v>2269</v>
      </c>
      <c r="B175" s="0" t="s">
        <v>1291</v>
      </c>
      <c r="C175" s="0" t="s">
        <v>531</v>
      </c>
      <c r="D175" s="0" t="s">
        <v>2270</v>
      </c>
      <c r="E175" s="0" t="s">
        <v>24</v>
      </c>
      <c r="F175" s="0" t="s">
        <v>1732</v>
      </c>
      <c r="G175" s="9" t="n">
        <v>122</v>
      </c>
      <c r="H175" s="20" t="s">
        <v>1853</v>
      </c>
      <c r="I175" s="5" t="s">
        <v>2271</v>
      </c>
      <c r="J175" s="20" t="s">
        <v>1909</v>
      </c>
      <c r="K175" s="20" t="s">
        <v>2272</v>
      </c>
      <c r="L175" s="20" t="s">
        <v>2273</v>
      </c>
      <c r="M175" s="5" t="s">
        <v>1704</v>
      </c>
      <c r="O175" s="0" t="n">
        <v>1</v>
      </c>
    </row>
    <row r="176" customFormat="false" ht="17.15" hidden="false" customHeight="false" outlineLevel="0" collapsed="false">
      <c r="A176" s="17" t="s">
        <v>2274</v>
      </c>
      <c r="B176" s="17" t="s">
        <v>1291</v>
      </c>
      <c r="C176" s="17" t="s">
        <v>531</v>
      </c>
      <c r="D176" s="17" t="s">
        <v>2275</v>
      </c>
      <c r="E176" s="17" t="s">
        <v>24</v>
      </c>
      <c r="F176" s="17" t="s">
        <v>1732</v>
      </c>
      <c r="G176" s="17" t="n">
        <v>30</v>
      </c>
      <c r="H176" s="17" t="s">
        <v>1853</v>
      </c>
      <c r="I176" s="18" t="s">
        <v>2276</v>
      </c>
      <c r="J176" s="17" t="s">
        <v>1909</v>
      </c>
      <c r="K176" s="17" t="s">
        <v>2277</v>
      </c>
      <c r="L176" s="17" t="s">
        <v>2278</v>
      </c>
      <c r="M176" s="18" t="s">
        <v>1858</v>
      </c>
      <c r="N176" s="17"/>
      <c r="O176" s="17" t="n">
        <v>0</v>
      </c>
    </row>
    <row r="177" customFormat="false" ht="17.15" hidden="false" customHeight="false" outlineLevel="0" collapsed="false">
      <c r="A177" s="17" t="s">
        <v>2279</v>
      </c>
      <c r="B177" s="17" t="s">
        <v>1291</v>
      </c>
      <c r="C177" s="17" t="s">
        <v>531</v>
      </c>
      <c r="D177" s="17" t="s">
        <v>2280</v>
      </c>
      <c r="E177" s="17" t="s">
        <v>1912</v>
      </c>
      <c r="F177" s="17" t="s">
        <v>2281</v>
      </c>
      <c r="G177" s="17" t="n">
        <v>4</v>
      </c>
      <c r="H177" s="17" t="s">
        <v>1853</v>
      </c>
      <c r="I177" s="18" t="s">
        <v>2282</v>
      </c>
      <c r="J177" s="17" t="s">
        <v>1909</v>
      </c>
      <c r="K177" s="17" t="s">
        <v>2283</v>
      </c>
      <c r="L177" s="17" t="s">
        <v>2284</v>
      </c>
      <c r="M177" s="18" t="s">
        <v>1858</v>
      </c>
      <c r="N177" s="17"/>
      <c r="O177" s="17" t="n">
        <v>0</v>
      </c>
    </row>
    <row r="178" customFormat="false" ht="17.15" hidden="false" customHeight="false" outlineLevel="0" collapsed="false">
      <c r="A178" s="17" t="s">
        <v>2285</v>
      </c>
      <c r="B178" s="17" t="s">
        <v>1291</v>
      </c>
      <c r="C178" s="17" t="s">
        <v>531</v>
      </c>
      <c r="D178" s="17" t="s">
        <v>1720</v>
      </c>
      <c r="E178" s="17" t="s">
        <v>24</v>
      </c>
      <c r="F178" s="17" t="s">
        <v>2281</v>
      </c>
      <c r="G178" s="17" t="n">
        <v>0.52</v>
      </c>
      <c r="H178" s="17" t="s">
        <v>1853</v>
      </c>
      <c r="I178" s="17" t="s">
        <v>2286</v>
      </c>
      <c r="J178" s="17" t="s">
        <v>1909</v>
      </c>
      <c r="K178" s="17" t="s">
        <v>2287</v>
      </c>
      <c r="L178" s="17" t="s">
        <v>2288</v>
      </c>
      <c r="M178" s="18" t="s">
        <v>1858</v>
      </c>
      <c r="N178" s="17"/>
      <c r="O178" s="17" t="n">
        <v>0</v>
      </c>
    </row>
    <row r="179" customFormat="false" ht="17.15" hidden="false" customHeight="false" outlineLevel="0" collapsed="false">
      <c r="A179" s="0" t="s">
        <v>2289</v>
      </c>
      <c r="B179" s="0" t="s">
        <v>1291</v>
      </c>
      <c r="C179" s="0" t="s">
        <v>531</v>
      </c>
      <c r="D179" s="0" t="s">
        <v>1689</v>
      </c>
      <c r="E179" s="0" t="s">
        <v>23</v>
      </c>
      <c r="F179" s="0" t="s">
        <v>1742</v>
      </c>
      <c r="G179" s="9" t="n">
        <v>-8</v>
      </c>
      <c r="H179" s="20" t="s">
        <v>1853</v>
      </c>
      <c r="I179" s="5" t="s">
        <v>2290</v>
      </c>
      <c r="J179" s="20" t="s">
        <v>1909</v>
      </c>
      <c r="K179" s="20" t="s">
        <v>2291</v>
      </c>
      <c r="L179" s="20" t="s">
        <v>2292</v>
      </c>
      <c r="M179" s="5" t="s">
        <v>1704</v>
      </c>
      <c r="O179" s="0" t="n">
        <v>1</v>
      </c>
    </row>
    <row r="180" customFormat="false" ht="17.15" hidden="false" customHeight="false" outlineLevel="0" collapsed="false">
      <c r="A180" s="0" t="s">
        <v>1779</v>
      </c>
      <c r="B180" s="0" t="s">
        <v>1291</v>
      </c>
      <c r="C180" s="0" t="s">
        <v>531</v>
      </c>
      <c r="D180" s="0" t="s">
        <v>1700</v>
      </c>
      <c r="E180" s="0" t="s">
        <v>1908</v>
      </c>
      <c r="F180" s="0" t="s">
        <v>1742</v>
      </c>
      <c r="G180" s="9" t="n">
        <v>-25</v>
      </c>
      <c r="H180" s="20" t="s">
        <v>1853</v>
      </c>
      <c r="I180" s="5" t="s">
        <v>1778</v>
      </c>
      <c r="J180" s="20" t="s">
        <v>1909</v>
      </c>
      <c r="K180" s="20" t="s">
        <v>2291</v>
      </c>
      <c r="L180" s="20" t="s">
        <v>2292</v>
      </c>
      <c r="M180" s="5" t="s">
        <v>1704</v>
      </c>
      <c r="O180" s="0" t="n">
        <v>1</v>
      </c>
    </row>
    <row r="181" customFormat="false" ht="17.15" hidden="false" customHeight="false" outlineLevel="0" collapsed="false">
      <c r="A181" s="17" t="s">
        <v>2293</v>
      </c>
      <c r="B181" s="17" t="s">
        <v>1291</v>
      </c>
      <c r="C181" s="17" t="s">
        <v>531</v>
      </c>
      <c r="D181" s="17" t="s">
        <v>2294</v>
      </c>
      <c r="E181" s="17" t="s">
        <v>23</v>
      </c>
      <c r="F181" s="17" t="s">
        <v>1717</v>
      </c>
      <c r="G181" s="17" t="n">
        <v>45</v>
      </c>
      <c r="H181" s="17" t="s">
        <v>1853</v>
      </c>
      <c r="I181" s="17" t="s">
        <v>2295</v>
      </c>
      <c r="J181" s="17" t="s">
        <v>1909</v>
      </c>
      <c r="K181" s="17" t="s">
        <v>2296</v>
      </c>
      <c r="L181" s="17" t="s">
        <v>2297</v>
      </c>
      <c r="M181" s="18" t="s">
        <v>1858</v>
      </c>
      <c r="N181" s="17" t="s">
        <v>2298</v>
      </c>
      <c r="O181" s="17" t="n">
        <v>0</v>
      </c>
    </row>
    <row r="182" customFormat="false" ht="17.15" hidden="false" customHeight="false" outlineLevel="0" collapsed="false">
      <c r="A182" s="0" t="s">
        <v>2299</v>
      </c>
      <c r="B182" s="0" t="s">
        <v>1291</v>
      </c>
      <c r="C182" s="0" t="s">
        <v>531</v>
      </c>
      <c r="D182" s="0" t="s">
        <v>1716</v>
      </c>
      <c r="E182" s="0" t="s">
        <v>24</v>
      </c>
      <c r="F182" s="0" t="s">
        <v>1717</v>
      </c>
      <c r="G182" s="9" t="n">
        <v>105</v>
      </c>
      <c r="H182" s="20" t="s">
        <v>1853</v>
      </c>
      <c r="I182" s="20" t="s">
        <v>2300</v>
      </c>
      <c r="J182" s="20" t="s">
        <v>1909</v>
      </c>
      <c r="K182" s="20" t="s">
        <v>2301</v>
      </c>
      <c r="L182" s="20" t="s">
        <v>2302</v>
      </c>
      <c r="M182" s="5" t="s">
        <v>1712</v>
      </c>
      <c r="N182" s="20" t="s">
        <v>2303</v>
      </c>
      <c r="O182" s="0" t="n">
        <v>1</v>
      </c>
    </row>
    <row r="183" customFormat="false" ht="17.15" hidden="false" customHeight="false" outlineLevel="0" collapsed="false">
      <c r="A183" s="17" t="s">
        <v>2304</v>
      </c>
      <c r="B183" s="17" t="s">
        <v>1291</v>
      </c>
      <c r="C183" s="17" t="s">
        <v>531</v>
      </c>
      <c r="D183" s="17" t="s">
        <v>2153</v>
      </c>
      <c r="E183" s="17" t="s">
        <v>24</v>
      </c>
      <c r="F183" s="17" t="s">
        <v>1726</v>
      </c>
      <c r="G183" s="17" t="n">
        <v>30</v>
      </c>
      <c r="H183" s="17" t="s">
        <v>1853</v>
      </c>
      <c r="I183" s="17" t="s">
        <v>2305</v>
      </c>
      <c r="J183" s="17" t="s">
        <v>1909</v>
      </c>
      <c r="K183" s="17" t="s">
        <v>2306</v>
      </c>
      <c r="L183" s="17" t="s">
        <v>2307</v>
      </c>
      <c r="M183" s="18" t="s">
        <v>1858</v>
      </c>
      <c r="N183" s="17"/>
      <c r="O183" s="17" t="n">
        <v>0</v>
      </c>
    </row>
    <row r="184" customFormat="false" ht="17.15" hidden="false" customHeight="false" outlineLevel="0" collapsed="false">
      <c r="A184" s="17" t="s">
        <v>2308</v>
      </c>
      <c r="B184" s="17" t="s">
        <v>1291</v>
      </c>
      <c r="C184" s="17" t="s">
        <v>531</v>
      </c>
      <c r="D184" s="17" t="s">
        <v>2309</v>
      </c>
      <c r="E184" s="17" t="s">
        <v>23</v>
      </c>
      <c r="F184" s="17" t="s">
        <v>1726</v>
      </c>
      <c r="G184" s="17"/>
      <c r="H184" s="17" t="s">
        <v>1853</v>
      </c>
      <c r="I184" s="17" t="s">
        <v>2310</v>
      </c>
      <c r="J184" s="17" t="s">
        <v>1909</v>
      </c>
      <c r="K184" s="17" t="s">
        <v>2311</v>
      </c>
      <c r="L184" s="17" t="s">
        <v>2312</v>
      </c>
      <c r="M184" s="18" t="s">
        <v>1858</v>
      </c>
      <c r="N184" s="17" t="s">
        <v>2313</v>
      </c>
      <c r="O184" s="17" t="n">
        <v>0</v>
      </c>
    </row>
    <row r="185" customFormat="false" ht="17.15" hidden="false" customHeight="false" outlineLevel="0" collapsed="false">
      <c r="A185" s="0" t="s">
        <v>2314</v>
      </c>
      <c r="B185" s="0" t="s">
        <v>1291</v>
      </c>
      <c r="C185" s="0" t="s">
        <v>531</v>
      </c>
      <c r="D185" s="0" t="s">
        <v>2315</v>
      </c>
      <c r="E185" s="0" t="s">
        <v>24</v>
      </c>
      <c r="F185" s="0" t="s">
        <v>1726</v>
      </c>
      <c r="G185" s="9" t="n">
        <v>40</v>
      </c>
      <c r="H185" s="20" t="s">
        <v>1853</v>
      </c>
      <c r="I185" s="20" t="s">
        <v>2316</v>
      </c>
      <c r="J185" s="20" t="s">
        <v>1909</v>
      </c>
      <c r="K185" s="20" t="s">
        <v>2317</v>
      </c>
      <c r="L185" s="20" t="s">
        <v>2318</v>
      </c>
      <c r="M185" s="5" t="s">
        <v>1704</v>
      </c>
      <c r="O185" s="0" t="n">
        <v>1</v>
      </c>
    </row>
    <row r="186" customFormat="false" ht="17.15" hidden="false" customHeight="false" outlineLevel="0" collapsed="false">
      <c r="A186" s="17" t="s">
        <v>2319</v>
      </c>
      <c r="B186" s="17" t="s">
        <v>1292</v>
      </c>
      <c r="C186" s="17" t="s">
        <v>515</v>
      </c>
      <c r="D186" s="17" t="s">
        <v>2320</v>
      </c>
      <c r="E186" s="17" t="s">
        <v>23</v>
      </c>
      <c r="F186" s="17" t="s">
        <v>1732</v>
      </c>
      <c r="G186" s="17" t="n">
        <v>3.5</v>
      </c>
      <c r="H186" s="17" t="s">
        <v>1853</v>
      </c>
      <c r="I186" s="17" t="s">
        <v>2321</v>
      </c>
      <c r="J186" s="17" t="s">
        <v>1909</v>
      </c>
      <c r="K186" s="17" t="s">
        <v>2322</v>
      </c>
      <c r="L186" s="17" t="s">
        <v>2323</v>
      </c>
      <c r="M186" s="18" t="s">
        <v>1858</v>
      </c>
      <c r="N186" s="17"/>
      <c r="O186" s="17" t="n">
        <v>0</v>
      </c>
    </row>
    <row r="187" customFormat="false" ht="17.15" hidden="false" customHeight="false" outlineLevel="0" collapsed="false">
      <c r="A187" s="17" t="s">
        <v>2324</v>
      </c>
      <c r="B187" s="17" t="s">
        <v>1292</v>
      </c>
      <c r="C187" s="17" t="s">
        <v>515</v>
      </c>
      <c r="D187" s="17" t="s">
        <v>2325</v>
      </c>
      <c r="E187" s="17" t="s">
        <v>23</v>
      </c>
      <c r="F187" s="17" t="s">
        <v>1732</v>
      </c>
      <c r="G187" s="17" t="n">
        <v>13</v>
      </c>
      <c r="H187" s="17" t="s">
        <v>1853</v>
      </c>
      <c r="I187" s="17" t="s">
        <v>2326</v>
      </c>
      <c r="J187" s="17" t="s">
        <v>1909</v>
      </c>
      <c r="K187" s="17" t="s">
        <v>2322</v>
      </c>
      <c r="L187" s="17" t="s">
        <v>2327</v>
      </c>
      <c r="M187" s="18" t="s">
        <v>1858</v>
      </c>
      <c r="N187" s="17"/>
      <c r="O187" s="17" t="n">
        <v>0</v>
      </c>
    </row>
    <row r="188" customFormat="false" ht="17.15" hidden="false" customHeight="false" outlineLevel="0" collapsed="false">
      <c r="A188" s="0" t="s">
        <v>2328</v>
      </c>
      <c r="B188" s="0" t="s">
        <v>1292</v>
      </c>
      <c r="C188" s="0" t="s">
        <v>515</v>
      </c>
      <c r="D188" s="0" t="s">
        <v>2329</v>
      </c>
      <c r="E188" s="0" t="s">
        <v>24</v>
      </c>
      <c r="F188" s="0" t="s">
        <v>1732</v>
      </c>
      <c r="G188" s="9" t="n">
        <v>30</v>
      </c>
      <c r="H188" s="20" t="s">
        <v>1853</v>
      </c>
      <c r="I188" s="20" t="s">
        <v>2330</v>
      </c>
      <c r="J188" s="20" t="s">
        <v>1909</v>
      </c>
      <c r="K188" s="20" t="s">
        <v>2331</v>
      </c>
      <c r="L188" s="20" t="s">
        <v>2332</v>
      </c>
      <c r="M188" s="20" t="s">
        <v>1770</v>
      </c>
      <c r="O188" s="0" t="n">
        <v>1</v>
      </c>
    </row>
    <row r="189" customFormat="false" ht="17.15" hidden="false" customHeight="false" outlineLevel="0" collapsed="false">
      <c r="A189" s="0" t="s">
        <v>2333</v>
      </c>
      <c r="B189" s="0" t="s">
        <v>1292</v>
      </c>
      <c r="C189" s="0" t="s">
        <v>515</v>
      </c>
      <c r="D189" s="0" t="s">
        <v>2334</v>
      </c>
      <c r="E189" s="0" t="s">
        <v>24</v>
      </c>
      <c r="F189" s="0" t="s">
        <v>1732</v>
      </c>
      <c r="G189" s="9" t="n">
        <v>65</v>
      </c>
      <c r="H189" s="20" t="s">
        <v>1853</v>
      </c>
      <c r="I189" s="20" t="s">
        <v>2335</v>
      </c>
      <c r="J189" s="20" t="s">
        <v>1909</v>
      </c>
      <c r="K189" s="20" t="s">
        <v>2331</v>
      </c>
      <c r="L189" s="20" t="s">
        <v>2336</v>
      </c>
      <c r="M189" s="5" t="s">
        <v>1704</v>
      </c>
      <c r="O189" s="0" t="n">
        <v>1</v>
      </c>
    </row>
    <row r="190" customFormat="false" ht="17.15" hidden="false" customHeight="false" outlineLevel="0" collapsed="false">
      <c r="A190" s="17" t="s">
        <v>2337</v>
      </c>
      <c r="B190" s="17" t="s">
        <v>1292</v>
      </c>
      <c r="C190" s="17" t="s">
        <v>515</v>
      </c>
      <c r="D190" s="17" t="s">
        <v>2338</v>
      </c>
      <c r="E190" s="17" t="s">
        <v>23</v>
      </c>
      <c r="F190" s="17" t="s">
        <v>1726</v>
      </c>
      <c r="G190" s="17" t="n">
        <v>15</v>
      </c>
      <c r="H190" s="17" t="s">
        <v>1853</v>
      </c>
      <c r="I190" s="17" t="s">
        <v>2339</v>
      </c>
      <c r="J190" s="17" t="s">
        <v>1909</v>
      </c>
      <c r="K190" s="17" t="s">
        <v>2322</v>
      </c>
      <c r="L190" s="17" t="s">
        <v>2340</v>
      </c>
      <c r="M190" s="18" t="s">
        <v>1858</v>
      </c>
      <c r="N190" s="17"/>
      <c r="O190" s="17" t="n">
        <v>0</v>
      </c>
    </row>
    <row r="191" customFormat="false" ht="17.15" hidden="false" customHeight="false" outlineLevel="0" collapsed="false">
      <c r="A191" s="17" t="s">
        <v>2341</v>
      </c>
      <c r="B191" s="17" t="s">
        <v>1292</v>
      </c>
      <c r="C191" s="17" t="s">
        <v>515</v>
      </c>
      <c r="D191" s="17" t="s">
        <v>2342</v>
      </c>
      <c r="E191" s="17" t="s">
        <v>24</v>
      </c>
      <c r="F191" s="17" t="s">
        <v>2281</v>
      </c>
      <c r="G191" s="17" t="n">
        <v>15</v>
      </c>
      <c r="H191" s="17" t="s">
        <v>1853</v>
      </c>
      <c r="I191" s="18" t="s">
        <v>2343</v>
      </c>
      <c r="J191" s="17" t="s">
        <v>1909</v>
      </c>
      <c r="K191" s="17" t="s">
        <v>2344</v>
      </c>
      <c r="L191" s="17" t="s">
        <v>2345</v>
      </c>
      <c r="M191" s="18" t="s">
        <v>1858</v>
      </c>
      <c r="N191" s="17"/>
      <c r="O191" s="17" t="n">
        <v>0</v>
      </c>
    </row>
    <row r="192" customFormat="false" ht="17.15" hidden="false" customHeight="false" outlineLevel="0" collapsed="false">
      <c r="A192" s="0" t="s">
        <v>2346</v>
      </c>
      <c r="B192" s="0" t="s">
        <v>1292</v>
      </c>
      <c r="C192" s="0" t="s">
        <v>515</v>
      </c>
      <c r="D192" s="0" t="s">
        <v>2347</v>
      </c>
      <c r="E192" s="0" t="s">
        <v>24</v>
      </c>
      <c r="F192" s="0" t="s">
        <v>1772</v>
      </c>
      <c r="G192" s="9" t="n">
        <v>35</v>
      </c>
      <c r="H192" s="20" t="s">
        <v>1853</v>
      </c>
      <c r="I192" s="20" t="s">
        <v>2348</v>
      </c>
      <c r="J192" s="20" t="s">
        <v>1909</v>
      </c>
      <c r="K192" s="20" t="s">
        <v>2349</v>
      </c>
      <c r="L192" s="20" t="s">
        <v>2350</v>
      </c>
      <c r="M192" s="5" t="s">
        <v>1704</v>
      </c>
      <c r="O192" s="0" t="n">
        <v>1</v>
      </c>
    </row>
    <row r="193" customFormat="false" ht="17.15" hidden="false" customHeight="false" outlineLevel="0" collapsed="false">
      <c r="A193" s="0" t="s">
        <v>2351</v>
      </c>
      <c r="B193" s="0" t="s">
        <v>1292</v>
      </c>
      <c r="C193" s="0" t="s">
        <v>515</v>
      </c>
      <c r="D193" s="0" t="s">
        <v>1716</v>
      </c>
      <c r="E193" s="0" t="s">
        <v>24</v>
      </c>
      <c r="F193" s="0" t="s">
        <v>2352</v>
      </c>
      <c r="G193" s="9" t="n">
        <v>36</v>
      </c>
      <c r="H193" s="20" t="s">
        <v>1853</v>
      </c>
      <c r="I193" s="5" t="s">
        <v>2353</v>
      </c>
      <c r="J193" s="20" t="s">
        <v>1909</v>
      </c>
      <c r="K193" s="20" t="s">
        <v>2354</v>
      </c>
      <c r="L193" s="20" t="s">
        <v>2350</v>
      </c>
      <c r="M193" s="5" t="s">
        <v>1712</v>
      </c>
      <c r="N193" s="20" t="s">
        <v>2355</v>
      </c>
      <c r="O193" s="0" t="n">
        <v>1</v>
      </c>
    </row>
    <row r="194" customFormat="false" ht="17.15" hidden="false" customHeight="false" outlineLevel="0" collapsed="false">
      <c r="A194" s="0" t="s">
        <v>2356</v>
      </c>
      <c r="B194" s="0" t="s">
        <v>1292</v>
      </c>
      <c r="C194" s="0" t="s">
        <v>515</v>
      </c>
      <c r="D194" s="0" t="s">
        <v>2357</v>
      </c>
      <c r="E194" s="0" t="s">
        <v>24</v>
      </c>
      <c r="F194" s="0" t="s">
        <v>1726</v>
      </c>
      <c r="G194" s="9" t="n">
        <v>42</v>
      </c>
      <c r="H194" s="20" t="s">
        <v>1853</v>
      </c>
      <c r="I194" s="20" t="s">
        <v>2358</v>
      </c>
      <c r="J194" s="20" t="s">
        <v>1909</v>
      </c>
      <c r="K194" s="20" t="s">
        <v>2359</v>
      </c>
      <c r="L194" s="20" t="s">
        <v>2360</v>
      </c>
      <c r="M194" s="5" t="s">
        <v>1704</v>
      </c>
      <c r="O194" s="0" t="n">
        <v>1</v>
      </c>
    </row>
    <row r="195" customFormat="false" ht="17.15" hidden="false" customHeight="false" outlineLevel="0" collapsed="false">
      <c r="A195" s="17" t="s">
        <v>2361</v>
      </c>
      <c r="B195" s="17" t="s">
        <v>1292</v>
      </c>
      <c r="C195" s="17" t="s">
        <v>515</v>
      </c>
      <c r="D195" s="17" t="s">
        <v>2362</v>
      </c>
      <c r="E195" s="17" t="s">
        <v>24</v>
      </c>
      <c r="F195" s="17" t="s">
        <v>1717</v>
      </c>
      <c r="G195" s="17" t="n">
        <v>15</v>
      </c>
      <c r="H195" s="17" t="s">
        <v>1853</v>
      </c>
      <c r="I195" s="17" t="s">
        <v>2363</v>
      </c>
      <c r="J195" s="17" t="s">
        <v>1909</v>
      </c>
      <c r="K195" s="17" t="s">
        <v>2364</v>
      </c>
      <c r="L195" s="17" t="s">
        <v>2365</v>
      </c>
      <c r="M195" s="18" t="s">
        <v>1858</v>
      </c>
      <c r="N195" s="17"/>
      <c r="O195" s="17" t="n">
        <v>0</v>
      </c>
    </row>
    <row r="196" customFormat="false" ht="17.15" hidden="false" customHeight="false" outlineLevel="0" collapsed="false">
      <c r="A196" s="17" t="s">
        <v>2366</v>
      </c>
      <c r="B196" s="17" t="s">
        <v>1292</v>
      </c>
      <c r="C196" s="17" t="s">
        <v>515</v>
      </c>
      <c r="D196" s="17" t="s">
        <v>2367</v>
      </c>
      <c r="E196" s="17" t="s">
        <v>23</v>
      </c>
      <c r="F196" s="17" t="s">
        <v>2368</v>
      </c>
      <c r="G196" s="17" t="n">
        <v>50</v>
      </c>
      <c r="H196" s="17" t="s">
        <v>1853</v>
      </c>
      <c r="I196" s="18" t="s">
        <v>2369</v>
      </c>
      <c r="J196" s="17" t="s">
        <v>1909</v>
      </c>
      <c r="K196" s="17" t="s">
        <v>2322</v>
      </c>
      <c r="L196" s="17" t="s">
        <v>2370</v>
      </c>
      <c r="M196" s="18" t="s">
        <v>1858</v>
      </c>
      <c r="N196" s="17" t="s">
        <v>2371</v>
      </c>
      <c r="O196" s="17" t="n">
        <v>0</v>
      </c>
    </row>
    <row r="197" customFormat="false" ht="17.15" hidden="false" customHeight="false" outlineLevel="0" collapsed="false">
      <c r="A197" s="17" t="s">
        <v>2372</v>
      </c>
      <c r="B197" s="17" t="s">
        <v>1292</v>
      </c>
      <c r="C197" s="17" t="s">
        <v>515</v>
      </c>
      <c r="D197" s="17" t="s">
        <v>1688</v>
      </c>
      <c r="E197" s="17" t="s">
        <v>1912</v>
      </c>
      <c r="F197" s="17" t="s">
        <v>1742</v>
      </c>
      <c r="G197" s="17" t="n">
        <v>-5.6</v>
      </c>
      <c r="H197" s="17" t="s">
        <v>1853</v>
      </c>
      <c r="I197" s="17" t="s">
        <v>2373</v>
      </c>
      <c r="J197" s="17" t="s">
        <v>1909</v>
      </c>
      <c r="K197" s="17" t="s">
        <v>2374</v>
      </c>
      <c r="L197" s="17" t="s">
        <v>2375</v>
      </c>
      <c r="M197" s="18" t="s">
        <v>1858</v>
      </c>
      <c r="N197" s="17"/>
      <c r="O197" s="17" t="n">
        <v>0</v>
      </c>
    </row>
    <row r="198" customFormat="false" ht="17.15" hidden="false" customHeight="false" outlineLevel="0" collapsed="false">
      <c r="A198" s="17" t="s">
        <v>2376</v>
      </c>
      <c r="B198" s="17" t="s">
        <v>1292</v>
      </c>
      <c r="C198" s="17" t="s">
        <v>515</v>
      </c>
      <c r="D198" s="17" t="s">
        <v>2204</v>
      </c>
      <c r="E198" s="17" t="s">
        <v>23</v>
      </c>
      <c r="F198" s="17" t="s">
        <v>2377</v>
      </c>
      <c r="G198" s="17" t="n">
        <v>20.28</v>
      </c>
      <c r="H198" s="17" t="s">
        <v>1853</v>
      </c>
      <c r="I198" s="18" t="s">
        <v>2378</v>
      </c>
      <c r="J198" s="17" t="s">
        <v>1909</v>
      </c>
      <c r="K198" s="17" t="s">
        <v>2379</v>
      </c>
      <c r="L198" s="17" t="s">
        <v>2380</v>
      </c>
      <c r="M198" s="18" t="s">
        <v>1858</v>
      </c>
      <c r="N198" s="17" t="s">
        <v>2381</v>
      </c>
      <c r="O198" s="17" t="n">
        <v>0</v>
      </c>
    </row>
    <row r="199" customFormat="false" ht="17.15" hidden="false" customHeight="false" outlineLevel="0" collapsed="false">
      <c r="A199" s="17" t="s">
        <v>2382</v>
      </c>
      <c r="B199" s="17" t="s">
        <v>1292</v>
      </c>
      <c r="C199" s="17" t="s">
        <v>515</v>
      </c>
      <c r="D199" s="17" t="s">
        <v>2383</v>
      </c>
      <c r="E199" s="17" t="s">
        <v>24</v>
      </c>
      <c r="F199" s="17" t="s">
        <v>1742</v>
      </c>
      <c r="G199" s="17" t="n">
        <v>0</v>
      </c>
      <c r="H199" s="17" t="s">
        <v>1853</v>
      </c>
      <c r="I199" s="17" t="s">
        <v>2384</v>
      </c>
      <c r="J199" s="17" t="s">
        <v>1909</v>
      </c>
      <c r="K199" s="17" t="s">
        <v>2385</v>
      </c>
      <c r="L199" s="17" t="s">
        <v>2386</v>
      </c>
      <c r="M199" s="18" t="s">
        <v>1858</v>
      </c>
      <c r="N199" s="17"/>
      <c r="O199" s="17" t="n">
        <v>0</v>
      </c>
    </row>
    <row r="200" customFormat="false" ht="17.15" hidden="false" customHeight="false" outlineLevel="0" collapsed="false">
      <c r="A200" s="17" t="s">
        <v>2387</v>
      </c>
      <c r="B200" s="17" t="s">
        <v>1292</v>
      </c>
      <c r="C200" s="17" t="s">
        <v>515</v>
      </c>
      <c r="D200" s="17" t="s">
        <v>2388</v>
      </c>
      <c r="E200" s="17" t="s">
        <v>1912</v>
      </c>
      <c r="F200" s="17" t="s">
        <v>1732</v>
      </c>
      <c r="G200" s="17" t="n">
        <v>100</v>
      </c>
      <c r="H200" s="17" t="s">
        <v>1853</v>
      </c>
      <c r="I200" s="17" t="s">
        <v>2389</v>
      </c>
      <c r="J200" s="17" t="s">
        <v>1909</v>
      </c>
      <c r="K200" s="17" t="s">
        <v>2390</v>
      </c>
      <c r="L200" s="17" t="s">
        <v>2391</v>
      </c>
      <c r="M200" s="18" t="s">
        <v>1858</v>
      </c>
      <c r="N200" s="17"/>
      <c r="O200" s="17" t="n">
        <v>0</v>
      </c>
    </row>
    <row r="201" customFormat="false" ht="17.15" hidden="false" customHeight="false" outlineLevel="0" collapsed="false">
      <c r="A201" s="17" t="s">
        <v>2392</v>
      </c>
      <c r="B201" s="17" t="s">
        <v>1292</v>
      </c>
      <c r="C201" s="17" t="s">
        <v>515</v>
      </c>
      <c r="D201" s="17" t="s">
        <v>2393</v>
      </c>
      <c r="E201" s="17" t="s">
        <v>24</v>
      </c>
      <c r="F201" s="17" t="s">
        <v>1916</v>
      </c>
      <c r="G201" s="17" t="n">
        <v>15</v>
      </c>
      <c r="H201" s="17" t="s">
        <v>1853</v>
      </c>
      <c r="I201" s="18" t="s">
        <v>2394</v>
      </c>
      <c r="J201" s="17" t="s">
        <v>2395</v>
      </c>
      <c r="K201" s="17" t="s">
        <v>2396</v>
      </c>
      <c r="L201" s="17" t="s">
        <v>2397</v>
      </c>
      <c r="M201" s="17" t="s">
        <v>1921</v>
      </c>
      <c r="N201" s="17" t="s">
        <v>2398</v>
      </c>
      <c r="O201" s="17" t="n">
        <v>0</v>
      </c>
    </row>
    <row r="202" customFormat="false" ht="17.15" hidden="false" customHeight="false" outlineLevel="0" collapsed="false">
      <c r="A202" s="17" t="s">
        <v>2399</v>
      </c>
      <c r="B202" s="17" t="s">
        <v>2400</v>
      </c>
      <c r="C202" s="17" t="s">
        <v>535</v>
      </c>
      <c r="D202" s="17" t="s">
        <v>2401</v>
      </c>
      <c r="E202" s="17" t="s">
        <v>23</v>
      </c>
      <c r="F202" s="17" t="s">
        <v>2281</v>
      </c>
      <c r="G202" s="17" t="n">
        <v>5</v>
      </c>
      <c r="H202" s="17" t="s">
        <v>1853</v>
      </c>
      <c r="I202" s="18" t="s">
        <v>2402</v>
      </c>
      <c r="J202" s="17" t="s">
        <v>1909</v>
      </c>
      <c r="K202" s="17" t="s">
        <v>2403</v>
      </c>
      <c r="L202" s="17" t="s">
        <v>2404</v>
      </c>
      <c r="M202" s="18" t="s">
        <v>1858</v>
      </c>
      <c r="N202" s="17"/>
      <c r="O202" s="17" t="n">
        <v>0</v>
      </c>
    </row>
    <row r="203" customFormat="false" ht="17.15" hidden="false" customHeight="false" outlineLevel="0" collapsed="false">
      <c r="A203" s="17" t="s">
        <v>2405</v>
      </c>
      <c r="B203" s="17" t="s">
        <v>2400</v>
      </c>
      <c r="C203" s="17" t="s">
        <v>535</v>
      </c>
      <c r="D203" s="17" t="s">
        <v>2401</v>
      </c>
      <c r="E203" s="17" t="s">
        <v>23</v>
      </c>
      <c r="F203" s="17" t="s">
        <v>1732</v>
      </c>
      <c r="G203" s="17" t="n">
        <v>5</v>
      </c>
      <c r="H203" s="17" t="s">
        <v>1853</v>
      </c>
      <c r="I203" s="18" t="s">
        <v>2406</v>
      </c>
      <c r="J203" s="17" t="s">
        <v>1909</v>
      </c>
      <c r="K203" s="17" t="s">
        <v>1991</v>
      </c>
      <c r="L203" s="17" t="s">
        <v>2404</v>
      </c>
      <c r="M203" s="18" t="s">
        <v>1858</v>
      </c>
      <c r="N203" s="17"/>
      <c r="O203" s="17" t="n">
        <v>0</v>
      </c>
    </row>
    <row r="204" customFormat="false" ht="17.15" hidden="false" customHeight="false" outlineLevel="0" collapsed="false">
      <c r="A204" s="17" t="s">
        <v>2407</v>
      </c>
      <c r="B204" s="17" t="s">
        <v>2400</v>
      </c>
      <c r="C204" s="17" t="s">
        <v>535</v>
      </c>
      <c r="D204" s="17" t="s">
        <v>2265</v>
      </c>
      <c r="E204" s="17" t="s">
        <v>23</v>
      </c>
      <c r="F204" s="17" t="s">
        <v>1772</v>
      </c>
      <c r="G204" s="17" t="n">
        <v>12.5</v>
      </c>
      <c r="H204" s="17" t="s">
        <v>1853</v>
      </c>
      <c r="I204" s="18" t="s">
        <v>2408</v>
      </c>
      <c r="J204" s="17" t="s">
        <v>1909</v>
      </c>
      <c r="K204" s="17" t="s">
        <v>2409</v>
      </c>
      <c r="L204" s="17" t="s">
        <v>2410</v>
      </c>
      <c r="M204" s="18" t="s">
        <v>1858</v>
      </c>
      <c r="N204" s="17"/>
      <c r="O204" s="17" t="n">
        <v>0</v>
      </c>
    </row>
    <row r="205" customFormat="false" ht="17.15" hidden="false" customHeight="false" outlineLevel="0" collapsed="false">
      <c r="A205" s="17" t="s">
        <v>2411</v>
      </c>
      <c r="B205" s="17" t="s">
        <v>2400</v>
      </c>
      <c r="C205" s="17" t="s">
        <v>535</v>
      </c>
      <c r="D205" s="17" t="s">
        <v>2412</v>
      </c>
      <c r="E205" s="17" t="s">
        <v>24</v>
      </c>
      <c r="F205" s="17" t="s">
        <v>1732</v>
      </c>
      <c r="G205" s="17" t="n">
        <v>20</v>
      </c>
      <c r="H205" s="17" t="s">
        <v>1853</v>
      </c>
      <c r="I205" s="17" t="s">
        <v>2413</v>
      </c>
      <c r="J205" s="17" t="s">
        <v>1909</v>
      </c>
      <c r="K205" s="17" t="s">
        <v>2390</v>
      </c>
      <c r="L205" s="17" t="s">
        <v>2414</v>
      </c>
      <c r="M205" s="18" t="s">
        <v>1858</v>
      </c>
      <c r="N205" s="17"/>
      <c r="O205" s="17" t="n">
        <v>0</v>
      </c>
    </row>
    <row r="206" customFormat="false" ht="17.15" hidden="false" customHeight="false" outlineLevel="0" collapsed="false">
      <c r="A206" s="17" t="s">
        <v>2415</v>
      </c>
      <c r="B206" s="17" t="s">
        <v>2400</v>
      </c>
      <c r="C206" s="17" t="s">
        <v>535</v>
      </c>
      <c r="D206" s="17" t="s">
        <v>2153</v>
      </c>
      <c r="E206" s="17" t="s">
        <v>24</v>
      </c>
      <c r="F206" s="17" t="s">
        <v>2416</v>
      </c>
      <c r="G206" s="17" t="n">
        <v>250</v>
      </c>
      <c r="H206" s="17" t="s">
        <v>1853</v>
      </c>
      <c r="I206" s="17" t="s">
        <v>2417</v>
      </c>
      <c r="J206" s="17" t="s">
        <v>1909</v>
      </c>
      <c r="K206" s="17" t="s">
        <v>2418</v>
      </c>
      <c r="L206" s="17" t="s">
        <v>2419</v>
      </c>
      <c r="M206" s="18" t="s">
        <v>1858</v>
      </c>
      <c r="N206" s="17"/>
      <c r="O206" s="17" t="n">
        <v>0</v>
      </c>
    </row>
    <row r="207" customFormat="false" ht="17.15" hidden="false" customHeight="false" outlineLevel="0" collapsed="false">
      <c r="A207" s="0" t="s">
        <v>2420</v>
      </c>
      <c r="B207" s="0" t="s">
        <v>1694</v>
      </c>
      <c r="C207" s="0" t="s">
        <v>535</v>
      </c>
      <c r="D207" s="0" t="s">
        <v>1689</v>
      </c>
      <c r="E207" s="0" t="s">
        <v>23</v>
      </c>
      <c r="F207" s="0" t="s">
        <v>2421</v>
      </c>
      <c r="G207" s="9" t="n">
        <v>12.7</v>
      </c>
      <c r="H207" s="20" t="s">
        <v>1853</v>
      </c>
      <c r="I207" s="20" t="s">
        <v>2422</v>
      </c>
      <c r="J207" s="20" t="s">
        <v>1855</v>
      </c>
      <c r="K207" s="20" t="s">
        <v>2423</v>
      </c>
      <c r="L207" s="20" t="s">
        <v>2424</v>
      </c>
      <c r="M207" s="5" t="s">
        <v>1704</v>
      </c>
      <c r="O207" s="0" t="n">
        <v>1</v>
      </c>
    </row>
    <row r="208" customFormat="false" ht="17.15" hidden="false" customHeight="false" outlineLevel="0" collapsed="false">
      <c r="A208" s="0" t="s">
        <v>2425</v>
      </c>
      <c r="B208" s="0" t="s">
        <v>1694</v>
      </c>
      <c r="C208" s="0" t="s">
        <v>535</v>
      </c>
      <c r="D208" s="0" t="s">
        <v>1689</v>
      </c>
      <c r="E208" s="0" t="s">
        <v>23</v>
      </c>
      <c r="F208" s="0" t="s">
        <v>1737</v>
      </c>
      <c r="G208" s="9" t="n">
        <v>6.8</v>
      </c>
      <c r="H208" s="20" t="s">
        <v>1853</v>
      </c>
      <c r="I208" s="20" t="s">
        <v>2426</v>
      </c>
      <c r="J208" s="20" t="s">
        <v>1855</v>
      </c>
      <c r="K208" s="20" t="s">
        <v>2427</v>
      </c>
      <c r="L208" s="20" t="s">
        <v>2428</v>
      </c>
      <c r="M208" s="5" t="s">
        <v>1704</v>
      </c>
      <c r="O208" s="0" t="n">
        <v>1</v>
      </c>
    </row>
    <row r="209" customFormat="false" ht="17.15" hidden="false" customHeight="false" outlineLevel="0" collapsed="false">
      <c r="A209" s="0" t="s">
        <v>2429</v>
      </c>
      <c r="B209" s="0" t="s">
        <v>1694</v>
      </c>
      <c r="C209" s="0" t="s">
        <v>535</v>
      </c>
      <c r="D209" s="0" t="s">
        <v>1689</v>
      </c>
      <c r="E209" s="0" t="s">
        <v>23</v>
      </c>
      <c r="F209" s="0" t="s">
        <v>1713</v>
      </c>
      <c r="G209" s="9" t="n">
        <v>20.7</v>
      </c>
      <c r="H209" s="20" t="s">
        <v>1853</v>
      </c>
      <c r="I209" s="20" t="s">
        <v>2430</v>
      </c>
      <c r="J209" s="20" t="s">
        <v>1855</v>
      </c>
      <c r="K209" s="20" t="s">
        <v>2427</v>
      </c>
      <c r="L209" s="20" t="s">
        <v>2428</v>
      </c>
      <c r="M209" s="5" t="s">
        <v>1704</v>
      </c>
      <c r="O209" s="0" t="n">
        <v>1</v>
      </c>
    </row>
    <row r="210" customFormat="false" ht="17.15" hidden="false" customHeight="false" outlineLevel="0" collapsed="false">
      <c r="A210" s="0" t="s">
        <v>2431</v>
      </c>
      <c r="B210" s="0" t="s">
        <v>1694</v>
      </c>
      <c r="C210" s="0" t="s">
        <v>535</v>
      </c>
      <c r="D210" s="0" t="s">
        <v>1689</v>
      </c>
      <c r="E210" s="0" t="s">
        <v>23</v>
      </c>
      <c r="F210" s="0" t="s">
        <v>1742</v>
      </c>
      <c r="G210" s="9" t="n">
        <v>-13.9</v>
      </c>
      <c r="H210" s="20" t="s">
        <v>1853</v>
      </c>
      <c r="I210" s="20" t="s">
        <v>2432</v>
      </c>
      <c r="J210" s="20" t="s">
        <v>1866</v>
      </c>
      <c r="K210" s="20" t="s">
        <v>2433</v>
      </c>
      <c r="L210" s="20" t="s">
        <v>2428</v>
      </c>
      <c r="M210" s="5" t="s">
        <v>1704</v>
      </c>
      <c r="O210" s="0" t="n">
        <v>1</v>
      </c>
    </row>
    <row r="211" customFormat="false" ht="17.15" hidden="false" customHeight="false" outlineLevel="0" collapsed="false">
      <c r="A211" s="0" t="s">
        <v>2434</v>
      </c>
      <c r="B211" s="0" t="s">
        <v>1694</v>
      </c>
      <c r="C211" s="0" t="s">
        <v>535</v>
      </c>
      <c r="D211" s="0" t="s">
        <v>2034</v>
      </c>
      <c r="E211" s="0" t="s">
        <v>24</v>
      </c>
      <c r="F211" s="0" t="s">
        <v>2435</v>
      </c>
      <c r="G211" s="9" t="n">
        <v>20</v>
      </c>
      <c r="H211" s="20" t="s">
        <v>1853</v>
      </c>
      <c r="I211" s="20" t="s">
        <v>2436</v>
      </c>
      <c r="J211" s="20" t="s">
        <v>1855</v>
      </c>
      <c r="K211" s="20" t="s">
        <v>2437</v>
      </c>
      <c r="L211" s="20" t="s">
        <v>2428</v>
      </c>
      <c r="M211" s="5" t="s">
        <v>1712</v>
      </c>
      <c r="N211" s="20" t="s">
        <v>2438</v>
      </c>
      <c r="O211" s="0" t="n">
        <v>1</v>
      </c>
    </row>
    <row r="212" customFormat="false" ht="17.15" hidden="false" customHeight="false" outlineLevel="0" collapsed="false">
      <c r="A212" s="0" t="s">
        <v>2439</v>
      </c>
      <c r="B212" s="0" t="s">
        <v>1694</v>
      </c>
      <c r="C212" s="0" t="s">
        <v>535</v>
      </c>
      <c r="D212" s="0" t="s">
        <v>2440</v>
      </c>
      <c r="E212" s="0" t="s">
        <v>24</v>
      </c>
      <c r="F212" s="0" t="s">
        <v>1713</v>
      </c>
      <c r="G212" s="9" t="n">
        <v>10.1</v>
      </c>
      <c r="H212" s="20" t="s">
        <v>1853</v>
      </c>
      <c r="I212" s="5" t="s">
        <v>2441</v>
      </c>
      <c r="J212" s="20" t="s">
        <v>1855</v>
      </c>
      <c r="K212" s="20" t="s">
        <v>2433</v>
      </c>
      <c r="L212" s="20" t="s">
        <v>2428</v>
      </c>
      <c r="M212" s="5" t="s">
        <v>1704</v>
      </c>
      <c r="O212" s="0" t="n">
        <v>1</v>
      </c>
    </row>
    <row r="213" customFormat="false" ht="17.15" hidden="false" customHeight="false" outlineLevel="0" collapsed="false">
      <c r="A213" s="0" t="s">
        <v>2442</v>
      </c>
      <c r="B213" s="0" t="s">
        <v>1694</v>
      </c>
      <c r="C213" s="0" t="s">
        <v>535</v>
      </c>
      <c r="D213" s="0" t="s">
        <v>2443</v>
      </c>
      <c r="E213" s="0" t="s">
        <v>24</v>
      </c>
      <c r="F213" s="0" t="s">
        <v>1713</v>
      </c>
      <c r="G213" s="9" t="n">
        <v>18.4</v>
      </c>
      <c r="H213" s="20" t="s">
        <v>1853</v>
      </c>
      <c r="I213" s="5" t="s">
        <v>2444</v>
      </c>
      <c r="J213" s="20" t="s">
        <v>1909</v>
      </c>
      <c r="K213" s="20" t="s">
        <v>2445</v>
      </c>
      <c r="L213" s="20" t="s">
        <v>2446</v>
      </c>
      <c r="M213" s="5" t="s">
        <v>1704</v>
      </c>
      <c r="O213" s="0" t="n">
        <v>1</v>
      </c>
    </row>
    <row r="214" customFormat="false" ht="17.15" hidden="false" customHeight="false" outlineLevel="0" collapsed="false">
      <c r="A214" s="0" t="s">
        <v>2447</v>
      </c>
      <c r="B214" s="0" t="s">
        <v>1694</v>
      </c>
      <c r="C214" s="0" t="s">
        <v>535</v>
      </c>
      <c r="D214" s="0" t="s">
        <v>1690</v>
      </c>
      <c r="E214" s="0" t="s">
        <v>24</v>
      </c>
      <c r="F214" s="0" t="s">
        <v>1737</v>
      </c>
      <c r="G214" s="9" t="n">
        <v>3.47</v>
      </c>
      <c r="H214" s="20" t="s">
        <v>1853</v>
      </c>
      <c r="I214" s="5" t="s">
        <v>2448</v>
      </c>
      <c r="J214" s="20" t="s">
        <v>1909</v>
      </c>
      <c r="K214" s="20" t="s">
        <v>2449</v>
      </c>
      <c r="L214" s="20" t="s">
        <v>2450</v>
      </c>
      <c r="M214" s="5" t="s">
        <v>1704</v>
      </c>
      <c r="O214" s="0" t="n">
        <v>1</v>
      </c>
    </row>
    <row r="215" customFormat="false" ht="17.15" hidden="false" customHeight="false" outlineLevel="0" collapsed="false">
      <c r="A215" s="0" t="s">
        <v>2451</v>
      </c>
      <c r="B215" s="0" t="s">
        <v>1694</v>
      </c>
      <c r="C215" s="0" t="s">
        <v>535</v>
      </c>
      <c r="D215" s="0" t="s">
        <v>2452</v>
      </c>
      <c r="E215" s="0" t="s">
        <v>24</v>
      </c>
      <c r="F215" s="0" t="s">
        <v>1732</v>
      </c>
      <c r="G215" s="9" t="n">
        <v>75</v>
      </c>
      <c r="H215" s="20" t="s">
        <v>1853</v>
      </c>
      <c r="I215" s="20" t="s">
        <v>2453</v>
      </c>
      <c r="J215" s="20" t="s">
        <v>1909</v>
      </c>
      <c r="K215" s="20" t="s">
        <v>2454</v>
      </c>
      <c r="L215" s="20" t="s">
        <v>2455</v>
      </c>
      <c r="M215" s="5" t="s">
        <v>1704</v>
      </c>
      <c r="O215" s="0" t="n">
        <v>1</v>
      </c>
    </row>
    <row r="216" customFormat="false" ht="17.15" hidden="false" customHeight="false" outlineLevel="0" collapsed="false">
      <c r="A216" s="0" t="s">
        <v>2456</v>
      </c>
      <c r="B216" s="0" t="s">
        <v>1694</v>
      </c>
      <c r="C216" s="0" t="s">
        <v>535</v>
      </c>
      <c r="D216" s="0" t="s">
        <v>2347</v>
      </c>
      <c r="E216" s="0" t="s">
        <v>24</v>
      </c>
      <c r="F216" s="0" t="s">
        <v>1709</v>
      </c>
      <c r="G216" s="9" t="n">
        <v>25</v>
      </c>
      <c r="H216" s="20" t="s">
        <v>1853</v>
      </c>
      <c r="I216" s="5" t="s">
        <v>2457</v>
      </c>
      <c r="J216" s="20" t="s">
        <v>1909</v>
      </c>
      <c r="K216" s="20" t="s">
        <v>2445</v>
      </c>
      <c r="L216" s="20" t="s">
        <v>2446</v>
      </c>
      <c r="M216" s="5" t="s">
        <v>1704</v>
      </c>
      <c r="O216" s="0" t="n">
        <v>1</v>
      </c>
    </row>
    <row r="217" customFormat="false" ht="17.15" hidden="false" customHeight="false" outlineLevel="0" collapsed="false">
      <c r="A217" s="17" t="s">
        <v>2458</v>
      </c>
      <c r="B217" s="17" t="s">
        <v>2459</v>
      </c>
      <c r="C217" s="17"/>
      <c r="D217" s="17" t="s">
        <v>2265</v>
      </c>
      <c r="E217" s="17" t="s">
        <v>2460</v>
      </c>
      <c r="F217" s="17" t="s">
        <v>1732</v>
      </c>
      <c r="G217" s="17" t="n">
        <v>1.375</v>
      </c>
      <c r="H217" s="17" t="s">
        <v>1853</v>
      </c>
      <c r="I217" s="17" t="s">
        <v>2461</v>
      </c>
      <c r="J217" s="17" t="s">
        <v>2462</v>
      </c>
      <c r="K217" s="17" t="s">
        <v>2463</v>
      </c>
      <c r="L217" s="17" t="s">
        <v>2464</v>
      </c>
      <c r="M217" s="18" t="s">
        <v>1858</v>
      </c>
      <c r="N217" s="17" t="s">
        <v>2465</v>
      </c>
      <c r="O217" s="17" t="n">
        <v>0</v>
      </c>
    </row>
    <row r="218" customFormat="false" ht="17.15" hidden="false" customHeight="false" outlineLevel="0" collapsed="false">
      <c r="A218" s="17" t="s">
        <v>2466</v>
      </c>
      <c r="B218" s="17" t="s">
        <v>2459</v>
      </c>
      <c r="C218" s="17"/>
      <c r="D218" s="17" t="s">
        <v>2467</v>
      </c>
      <c r="E218" s="17" t="s">
        <v>2460</v>
      </c>
      <c r="F218" s="17" t="s">
        <v>1732</v>
      </c>
      <c r="G218" s="17" t="n">
        <v>3</v>
      </c>
      <c r="H218" s="17" t="s">
        <v>1853</v>
      </c>
      <c r="I218" s="17" t="s">
        <v>2468</v>
      </c>
      <c r="J218" s="17" t="s">
        <v>1909</v>
      </c>
      <c r="K218" s="17" t="s">
        <v>2262</v>
      </c>
      <c r="L218" s="17" t="s">
        <v>2469</v>
      </c>
      <c r="M218" s="18" t="s">
        <v>1858</v>
      </c>
      <c r="N218" s="17"/>
      <c r="O218" s="17" t="n">
        <v>0</v>
      </c>
    </row>
    <row r="219" customFormat="false" ht="17.15" hidden="false" customHeight="false" outlineLevel="0" collapsed="false">
      <c r="A219" s="0" t="s">
        <v>2470</v>
      </c>
      <c r="B219" s="0" t="s">
        <v>2471</v>
      </c>
      <c r="D219" s="0" t="s">
        <v>2472</v>
      </c>
      <c r="E219" s="0" t="s">
        <v>2460</v>
      </c>
      <c r="F219" s="0" t="s">
        <v>1732</v>
      </c>
      <c r="G219" s="9" t="n">
        <v>2</v>
      </c>
      <c r="H219" s="20" t="s">
        <v>1853</v>
      </c>
      <c r="I219" s="20" t="s">
        <v>2473</v>
      </c>
      <c r="J219" s="20" t="s">
        <v>1909</v>
      </c>
      <c r="K219" s="20" t="s">
        <v>2474</v>
      </c>
      <c r="L219" s="20" t="s">
        <v>2475</v>
      </c>
      <c r="M219" s="5" t="s">
        <v>1704</v>
      </c>
      <c r="O219" s="0" t="n">
        <v>1</v>
      </c>
    </row>
    <row r="220" customFormat="false" ht="17.15" hidden="false" customHeight="false" outlineLevel="0" collapsed="false">
      <c r="A220" s="0" t="s">
        <v>2476</v>
      </c>
      <c r="B220" s="0" t="s">
        <v>2471</v>
      </c>
      <c r="D220" s="0" t="s">
        <v>2153</v>
      </c>
      <c r="E220" s="0" t="s">
        <v>2460</v>
      </c>
      <c r="F220" s="0" t="s">
        <v>1772</v>
      </c>
      <c r="G220" s="9" t="n">
        <v>1.4</v>
      </c>
      <c r="H220" s="20" t="s">
        <v>1853</v>
      </c>
      <c r="I220" s="20" t="s">
        <v>2477</v>
      </c>
      <c r="J220" s="20" t="s">
        <v>1909</v>
      </c>
      <c r="K220" s="20" t="s">
        <v>2474</v>
      </c>
      <c r="L220" s="20" t="s">
        <v>2475</v>
      </c>
      <c r="M220" s="5" t="s">
        <v>1704</v>
      </c>
      <c r="O220" s="0" t="n">
        <v>1</v>
      </c>
    </row>
    <row r="221" customFormat="false" ht="17.15" hidden="false" customHeight="false" outlineLevel="0" collapsed="false">
      <c r="A221" s="17" t="s">
        <v>2478</v>
      </c>
      <c r="B221" s="17" t="s">
        <v>2479</v>
      </c>
      <c r="C221" s="17"/>
      <c r="D221" s="17" t="s">
        <v>1716</v>
      </c>
      <c r="E221" s="17" t="s">
        <v>2460</v>
      </c>
      <c r="F221" s="17" t="s">
        <v>1772</v>
      </c>
      <c r="G221" s="17" t="n">
        <v>1.926</v>
      </c>
      <c r="H221" s="17" t="s">
        <v>1853</v>
      </c>
      <c r="I221" s="18" t="s">
        <v>2480</v>
      </c>
      <c r="J221" s="17" t="s">
        <v>1909</v>
      </c>
      <c r="K221" s="17" t="s">
        <v>2481</v>
      </c>
      <c r="L221" s="17" t="s">
        <v>2482</v>
      </c>
      <c r="M221" s="18" t="s">
        <v>1858</v>
      </c>
      <c r="N221" s="17"/>
      <c r="O221" s="17" t="n">
        <v>0</v>
      </c>
    </row>
    <row r="222" customFormat="false" ht="17.15" hidden="false" customHeight="false" outlineLevel="0" collapsed="false">
      <c r="A222" s="0" t="s">
        <v>2483</v>
      </c>
      <c r="B222" s="0" t="s">
        <v>2484</v>
      </c>
      <c r="D222" s="0" t="s">
        <v>2485</v>
      </c>
      <c r="E222" s="0" t="s">
        <v>2460</v>
      </c>
      <c r="F222" s="0" t="s">
        <v>1772</v>
      </c>
      <c r="G222" s="9" t="n">
        <v>3.6</v>
      </c>
      <c r="H222" s="20" t="s">
        <v>1853</v>
      </c>
      <c r="I222" s="5" t="s">
        <v>2486</v>
      </c>
      <c r="J222" s="20" t="s">
        <v>1909</v>
      </c>
      <c r="K222" s="20" t="s">
        <v>2487</v>
      </c>
      <c r="L222" s="20" t="s">
        <v>2488</v>
      </c>
      <c r="M222" s="5" t="s">
        <v>1704</v>
      </c>
      <c r="O222" s="0" t="n">
        <v>1</v>
      </c>
    </row>
    <row r="223" customFormat="false" ht="17.15" hidden="false" customHeight="false" outlineLevel="0" collapsed="false">
      <c r="A223" s="17" t="s">
        <v>2489</v>
      </c>
      <c r="B223" s="17" t="s">
        <v>2484</v>
      </c>
      <c r="C223" s="17"/>
      <c r="D223" s="17" t="s">
        <v>1915</v>
      </c>
      <c r="E223" s="17" t="s">
        <v>2460</v>
      </c>
      <c r="F223" s="17" t="s">
        <v>2490</v>
      </c>
      <c r="G223" s="17" t="n">
        <v>9.7</v>
      </c>
      <c r="H223" s="17" t="s">
        <v>1853</v>
      </c>
      <c r="I223" s="17" t="s">
        <v>2491</v>
      </c>
      <c r="J223" s="17" t="s">
        <v>1909</v>
      </c>
      <c r="K223" s="17" t="s">
        <v>2492</v>
      </c>
      <c r="L223" s="17" t="s">
        <v>1920</v>
      </c>
      <c r="M223" s="18" t="s">
        <v>1858</v>
      </c>
      <c r="N223" s="17" t="s">
        <v>2493</v>
      </c>
      <c r="O223" s="17" t="n">
        <v>0</v>
      </c>
    </row>
    <row r="224" customFormat="false" ht="17.15" hidden="false" customHeight="false" outlineLevel="0" collapsed="false">
      <c r="A224" s="17" t="s">
        <v>2494</v>
      </c>
      <c r="B224" s="17" t="s">
        <v>2495</v>
      </c>
      <c r="C224" s="17"/>
      <c r="D224" s="17" t="s">
        <v>2496</v>
      </c>
      <c r="E224" s="17" t="s">
        <v>2460</v>
      </c>
      <c r="F224" s="17" t="s">
        <v>2497</v>
      </c>
      <c r="G224" s="17" t="n">
        <v>43.364</v>
      </c>
      <c r="H224" s="17" t="s">
        <v>1853</v>
      </c>
      <c r="I224" s="18" t="s">
        <v>2498</v>
      </c>
      <c r="J224" s="17" t="s">
        <v>1855</v>
      </c>
      <c r="K224" s="17" t="s">
        <v>2499</v>
      </c>
      <c r="L224" s="17" t="s">
        <v>2500</v>
      </c>
      <c r="M224" s="17" t="s">
        <v>1921</v>
      </c>
      <c r="N224" s="17" t="s">
        <v>2501</v>
      </c>
      <c r="O224" s="17" t="n">
        <v>0</v>
      </c>
    </row>
    <row r="225" customFormat="false" ht="17.15" hidden="false" customHeight="false" outlineLevel="0" collapsed="false">
      <c r="A225" s="0" t="s">
        <v>2502</v>
      </c>
      <c r="B225" s="0" t="s">
        <v>2503</v>
      </c>
      <c r="D225" s="0" t="s">
        <v>2496</v>
      </c>
      <c r="E225" s="0" t="s">
        <v>2460</v>
      </c>
      <c r="F225" s="0" t="s">
        <v>1726</v>
      </c>
      <c r="G225" s="9" t="n">
        <v>27</v>
      </c>
      <c r="H225" s="20" t="s">
        <v>1853</v>
      </c>
      <c r="I225" s="5" t="s">
        <v>2504</v>
      </c>
      <c r="J225" s="20" t="s">
        <v>1855</v>
      </c>
      <c r="K225" s="20" t="s">
        <v>2505</v>
      </c>
      <c r="L225" s="20" t="s">
        <v>2500</v>
      </c>
      <c r="M225" s="5" t="s">
        <v>1704</v>
      </c>
      <c r="O225" s="0" t="n">
        <v>1</v>
      </c>
    </row>
    <row r="226" customFormat="false" ht="17.15" hidden="false" customHeight="false" outlineLevel="0" collapsed="false">
      <c r="A226" s="0" t="s">
        <v>2506</v>
      </c>
      <c r="B226" s="0" t="s">
        <v>2503</v>
      </c>
      <c r="D226" s="0" t="s">
        <v>2496</v>
      </c>
      <c r="E226" s="0" t="s">
        <v>2460</v>
      </c>
      <c r="F226" s="0" t="s">
        <v>1717</v>
      </c>
      <c r="G226" s="9" t="n">
        <v>3.5</v>
      </c>
      <c r="H226" s="20" t="s">
        <v>1853</v>
      </c>
      <c r="I226" s="5" t="s">
        <v>2507</v>
      </c>
      <c r="J226" s="20" t="s">
        <v>1855</v>
      </c>
      <c r="K226" s="20" t="s">
        <v>2505</v>
      </c>
      <c r="L226" s="20" t="s">
        <v>2500</v>
      </c>
      <c r="M226" s="5" t="s">
        <v>1704</v>
      </c>
      <c r="O226" s="0" t="n">
        <v>1</v>
      </c>
    </row>
    <row r="227" customFormat="false" ht="17.15" hidden="false" customHeight="false" outlineLevel="0" collapsed="false">
      <c r="A227" s="0" t="s">
        <v>2508</v>
      </c>
      <c r="B227" s="0" t="s">
        <v>2503</v>
      </c>
      <c r="D227" s="0" t="s">
        <v>2496</v>
      </c>
      <c r="E227" s="0" t="s">
        <v>2460</v>
      </c>
      <c r="F227" s="0" t="s">
        <v>1726</v>
      </c>
      <c r="G227" s="9" t="n">
        <v>30</v>
      </c>
      <c r="H227" s="20" t="s">
        <v>1853</v>
      </c>
      <c r="I227" s="5" t="s">
        <v>2509</v>
      </c>
      <c r="J227" s="20" t="s">
        <v>1855</v>
      </c>
      <c r="K227" s="20" t="s">
        <v>2505</v>
      </c>
      <c r="L227" s="20" t="s">
        <v>2500</v>
      </c>
      <c r="M227" s="5" t="s">
        <v>1704</v>
      </c>
      <c r="O227" s="0" t="n">
        <v>1</v>
      </c>
    </row>
    <row r="228" customFormat="false" ht="17.15" hidden="false" customHeight="false" outlineLevel="0" collapsed="false">
      <c r="A228" s="17" t="s">
        <v>2510</v>
      </c>
      <c r="B228" s="17" t="s">
        <v>2495</v>
      </c>
      <c r="C228" s="17"/>
      <c r="D228" s="17" t="s">
        <v>2511</v>
      </c>
      <c r="E228" s="17" t="s">
        <v>2460</v>
      </c>
      <c r="F228" s="17" t="s">
        <v>2497</v>
      </c>
      <c r="G228" s="17" t="n">
        <v>51.157</v>
      </c>
      <c r="H228" s="17" t="s">
        <v>1853</v>
      </c>
      <c r="I228" s="18" t="s">
        <v>2512</v>
      </c>
      <c r="J228" s="17" t="s">
        <v>1909</v>
      </c>
      <c r="K228" s="17" t="s">
        <v>2513</v>
      </c>
      <c r="L228" s="17" t="s">
        <v>2514</v>
      </c>
      <c r="M228" s="18" t="s">
        <v>1858</v>
      </c>
      <c r="N228" s="17" t="s">
        <v>2515</v>
      </c>
      <c r="O228" s="17" t="n">
        <v>0</v>
      </c>
    </row>
    <row r="229" customFormat="false" ht="17.15" hidden="false" customHeight="false" outlineLevel="0" collapsed="false">
      <c r="A229" s="0" t="s">
        <v>2516</v>
      </c>
      <c r="B229" s="5" t="s">
        <v>2517</v>
      </c>
      <c r="D229" s="0" t="s">
        <v>2518</v>
      </c>
      <c r="E229" s="0" t="s">
        <v>2460</v>
      </c>
      <c r="F229" s="0" t="s">
        <v>1709</v>
      </c>
      <c r="G229" s="9" t="n">
        <v>194</v>
      </c>
      <c r="H229" s="20" t="s">
        <v>1853</v>
      </c>
      <c r="I229" s="20" t="s">
        <v>2519</v>
      </c>
      <c r="J229" s="20" t="s">
        <v>1909</v>
      </c>
      <c r="K229" s="20" t="s">
        <v>2520</v>
      </c>
      <c r="L229" s="20" t="s">
        <v>2521</v>
      </c>
      <c r="M229" s="5" t="s">
        <v>1704</v>
      </c>
      <c r="O229" s="0" t="n">
        <v>1</v>
      </c>
    </row>
    <row r="230" customFormat="false" ht="17.15" hidden="false" customHeight="false" outlineLevel="0" collapsed="false">
      <c r="A230" s="0" t="s">
        <v>2522</v>
      </c>
      <c r="B230" s="0" t="s">
        <v>1694</v>
      </c>
      <c r="C230" s="0" t="s">
        <v>535</v>
      </c>
      <c r="D230" s="0" t="s">
        <v>1689</v>
      </c>
      <c r="E230" s="0" t="s">
        <v>23</v>
      </c>
      <c r="F230" s="0" t="s">
        <v>1772</v>
      </c>
      <c r="G230" s="9" t="n">
        <v>16</v>
      </c>
      <c r="H230" s="20" t="s">
        <v>1853</v>
      </c>
      <c r="I230" s="20" t="s">
        <v>2523</v>
      </c>
      <c r="J230" s="20" t="s">
        <v>1855</v>
      </c>
      <c r="K230" s="20" t="s">
        <v>2423</v>
      </c>
      <c r="L230" s="20" t="s">
        <v>2424</v>
      </c>
      <c r="M230" s="5" t="s">
        <v>1704</v>
      </c>
      <c r="N230" s="5" t="s">
        <v>2524</v>
      </c>
      <c r="O230" s="0" t="n">
        <v>1</v>
      </c>
    </row>
    <row r="231" customFormat="false" ht="17.15" hidden="false" customHeight="false" outlineLevel="0" collapsed="false">
      <c r="A231" s="0" t="s">
        <v>2525</v>
      </c>
      <c r="B231" s="0" t="s">
        <v>1683</v>
      </c>
      <c r="C231" s="0" t="s">
        <v>506</v>
      </c>
      <c r="D231" s="0" t="s">
        <v>2526</v>
      </c>
      <c r="E231" s="0" t="s">
        <v>23</v>
      </c>
      <c r="F231" s="0" t="s">
        <v>1753</v>
      </c>
      <c r="G231" s="9" t="n">
        <v>92.7</v>
      </c>
      <c r="H231" s="20" t="s">
        <v>1853</v>
      </c>
      <c r="I231" s="5" t="s">
        <v>2527</v>
      </c>
      <c r="J231" s="20" t="s">
        <v>1855</v>
      </c>
      <c r="K231" s="20" t="s">
        <v>2528</v>
      </c>
      <c r="M231" s="5" t="s">
        <v>1704</v>
      </c>
      <c r="N231" s="20" t="s">
        <v>2529</v>
      </c>
      <c r="O231" s="0" t="n">
        <v>1</v>
      </c>
    </row>
    <row r="232" customFormat="false" ht="17.15" hidden="false" customHeight="false" outlineLevel="0" collapsed="false">
      <c r="A232" s="0" t="s">
        <v>2530</v>
      </c>
      <c r="B232" s="0" t="s">
        <v>1693</v>
      </c>
      <c r="C232" s="0" t="s">
        <v>530</v>
      </c>
      <c r="D232" s="0" t="s">
        <v>2149</v>
      </c>
      <c r="E232" s="0" t="s">
        <v>24</v>
      </c>
      <c r="F232" s="0" t="s">
        <v>1753</v>
      </c>
      <c r="G232" s="9" t="n">
        <v>260</v>
      </c>
      <c r="H232" s="20" t="s">
        <v>1853</v>
      </c>
      <c r="I232" s="5" t="s">
        <v>2527</v>
      </c>
      <c r="J232" s="20" t="s">
        <v>1909</v>
      </c>
      <c r="K232" s="20" t="s">
        <v>2528</v>
      </c>
      <c r="M232" s="5" t="s">
        <v>1704</v>
      </c>
      <c r="N232" s="20" t="s">
        <v>2531</v>
      </c>
      <c r="O232" s="0" t="n">
        <v>1</v>
      </c>
    </row>
    <row r="233" customFormat="false" ht="17.15" hidden="false" customHeight="false" outlineLevel="0" collapsed="false">
      <c r="A233" s="0" t="s">
        <v>2532</v>
      </c>
      <c r="B233" s="0" t="s">
        <v>1691</v>
      </c>
      <c r="C233" s="0" t="s">
        <v>519</v>
      </c>
      <c r="D233" s="0" t="s">
        <v>2204</v>
      </c>
      <c r="E233" s="0" t="s">
        <v>23</v>
      </c>
      <c r="F233" s="0" t="s">
        <v>1753</v>
      </c>
      <c r="G233" s="9" t="n">
        <v>96.4</v>
      </c>
      <c r="H233" s="20" t="s">
        <v>1853</v>
      </c>
      <c r="I233" s="5" t="s">
        <v>2527</v>
      </c>
      <c r="J233" s="20" t="s">
        <v>1855</v>
      </c>
      <c r="K233" s="20" t="s">
        <v>2528</v>
      </c>
      <c r="M233" s="5" t="s">
        <v>1704</v>
      </c>
      <c r="N233" s="20" t="s">
        <v>2533</v>
      </c>
      <c r="O23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4" min="14" style="0" width="40"/>
  </cols>
  <sheetData>
    <row r="1" customFormat="false" ht="17.15" hidden="false" customHeight="false" outlineLevel="0" collapsed="false">
      <c r="A1" s="0" t="s">
        <v>2534</v>
      </c>
    </row>
    <row r="3" customFormat="false" ht="15" hidden="false" customHeight="false" outlineLevel="0" collapsed="false">
      <c r="A3" s="6" t="s">
        <v>15</v>
      </c>
      <c r="B3" s="6" t="s">
        <v>14</v>
      </c>
      <c r="C3" s="6" t="s">
        <v>17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6" t="s">
        <v>20</v>
      </c>
    </row>
    <row r="4" customFormat="false" ht="17.15" hidden="false" customHeight="false" outlineLevel="0" collapsed="false">
      <c r="A4" s="21" t="s">
        <v>2535</v>
      </c>
      <c r="D4" s="29" t="n">
        <f aca="false">Players!D5*TK_CapexFacility_H100+Players!D6*TK_CapexFacility_GB200+Players!D7*TK_CapexFacility_GB300+Players!D8*TK_CapexFacility_VR200+Players!D9*TK_CapexFacility_RU</f>
        <v>12.67</v>
      </c>
      <c r="E4" s="29" t="n">
        <f aca="false">Players!E5*TK_CapexFacility_H100+Players!E6*TK_CapexFacility_GB200+Players!E7*TK_CapexFacility_GB300+Players!E8*TK_CapexFacility_VR200+Players!E9*TK_CapexFacility_RU</f>
        <v>12.67</v>
      </c>
      <c r="F4" s="29" t="n">
        <f aca="false">Players!F5*TK_CapexFacility_H100+Players!F6*TK_CapexFacility_GB200+Players!F7*TK_CapexFacility_GB300+Players!F8*TK_CapexFacility_VR200+Players!F9*TK_CapexFacility_RU</f>
        <v>12.67</v>
      </c>
      <c r="G4" s="29" t="n">
        <f aca="false">Players!G5*TK_CapexFacility_H100+Players!G6*TK_CapexFacility_GB200+Players!G7*TK_CapexFacility_GB300+Players!G8*TK_CapexFacility_VR200+Players!G9*TK_CapexFacility_RU</f>
        <v>12.67</v>
      </c>
      <c r="H4" s="29" t="n">
        <f aca="false">Players!H5*TK_CapexFacility_H100+Players!H6*TK_CapexFacility_GB200+Players!H7*TK_CapexFacility_GB300+Players!H8*TK_CapexFacility_VR200+Players!H9*TK_CapexFacility_RU</f>
        <v>12.67</v>
      </c>
      <c r="I4" s="29" t="n">
        <f aca="false">Players!I5*TK_CapexFacility_H100+Players!I6*TK_CapexFacility_GB200+Players!I7*TK_CapexFacility_GB300+Players!I8*TK_CapexFacility_VR200+Players!I9*TK_CapexFacility_RU</f>
        <v>12.67</v>
      </c>
      <c r="J4" s="29" t="n">
        <f aca="false">Players!J5*TK_CapexFacility_H100+Players!J6*TK_CapexFacility_GB200+Players!J7*TK_CapexFacility_GB300+Players!J8*TK_CapexFacility_VR200+Players!J9*TK_CapexFacility_RU</f>
        <v>12.67</v>
      </c>
      <c r="K4" s="29" t="n">
        <f aca="false">Players!K5*TK_CapexFacility_H100+Players!K6*TK_CapexFacility_GB200+Players!K7*TK_CapexFacility_GB300+Players!K8*TK_CapexFacility_VR200+Players!K9*TK_CapexFacility_RU</f>
        <v>12.67</v>
      </c>
      <c r="L4" s="29" t="n">
        <f aca="false">Players!L5*TK_CapexFacility_H100+Players!L6*TK_CapexFacility_GB200+Players!L7*TK_CapexFacility_GB300+Players!L8*TK_CapexFacility_VR200+Players!L9*TK_CapexFacility_RU</f>
        <v>12.67</v>
      </c>
      <c r="M4" s="29" t="n">
        <f aca="false">Players!M5*TK_CapexFacility_H100+Players!M6*TK_CapexFacility_GB200+Players!M7*TK_CapexFacility_GB300+Players!M8*TK_CapexFacility_VR200+Players!M9*TK_CapexFacility_RU</f>
        <v>12.67</v>
      </c>
    </row>
    <row r="5" customFormat="false" ht="15" hidden="false" customHeight="false" outlineLevel="0" collapsed="false">
      <c r="A5" s="5" t="s">
        <v>2536</v>
      </c>
      <c r="B5" s="0" t="s">
        <v>223</v>
      </c>
      <c r="C5" s="0" t="s">
        <v>225</v>
      </c>
      <c r="D5" s="29" t="n">
        <f aca="false">fac_dist</f>
        <v>2.55</v>
      </c>
      <c r="E5" s="29" t="n">
        <f aca="false">fac_dist</f>
        <v>2.55</v>
      </c>
      <c r="F5" s="29" t="n">
        <f aca="false">fac_dist</f>
        <v>2.55</v>
      </c>
      <c r="G5" s="29" t="n">
        <f aca="false">fac_dist</f>
        <v>2.55</v>
      </c>
      <c r="H5" s="29" t="n">
        <f aca="false">fac_dist</f>
        <v>2.55</v>
      </c>
      <c r="I5" s="29" t="n">
        <f aca="false">fac_dist</f>
        <v>2.55</v>
      </c>
      <c r="J5" s="29" t="n">
        <f aca="false">fac_dist</f>
        <v>2.55</v>
      </c>
      <c r="K5" s="29" t="n">
        <f aca="false">fac_dist</f>
        <v>2.55</v>
      </c>
      <c r="L5" s="29" t="n">
        <f aca="false">fac_dist</f>
        <v>2.55</v>
      </c>
      <c r="M5" s="29" t="n">
        <f aca="false">fac_dist</f>
        <v>2.55</v>
      </c>
    </row>
    <row r="6" customFormat="false" ht="17.15" hidden="false" customHeight="false" outlineLevel="0" collapsed="false">
      <c r="A6" s="5" t="s">
        <v>2537</v>
      </c>
      <c r="B6" s="0" t="s">
        <v>2538</v>
      </c>
      <c r="C6" s="0" t="s">
        <v>225</v>
      </c>
      <c r="D6" s="29" t="n">
        <f aca="false">fac_gen_mult*fac_gen_px</f>
        <v>1.6</v>
      </c>
      <c r="E6" s="29" t="n">
        <f aca="false">fac_gen_mult*fac_gen_px</f>
        <v>1.6</v>
      </c>
      <c r="F6" s="29" t="n">
        <f aca="false">fac_gen_mult*fac_gen_px</f>
        <v>1.6</v>
      </c>
      <c r="G6" s="29" t="n">
        <f aca="false">fac_gen_mult*fac_gen_px</f>
        <v>1.6</v>
      </c>
      <c r="H6" s="29" t="n">
        <f aca="false">fac_gen_mult*fac_gen_px</f>
        <v>1.6</v>
      </c>
      <c r="I6" s="29" t="n">
        <f aca="false">fac_gen_mult*fac_gen_px</f>
        <v>1.6</v>
      </c>
      <c r="J6" s="29" t="n">
        <f aca="false">fac_gen_mult*fac_gen_px</f>
        <v>1.6</v>
      </c>
      <c r="K6" s="29" t="n">
        <f aca="false">fac_gen_mult*fac_gen_px</f>
        <v>1.6</v>
      </c>
      <c r="L6" s="29" t="n">
        <f aca="false">fac_gen_mult*fac_gen_px</f>
        <v>1.6</v>
      </c>
      <c r="M6" s="29" t="n">
        <f aca="false">fac_gen_mult*fac_gen_px</f>
        <v>1.6</v>
      </c>
    </row>
    <row r="7" customFormat="false" ht="17.15" hidden="false" customHeight="false" outlineLevel="0" collapsed="false">
      <c r="A7" s="5" t="s">
        <v>2539</v>
      </c>
      <c r="B7" s="0" t="s">
        <v>237</v>
      </c>
      <c r="C7" s="0" t="s">
        <v>225</v>
      </c>
      <c r="D7" s="29" t="n">
        <f aca="false">fac_ups</f>
        <v>0.75</v>
      </c>
      <c r="E7" s="29" t="n">
        <f aca="false">fac_ups</f>
        <v>0.75</v>
      </c>
      <c r="F7" s="29" t="n">
        <f aca="false">fac_ups</f>
        <v>0.75</v>
      </c>
      <c r="G7" s="29" t="n">
        <f aca="false">fac_ups</f>
        <v>0.75</v>
      </c>
      <c r="H7" s="29" t="n">
        <f aca="false">fac_ups</f>
        <v>0.75</v>
      </c>
      <c r="I7" s="29" t="n">
        <f aca="false">fac_ups</f>
        <v>0.75</v>
      </c>
      <c r="J7" s="29" t="n">
        <f aca="false">fac_ups</f>
        <v>0.75</v>
      </c>
      <c r="K7" s="29" t="n">
        <f aca="false">fac_ups</f>
        <v>0.75</v>
      </c>
      <c r="L7" s="29" t="n">
        <f aca="false">fac_ups</f>
        <v>0.75</v>
      </c>
      <c r="M7" s="29" t="n">
        <f aca="false">fac_ups</f>
        <v>0.75</v>
      </c>
    </row>
    <row r="8" customFormat="false" ht="15" hidden="false" customHeight="false" outlineLevel="0" collapsed="false">
      <c r="A8" s="5" t="s">
        <v>2540</v>
      </c>
      <c r="B8" s="0" t="s">
        <v>240</v>
      </c>
      <c r="C8" s="0" t="s">
        <v>225</v>
      </c>
      <c r="D8" s="29" t="n">
        <f aca="false">fac_cool</f>
        <v>1.9</v>
      </c>
      <c r="E8" s="29" t="n">
        <f aca="false">fac_cool</f>
        <v>1.9</v>
      </c>
      <c r="F8" s="29" t="n">
        <f aca="false">fac_cool</f>
        <v>1.9</v>
      </c>
      <c r="G8" s="29" t="n">
        <f aca="false">fac_cool</f>
        <v>1.9</v>
      </c>
      <c r="H8" s="29" t="n">
        <f aca="false">fac_cool</f>
        <v>1.9</v>
      </c>
      <c r="I8" s="29" t="n">
        <f aca="false">fac_cool</f>
        <v>1.9</v>
      </c>
      <c r="J8" s="29" t="n">
        <f aca="false">fac_cool</f>
        <v>1.9</v>
      </c>
      <c r="K8" s="29" t="n">
        <f aca="false">fac_cool</f>
        <v>1.9</v>
      </c>
      <c r="L8" s="29" t="n">
        <f aca="false">fac_cool</f>
        <v>1.9</v>
      </c>
      <c r="M8" s="29" t="n">
        <f aca="false">fac_cool</f>
        <v>1.9</v>
      </c>
    </row>
    <row r="9" customFormat="false" ht="15" hidden="false" customHeight="false" outlineLevel="0" collapsed="false">
      <c r="A9" s="5" t="s">
        <v>2541</v>
      </c>
      <c r="B9" s="0" t="s">
        <v>243</v>
      </c>
      <c r="C9" s="0" t="s">
        <v>225</v>
      </c>
      <c r="D9" s="29" t="n">
        <f aca="false">fac_bldg</f>
        <v>1.7</v>
      </c>
      <c r="E9" s="29" t="n">
        <f aca="false">fac_bldg</f>
        <v>1.7</v>
      </c>
      <c r="F9" s="29" t="n">
        <f aca="false">fac_bldg</f>
        <v>1.7</v>
      </c>
      <c r="G9" s="29" t="n">
        <f aca="false">fac_bldg</f>
        <v>1.7</v>
      </c>
      <c r="H9" s="29" t="n">
        <f aca="false">fac_bldg</f>
        <v>1.7</v>
      </c>
      <c r="I9" s="29" t="n">
        <f aca="false">fac_bldg</f>
        <v>1.7</v>
      </c>
      <c r="J9" s="29" t="n">
        <f aca="false">fac_bldg</f>
        <v>1.7</v>
      </c>
      <c r="K9" s="29" t="n">
        <f aca="false">fac_bldg</f>
        <v>1.7</v>
      </c>
      <c r="L9" s="29" t="n">
        <f aca="false">fac_bldg</f>
        <v>1.7</v>
      </c>
      <c r="M9" s="29" t="n">
        <f aca="false">fac_bldg</f>
        <v>1.7</v>
      </c>
    </row>
    <row r="10" customFormat="false" ht="15" hidden="false" customHeight="false" outlineLevel="0" collapsed="false">
      <c r="A10" s="5" t="s">
        <v>2542</v>
      </c>
      <c r="B10" s="0" t="s">
        <v>246</v>
      </c>
      <c r="C10" s="0" t="s">
        <v>225</v>
      </c>
      <c r="D10" s="29" t="n">
        <f aca="false">fac_labor</f>
        <v>2.95</v>
      </c>
      <c r="E10" s="29" t="n">
        <f aca="false">fac_labor</f>
        <v>2.95</v>
      </c>
      <c r="F10" s="29" t="n">
        <f aca="false">fac_labor</f>
        <v>2.95</v>
      </c>
      <c r="G10" s="29" t="n">
        <f aca="false">fac_labor</f>
        <v>2.95</v>
      </c>
      <c r="H10" s="29" t="n">
        <f aca="false">fac_labor</f>
        <v>2.95</v>
      </c>
      <c r="I10" s="29" t="n">
        <f aca="false">fac_labor</f>
        <v>2.95</v>
      </c>
      <c r="J10" s="29" t="n">
        <f aca="false">fac_labor</f>
        <v>2.95</v>
      </c>
      <c r="K10" s="29" t="n">
        <f aca="false">fac_labor</f>
        <v>2.95</v>
      </c>
      <c r="L10" s="29" t="n">
        <f aca="false">fac_labor</f>
        <v>2.95</v>
      </c>
      <c r="M10" s="29" t="n">
        <f aca="false">fac_labor</f>
        <v>2.95</v>
      </c>
    </row>
    <row r="11" customFormat="false" ht="17.15" hidden="false" customHeight="false" outlineLevel="0" collapsed="false">
      <c r="A11" s="5" t="s">
        <v>2543</v>
      </c>
      <c r="B11" s="0" t="s">
        <v>2544</v>
      </c>
      <c r="C11" s="0" t="s">
        <v>225</v>
      </c>
      <c r="D11" s="29" t="n">
        <f aca="false">fac_prof0-(fac_gen_mult*fac_gen_px-fac_gen_px0)</f>
        <v>0.7</v>
      </c>
      <c r="E11" s="29" t="n">
        <f aca="false">fac_prof0-(fac_gen_mult*fac_gen_px-fac_gen_px0)</f>
        <v>0.7</v>
      </c>
      <c r="F11" s="29" t="n">
        <f aca="false">fac_prof0-(fac_gen_mult*fac_gen_px-fac_gen_px0)</f>
        <v>0.7</v>
      </c>
      <c r="G11" s="29" t="n">
        <f aca="false">fac_prof0-(fac_gen_mult*fac_gen_px-fac_gen_px0)</f>
        <v>0.7</v>
      </c>
      <c r="H11" s="29" t="n">
        <f aca="false">fac_prof0-(fac_gen_mult*fac_gen_px-fac_gen_px0)</f>
        <v>0.7</v>
      </c>
      <c r="I11" s="29" t="n">
        <f aca="false">fac_prof0-(fac_gen_mult*fac_gen_px-fac_gen_px0)</f>
        <v>0.7</v>
      </c>
      <c r="J11" s="29" t="n">
        <f aca="false">fac_prof0-(fac_gen_mult*fac_gen_px-fac_gen_px0)</f>
        <v>0.7</v>
      </c>
      <c r="K11" s="29" t="n">
        <f aca="false">fac_prof0-(fac_gen_mult*fac_gen_px-fac_gen_px0)</f>
        <v>0.7</v>
      </c>
      <c r="L11" s="29" t="n">
        <f aca="false">fac_prof0-(fac_gen_mult*fac_gen_px-fac_gen_px0)</f>
        <v>0.7</v>
      </c>
      <c r="M11" s="29" t="n">
        <f aca="false">fac_prof0-(fac_gen_mult*fac_gen_px-fac_gen_px0)</f>
        <v>0.7</v>
      </c>
    </row>
    <row r="12" customFormat="false" ht="17.15" hidden="false" customHeight="false" outlineLevel="0" collapsed="false">
      <c r="A12" s="5" t="s">
        <v>2545</v>
      </c>
      <c r="B12" s="0" t="s">
        <v>252</v>
      </c>
      <c r="C12" s="0" t="s">
        <v>225</v>
      </c>
      <c r="D12" s="29" t="n">
        <f aca="false">fac_net</f>
        <v>0.3</v>
      </c>
      <c r="E12" s="29" t="n">
        <f aca="false">fac_net</f>
        <v>0.3</v>
      </c>
      <c r="F12" s="29" t="n">
        <f aca="false">fac_net</f>
        <v>0.3</v>
      </c>
      <c r="G12" s="29" t="n">
        <f aca="false">fac_net</f>
        <v>0.3</v>
      </c>
      <c r="H12" s="29" t="n">
        <f aca="false">fac_net</f>
        <v>0.3</v>
      </c>
      <c r="I12" s="29" t="n">
        <f aca="false">fac_net</f>
        <v>0.3</v>
      </c>
      <c r="J12" s="29" t="n">
        <f aca="false">fac_net</f>
        <v>0.3</v>
      </c>
      <c r="K12" s="29" t="n">
        <f aca="false">fac_net</f>
        <v>0.3</v>
      </c>
      <c r="L12" s="29" t="n">
        <f aca="false">fac_net</f>
        <v>0.3</v>
      </c>
      <c r="M12" s="29" t="n">
        <f aca="false">fac_net</f>
        <v>0.3</v>
      </c>
    </row>
    <row r="13" customFormat="false" ht="15" hidden="false" customHeight="false" outlineLevel="0" collapsed="false">
      <c r="A13" s="5" t="s">
        <v>2546</v>
      </c>
      <c r="B13" s="0" t="s">
        <v>255</v>
      </c>
      <c r="C13" s="0" t="s">
        <v>225</v>
      </c>
      <c r="D13" s="29" t="n">
        <f aca="false">fac_land</f>
        <v>0.2</v>
      </c>
      <c r="E13" s="29" t="n">
        <f aca="false">fac_land</f>
        <v>0.2</v>
      </c>
      <c r="F13" s="29" t="n">
        <f aca="false">fac_land</f>
        <v>0.2</v>
      </c>
      <c r="G13" s="29" t="n">
        <f aca="false">fac_land</f>
        <v>0.2</v>
      </c>
      <c r="H13" s="29" t="n">
        <f aca="false">fac_land</f>
        <v>0.2</v>
      </c>
      <c r="I13" s="29" t="n">
        <f aca="false">fac_land</f>
        <v>0.2</v>
      </c>
      <c r="J13" s="29" t="n">
        <f aca="false">fac_land</f>
        <v>0.2</v>
      </c>
      <c r="K13" s="29" t="n">
        <f aca="false">fac_land</f>
        <v>0.2</v>
      </c>
      <c r="L13" s="29" t="n">
        <f aca="false">fac_land</f>
        <v>0.2</v>
      </c>
      <c r="M13" s="29" t="n">
        <f aca="false">fac_land</f>
        <v>0.2</v>
      </c>
    </row>
    <row r="14" customFormat="false" ht="17.15" hidden="false" customHeight="false" outlineLevel="0" collapsed="false">
      <c r="A14" s="5" t="s">
        <v>2547</v>
      </c>
      <c r="B14" s="0" t="s">
        <v>2548</v>
      </c>
      <c r="C14" s="0" t="s">
        <v>225</v>
      </c>
      <c r="D14" s="29" t="n">
        <f aca="false">D4-SUM(D5:D13)</f>
        <v>0.0200000000000014</v>
      </c>
      <c r="E14" s="29" t="n">
        <f aca="false">E4-SUM(E5:E13)</f>
        <v>0.0200000000000014</v>
      </c>
      <c r="F14" s="29" t="n">
        <f aca="false">F4-SUM(F5:F13)</f>
        <v>0.0200000000000014</v>
      </c>
      <c r="G14" s="29" t="n">
        <f aca="false">G4-SUM(G5:G13)</f>
        <v>0.0200000000000014</v>
      </c>
      <c r="H14" s="29" t="n">
        <f aca="false">H4-SUM(H5:H13)</f>
        <v>0.0200000000000014</v>
      </c>
      <c r="I14" s="29" t="n">
        <f aca="false">I4-SUM(I5:I13)</f>
        <v>0.0200000000000014</v>
      </c>
      <c r="J14" s="29" t="n">
        <f aca="false">J4-SUM(J5:J13)</f>
        <v>0.0200000000000014</v>
      </c>
      <c r="K14" s="29" t="n">
        <f aca="false">K4-SUM(K5:K13)</f>
        <v>0.0200000000000014</v>
      </c>
      <c r="L14" s="29" t="n">
        <f aca="false">L4-SUM(L5:L13)</f>
        <v>0.0200000000000014</v>
      </c>
      <c r="M14" s="29" t="n">
        <f aca="false">M4-SUM(M5:M13)</f>
        <v>0.0200000000000014</v>
      </c>
    </row>
    <row r="15" customFormat="false" ht="17.15" hidden="false" customHeight="false" outlineLevel="0" collapsed="false">
      <c r="A15" s="5" t="s">
        <v>2549</v>
      </c>
      <c r="C15" s="0" t="s">
        <v>225</v>
      </c>
      <c r="D15" s="29" t="n">
        <f aca="false">SUM(D5:D14)</f>
        <v>12.67</v>
      </c>
      <c r="E15" s="29" t="n">
        <f aca="false">SUM(E5:E14)</f>
        <v>12.67</v>
      </c>
      <c r="F15" s="29" t="n">
        <f aca="false">SUM(F5:F14)</f>
        <v>12.67</v>
      </c>
      <c r="G15" s="29" t="n">
        <f aca="false">SUM(G5:G14)</f>
        <v>12.67</v>
      </c>
      <c r="H15" s="29" t="n">
        <f aca="false">SUM(H5:H14)</f>
        <v>12.67</v>
      </c>
      <c r="I15" s="29" t="n">
        <f aca="false">SUM(I5:I14)</f>
        <v>12.67</v>
      </c>
      <c r="J15" s="29" t="n">
        <f aca="false">SUM(J5:J14)</f>
        <v>12.67</v>
      </c>
      <c r="K15" s="29" t="n">
        <f aca="false">SUM(K5:K14)</f>
        <v>12.67</v>
      </c>
      <c r="L15" s="29" t="n">
        <f aca="false">SUM(L5:L14)</f>
        <v>12.67</v>
      </c>
      <c r="M15" s="29" t="n">
        <f aca="false">SUM(M5:M14)</f>
        <v>12.67</v>
      </c>
    </row>
    <row r="16" customFormat="false" ht="17.15" hidden="false" customHeight="false" outlineLevel="0" collapsed="false">
      <c r="A16" s="5" t="s">
        <v>2550</v>
      </c>
      <c r="B16" s="0" t="s">
        <v>2551</v>
      </c>
      <c r="C16" s="0" t="s">
        <v>225</v>
      </c>
      <c r="D16" s="29" t="n">
        <f aca="false">self_gw*self_px</f>
        <v>2.304</v>
      </c>
      <c r="E16" s="29" t="n">
        <f aca="false">self_gw*self_px</f>
        <v>2.304</v>
      </c>
      <c r="F16" s="29" t="n">
        <f aca="false">self_gw*self_px</f>
        <v>2.304</v>
      </c>
      <c r="G16" s="29" t="n">
        <f aca="false">self_gw*self_px</f>
        <v>2.304</v>
      </c>
      <c r="H16" s="29" t="n">
        <f aca="false">self_gw*self_px</f>
        <v>2.304</v>
      </c>
      <c r="I16" s="29" t="n">
        <f aca="false">self_gw*self_px</f>
        <v>2.304</v>
      </c>
      <c r="J16" s="29" t="n">
        <f aca="false">self_gw*self_px</f>
        <v>2.304</v>
      </c>
      <c r="K16" s="29" t="n">
        <f aca="false">self_gw*self_px</f>
        <v>2.304</v>
      </c>
      <c r="L16" s="29" t="n">
        <f aca="false">self_gw*self_px</f>
        <v>2.304</v>
      </c>
      <c r="M16" s="29" t="n">
        <f aca="false">self_gw*self_px</f>
        <v>2.304</v>
      </c>
    </row>
    <row r="18" customFormat="false" ht="17.15" hidden="false" customHeight="false" outlineLevel="0" collapsed="false">
      <c r="A18" s="21" t="s">
        <v>2552</v>
      </c>
    </row>
    <row r="19" customFormat="false" ht="15" hidden="false" customHeight="false" outlineLevel="0" collapsed="false">
      <c r="A19" s="5" t="s">
        <v>2553</v>
      </c>
      <c r="C19" s="0" t="s">
        <v>77</v>
      </c>
      <c r="D19" s="29" t="n">
        <f aca="false">Players!D13</f>
        <v>1.2</v>
      </c>
      <c r="E19" s="29" t="n">
        <f aca="false">Players!E13</f>
        <v>1.2</v>
      </c>
      <c r="F19" s="29" t="n">
        <f aca="false">Players!F13</f>
        <v>1.2</v>
      </c>
      <c r="G19" s="29" t="n">
        <f aca="false">Players!G13</f>
        <v>1.2</v>
      </c>
      <c r="H19" s="29" t="n">
        <f aca="false">Players!H13</f>
        <v>1.2</v>
      </c>
      <c r="I19" s="29" t="n">
        <f aca="false">Players!I13</f>
        <v>1.2</v>
      </c>
      <c r="J19" s="29" t="n">
        <f aca="false">Players!J13</f>
        <v>1.2</v>
      </c>
      <c r="K19" s="29" t="n">
        <f aca="false">Players!K13</f>
        <v>1.2</v>
      </c>
      <c r="L19" s="29" t="n">
        <f aca="false">Players!L13</f>
        <v>1.2</v>
      </c>
      <c r="M19" s="29" t="n">
        <f aca="false">Players!M13</f>
        <v>1.2</v>
      </c>
    </row>
    <row r="20" customFormat="false" ht="15" hidden="false" customHeight="false" outlineLevel="0" collapsed="false">
      <c r="A20" s="5" t="s">
        <v>2554</v>
      </c>
      <c r="C20" s="0" t="s">
        <v>77</v>
      </c>
      <c r="D20" s="29" t="n">
        <f aca="false">fac_gen_mult</f>
        <v>1.6</v>
      </c>
      <c r="E20" s="29" t="n">
        <f aca="false">fac_gen_mult</f>
        <v>1.6</v>
      </c>
      <c r="F20" s="29" t="n">
        <f aca="false">fac_gen_mult</f>
        <v>1.6</v>
      </c>
      <c r="G20" s="29" t="n">
        <f aca="false">fac_gen_mult</f>
        <v>1.6</v>
      </c>
      <c r="H20" s="29" t="n">
        <f aca="false">fac_gen_mult</f>
        <v>1.6</v>
      </c>
      <c r="I20" s="29" t="n">
        <f aca="false">fac_gen_mult</f>
        <v>1.6</v>
      </c>
      <c r="J20" s="29" t="n">
        <f aca="false">fac_gen_mult</f>
        <v>1.6</v>
      </c>
      <c r="K20" s="29" t="n">
        <f aca="false">fac_gen_mult</f>
        <v>1.6</v>
      </c>
      <c r="L20" s="29" t="n">
        <f aca="false">fac_gen_mult</f>
        <v>1.6</v>
      </c>
      <c r="M20" s="29" t="n">
        <f aca="false">fac_gen_mult</f>
        <v>1.6</v>
      </c>
    </row>
    <row r="21" customFormat="false" ht="15" hidden="false" customHeight="false" outlineLevel="0" collapsed="false">
      <c r="A21" s="5" t="s">
        <v>2555</v>
      </c>
      <c r="C21" s="0" t="s">
        <v>77</v>
      </c>
      <c r="D21" s="29" t="n">
        <f aca="false">self_gw</f>
        <v>1.44</v>
      </c>
      <c r="E21" s="29" t="n">
        <f aca="false">self_gw</f>
        <v>1.44</v>
      </c>
      <c r="F21" s="29" t="n">
        <f aca="false">self_gw</f>
        <v>1.44</v>
      </c>
      <c r="G21" s="29" t="n">
        <f aca="false">self_gw</f>
        <v>1.44</v>
      </c>
      <c r="H21" s="29" t="n">
        <f aca="false">self_gw</f>
        <v>1.44</v>
      </c>
      <c r="I21" s="29" t="n">
        <f aca="false">self_gw</f>
        <v>1.44</v>
      </c>
      <c r="J21" s="29" t="n">
        <f aca="false">self_gw</f>
        <v>1.44</v>
      </c>
      <c r="K21" s="29" t="n">
        <f aca="false">self_gw</f>
        <v>1.44</v>
      </c>
      <c r="L21" s="29" t="n">
        <f aca="false">self_gw</f>
        <v>1.44</v>
      </c>
      <c r="M21" s="29" t="n">
        <f aca="false">self_gw</f>
        <v>1.44</v>
      </c>
    </row>
    <row r="22" customFormat="false" ht="17.15" hidden="false" customHeight="false" outlineLevel="0" collapsed="false">
      <c r="A22" s="5" t="s">
        <v>2556</v>
      </c>
      <c r="C22" s="0" t="s">
        <v>273</v>
      </c>
      <c r="D22" s="29" t="n">
        <f aca="false">xfmr_gva</f>
        <v>2.67</v>
      </c>
      <c r="E22" s="29" t="n">
        <f aca="false">xfmr_gva</f>
        <v>2.67</v>
      </c>
      <c r="F22" s="29" t="n">
        <f aca="false">xfmr_gva</f>
        <v>2.67</v>
      </c>
      <c r="G22" s="29" t="n">
        <f aca="false">xfmr_gva</f>
        <v>2.67</v>
      </c>
      <c r="H22" s="29" t="n">
        <f aca="false">xfmr_gva</f>
        <v>2.67</v>
      </c>
      <c r="I22" s="29" t="n">
        <f aca="false">xfmr_gva</f>
        <v>2.67</v>
      </c>
      <c r="J22" s="29" t="n">
        <f aca="false">xfmr_gva</f>
        <v>2.67</v>
      </c>
      <c r="K22" s="29" t="n">
        <f aca="false">xfmr_gva</f>
        <v>2.67</v>
      </c>
      <c r="L22" s="29" t="n">
        <f aca="false">xfmr_gva</f>
        <v>2.67</v>
      </c>
      <c r="M22" s="29" t="n">
        <f aca="false">xfmr_gva</f>
        <v>2.67</v>
      </c>
    </row>
    <row r="24" customFormat="false" ht="17.15" hidden="false" customHeight="false" outlineLevel="0" collapsed="false">
      <c r="A24" s="21" t="s">
        <v>2557</v>
      </c>
    </row>
    <row r="25" customFormat="false" ht="17.15" hidden="false" customHeight="false" outlineLevel="0" collapsed="false">
      <c r="A25" s="5" t="s">
        <v>2558</v>
      </c>
      <c r="C25" s="0" t="s">
        <v>77</v>
      </c>
      <c r="D25" s="29" t="n">
        <f aca="false">MAX(0,Deploy!D19)</f>
        <v>0</v>
      </c>
      <c r="E25" s="29" t="n">
        <f aca="false">MAX(0,Deploy!E19)</f>
        <v>1.61980834349181</v>
      </c>
      <c r="F25" s="29" t="n">
        <f aca="false">MAX(0,Deploy!F19)</f>
        <v>9.04912429484716</v>
      </c>
      <c r="G25" s="29" t="n">
        <f aca="false">MAX(0,Deploy!G19)</f>
        <v>12.5153714610592</v>
      </c>
      <c r="H25" s="29" t="n">
        <f aca="false">MAX(0,Deploy!H19)</f>
        <v>22.9572539260371</v>
      </c>
      <c r="I25" s="29" t="n">
        <f aca="false">MAX(0,Deploy!I19)</f>
        <v>26.9232927993498</v>
      </c>
      <c r="J25" s="29" t="n">
        <f aca="false">MAX(0,Deploy!J19)</f>
        <v>27.6634681049025</v>
      </c>
      <c r="K25" s="29" t="n">
        <f aca="false">MAX(0,Deploy!K19)</f>
        <v>28.1039834110243</v>
      </c>
      <c r="L25" s="29" t="n">
        <f aca="false">MAX(0,Deploy!L19)</f>
        <v>24.6492774813065</v>
      </c>
      <c r="M25" s="29" t="n">
        <f aca="false">MAX(0,Deploy!M19)</f>
        <v>16.8149790517012</v>
      </c>
    </row>
    <row r="26" customFormat="false" ht="15" hidden="false" customHeight="false" outlineLevel="0" collapsed="false">
      <c r="A26" s="5" t="s">
        <v>2559</v>
      </c>
      <c r="B26" s="0" t="s">
        <v>2560</v>
      </c>
      <c r="C26" s="0" t="s">
        <v>390</v>
      </c>
      <c r="D26" s="32" t="n">
        <f aca="false">D$25*D5</f>
        <v>0</v>
      </c>
      <c r="E26" s="32" t="n">
        <f aca="false">E$25*E5</f>
        <v>4.13051127590411</v>
      </c>
      <c r="F26" s="32" t="n">
        <f aca="false">F$25*F5</f>
        <v>23.0752669518602</v>
      </c>
      <c r="G26" s="32" t="n">
        <f aca="false">G$25*G5</f>
        <v>31.9141972257009</v>
      </c>
      <c r="H26" s="32" t="n">
        <f aca="false">H$25*H5</f>
        <v>58.5409975113945</v>
      </c>
      <c r="I26" s="32" t="n">
        <f aca="false">I$25*I5</f>
        <v>68.6543966383419</v>
      </c>
      <c r="J26" s="32" t="n">
        <f aca="false">J$25*J5</f>
        <v>70.5418436675014</v>
      </c>
      <c r="K26" s="32" t="n">
        <f aca="false">K$25*K5</f>
        <v>71.665157698112</v>
      </c>
      <c r="L26" s="32" t="n">
        <f aca="false">L$25*L5</f>
        <v>62.8556575773315</v>
      </c>
      <c r="M26" s="32" t="n">
        <f aca="false">M$25*M5</f>
        <v>42.8781965818382</v>
      </c>
    </row>
    <row r="27" customFormat="false" ht="17.15" hidden="false" customHeight="false" outlineLevel="0" collapsed="false">
      <c r="A27" s="5" t="s">
        <v>2561</v>
      </c>
      <c r="B27" s="0" t="s">
        <v>2562</v>
      </c>
      <c r="C27" s="0" t="s">
        <v>390</v>
      </c>
      <c r="D27" s="32" t="n">
        <f aca="false">D$25*D6</f>
        <v>0</v>
      </c>
      <c r="E27" s="32" t="n">
        <f aca="false">E$25*E6</f>
        <v>2.59169334958689</v>
      </c>
      <c r="F27" s="32" t="n">
        <f aca="false">F$25*F6</f>
        <v>14.4785988717555</v>
      </c>
      <c r="G27" s="32" t="n">
        <f aca="false">G$25*G6</f>
        <v>20.0245943376947</v>
      </c>
      <c r="H27" s="32" t="n">
        <f aca="false">H$25*H6</f>
        <v>36.7316062816593</v>
      </c>
      <c r="I27" s="32" t="n">
        <f aca="false">I$25*I6</f>
        <v>43.0772684789596</v>
      </c>
      <c r="J27" s="32" t="n">
        <f aca="false">J$25*J6</f>
        <v>44.261548967844</v>
      </c>
      <c r="K27" s="32" t="n">
        <f aca="false">K$25*K6</f>
        <v>44.9663734576389</v>
      </c>
      <c r="L27" s="32" t="n">
        <f aca="false">L$25*L6</f>
        <v>39.4388439700903</v>
      </c>
      <c r="M27" s="32" t="n">
        <f aca="false">M$25*M6</f>
        <v>26.903966482722</v>
      </c>
    </row>
    <row r="28" customFormat="false" ht="17.15" hidden="false" customHeight="false" outlineLevel="0" collapsed="false">
      <c r="A28" s="5" t="s">
        <v>2563</v>
      </c>
      <c r="B28" s="0" t="s">
        <v>2564</v>
      </c>
      <c r="C28" s="0" t="s">
        <v>390</v>
      </c>
      <c r="D28" s="32" t="n">
        <f aca="false">D$25*D7</f>
        <v>0</v>
      </c>
      <c r="E28" s="32" t="n">
        <f aca="false">E$25*E7</f>
        <v>1.21485625761885</v>
      </c>
      <c r="F28" s="32" t="n">
        <f aca="false">F$25*F7</f>
        <v>6.78684322113537</v>
      </c>
      <c r="G28" s="32" t="n">
        <f aca="false">G$25*G7</f>
        <v>9.38652859579439</v>
      </c>
      <c r="H28" s="32" t="n">
        <f aca="false">H$25*H7</f>
        <v>17.2179404445278</v>
      </c>
      <c r="I28" s="32" t="n">
        <f aca="false">I$25*I7</f>
        <v>20.1924695995123</v>
      </c>
      <c r="J28" s="32" t="n">
        <f aca="false">J$25*J7</f>
        <v>20.7476010786769</v>
      </c>
      <c r="K28" s="32" t="n">
        <f aca="false">K$25*K7</f>
        <v>21.0779875582682</v>
      </c>
      <c r="L28" s="32" t="n">
        <f aca="false">L$25*L7</f>
        <v>18.4869581109798</v>
      </c>
      <c r="M28" s="32" t="n">
        <f aca="false">M$25*M7</f>
        <v>12.6112342887759</v>
      </c>
    </row>
    <row r="29" customFormat="false" ht="15" hidden="false" customHeight="false" outlineLevel="0" collapsed="false">
      <c r="A29" s="5" t="s">
        <v>2565</v>
      </c>
      <c r="B29" s="0" t="s">
        <v>2566</v>
      </c>
      <c r="C29" s="0" t="s">
        <v>390</v>
      </c>
      <c r="D29" s="32" t="n">
        <f aca="false">D$25*D8</f>
        <v>0</v>
      </c>
      <c r="E29" s="32" t="n">
        <f aca="false">E$25*E8</f>
        <v>3.07763585263443</v>
      </c>
      <c r="F29" s="32" t="n">
        <f aca="false">F$25*F8</f>
        <v>17.1933361602096</v>
      </c>
      <c r="G29" s="32" t="n">
        <f aca="false">G$25*G8</f>
        <v>23.7792057760125</v>
      </c>
      <c r="H29" s="32" t="n">
        <f aca="false">H$25*H8</f>
        <v>43.6187824594704</v>
      </c>
      <c r="I29" s="32" t="n">
        <f aca="false">I$25*I8</f>
        <v>51.1542563187645</v>
      </c>
      <c r="J29" s="32" t="n">
        <f aca="false">J$25*J8</f>
        <v>52.5605893993147</v>
      </c>
      <c r="K29" s="32" t="n">
        <f aca="false">K$25*K8</f>
        <v>53.3975684809462</v>
      </c>
      <c r="L29" s="32" t="n">
        <f aca="false">L$25*L8</f>
        <v>46.8336272144823</v>
      </c>
      <c r="M29" s="32" t="n">
        <f aca="false">M$25*M8</f>
        <v>31.9484601982324</v>
      </c>
    </row>
    <row r="30" customFormat="false" ht="15" hidden="false" customHeight="false" outlineLevel="0" collapsed="false">
      <c r="A30" s="5" t="s">
        <v>2567</v>
      </c>
      <c r="B30" s="0" t="s">
        <v>2568</v>
      </c>
      <c r="C30" s="0" t="s">
        <v>390</v>
      </c>
      <c r="D30" s="32" t="n">
        <f aca="false">D$25*D9</f>
        <v>0</v>
      </c>
      <c r="E30" s="32" t="n">
        <f aca="false">E$25*E9</f>
        <v>2.75367418393607</v>
      </c>
      <c r="F30" s="32" t="n">
        <f aca="false">F$25*F9</f>
        <v>15.3835113012402</v>
      </c>
      <c r="G30" s="32" t="n">
        <f aca="false">G$25*G9</f>
        <v>21.2761314838006</v>
      </c>
      <c r="H30" s="32" t="n">
        <f aca="false">H$25*H9</f>
        <v>39.027331674263</v>
      </c>
      <c r="I30" s="32" t="n">
        <f aca="false">I$25*I9</f>
        <v>45.7695977588946</v>
      </c>
      <c r="J30" s="32" t="n">
        <f aca="false">J$25*J9</f>
        <v>47.0278957783342</v>
      </c>
      <c r="K30" s="32" t="n">
        <f aca="false">K$25*K9</f>
        <v>47.7767717987413</v>
      </c>
      <c r="L30" s="32" t="n">
        <f aca="false">L$25*L9</f>
        <v>41.903771718221</v>
      </c>
      <c r="M30" s="32" t="n">
        <f aca="false">M$25*M9</f>
        <v>28.5854643878921</v>
      </c>
    </row>
    <row r="31" customFormat="false" ht="15" hidden="false" customHeight="false" outlineLevel="0" collapsed="false">
      <c r="A31" s="5" t="s">
        <v>2569</v>
      </c>
      <c r="B31" s="0" t="s">
        <v>2570</v>
      </c>
      <c r="C31" s="0" t="s">
        <v>390</v>
      </c>
      <c r="D31" s="32" t="n">
        <f aca="false">D$25*D10</f>
        <v>0</v>
      </c>
      <c r="E31" s="32" t="n">
        <f aca="false">E$25*E10</f>
        <v>4.77843461330083</v>
      </c>
      <c r="F31" s="32" t="n">
        <f aca="false">F$25*F10</f>
        <v>26.6949166697991</v>
      </c>
      <c r="G31" s="32" t="n">
        <f aca="false">G$25*G10</f>
        <v>36.9203458101246</v>
      </c>
      <c r="H31" s="32" t="n">
        <f aca="false">H$25*H10</f>
        <v>67.7238990818093</v>
      </c>
      <c r="I31" s="32" t="n">
        <f aca="false">I$25*I10</f>
        <v>79.4237137580818</v>
      </c>
      <c r="J31" s="32" t="n">
        <f aca="false">J$25*J10</f>
        <v>81.6072309094624</v>
      </c>
      <c r="K31" s="32" t="n">
        <f aca="false">K$25*K10</f>
        <v>82.9067510625217</v>
      </c>
      <c r="L31" s="32" t="n">
        <f aca="false">L$25*L10</f>
        <v>72.7153685698541</v>
      </c>
      <c r="M31" s="32" t="n">
        <f aca="false">M$25*M10</f>
        <v>49.6041882025187</v>
      </c>
    </row>
    <row r="32" customFormat="false" ht="17.15" hidden="false" customHeight="false" outlineLevel="0" collapsed="false">
      <c r="A32" s="5" t="s">
        <v>2571</v>
      </c>
      <c r="B32" s="0" t="s">
        <v>2572</v>
      </c>
      <c r="C32" s="0" t="s">
        <v>390</v>
      </c>
      <c r="D32" s="32" t="n">
        <f aca="false">D$25*D11</f>
        <v>0</v>
      </c>
      <c r="E32" s="32" t="n">
        <f aca="false">E$25*E11</f>
        <v>1.13386584044426</v>
      </c>
      <c r="F32" s="32" t="n">
        <f aca="false">F$25*F11</f>
        <v>6.33438700639301</v>
      </c>
      <c r="G32" s="32" t="n">
        <f aca="false">G$25*G11</f>
        <v>8.76076002274143</v>
      </c>
      <c r="H32" s="32" t="n">
        <f aca="false">H$25*H11</f>
        <v>16.0700777482259</v>
      </c>
      <c r="I32" s="32" t="n">
        <f aca="false">I$25*I11</f>
        <v>18.8463049595448</v>
      </c>
      <c r="J32" s="32" t="n">
        <f aca="false">J$25*J11</f>
        <v>19.3644276734317</v>
      </c>
      <c r="K32" s="32" t="n">
        <f aca="false">K$25*K11</f>
        <v>19.672788387717</v>
      </c>
      <c r="L32" s="32" t="n">
        <f aca="false">L$25*L11</f>
        <v>17.2544942369145</v>
      </c>
      <c r="M32" s="32" t="n">
        <f aca="false">M$25*M11</f>
        <v>11.7704853361909</v>
      </c>
    </row>
    <row r="33" customFormat="false" ht="17.15" hidden="false" customHeight="false" outlineLevel="0" collapsed="false">
      <c r="A33" s="5" t="s">
        <v>2573</v>
      </c>
      <c r="B33" s="0" t="s">
        <v>2574</v>
      </c>
      <c r="C33" s="0" t="s">
        <v>390</v>
      </c>
      <c r="D33" s="32" t="n">
        <f aca="false">D$25*D12</f>
        <v>0</v>
      </c>
      <c r="E33" s="32" t="n">
        <f aca="false">E$25*E12</f>
        <v>0.485942503047542</v>
      </c>
      <c r="F33" s="32" t="n">
        <f aca="false">F$25*F12</f>
        <v>2.71473728845415</v>
      </c>
      <c r="G33" s="32" t="n">
        <f aca="false">G$25*G12</f>
        <v>3.75461143831776</v>
      </c>
      <c r="H33" s="32" t="n">
        <f aca="false">H$25*H12</f>
        <v>6.88717617781112</v>
      </c>
      <c r="I33" s="32" t="n">
        <f aca="false">I$25*I12</f>
        <v>8.07698783980493</v>
      </c>
      <c r="J33" s="32" t="n">
        <f aca="false">J$25*J12</f>
        <v>8.29904043147075</v>
      </c>
      <c r="K33" s="32" t="n">
        <f aca="false">K$25*K12</f>
        <v>8.4311950233073</v>
      </c>
      <c r="L33" s="32" t="n">
        <f aca="false">L$25*L12</f>
        <v>7.39478324439194</v>
      </c>
      <c r="M33" s="32" t="n">
        <f aca="false">M$25*M12</f>
        <v>5.04449371551037</v>
      </c>
    </row>
    <row r="34" customFormat="false" ht="15" hidden="false" customHeight="false" outlineLevel="0" collapsed="false">
      <c r="A34" s="5" t="s">
        <v>2575</v>
      </c>
      <c r="B34" s="0" t="s">
        <v>2576</v>
      </c>
      <c r="C34" s="0" t="s">
        <v>390</v>
      </c>
      <c r="D34" s="32" t="n">
        <f aca="false">D$25*D13</f>
        <v>0</v>
      </c>
      <c r="E34" s="32" t="n">
        <f aca="false">E$25*E13</f>
        <v>0.323961668698361</v>
      </c>
      <c r="F34" s="32" t="n">
        <f aca="false">F$25*F13</f>
        <v>1.80982485896943</v>
      </c>
      <c r="G34" s="32" t="n">
        <f aca="false">G$25*G13</f>
        <v>2.50307429221184</v>
      </c>
      <c r="H34" s="32" t="n">
        <f aca="false">H$25*H13</f>
        <v>4.59145078520741</v>
      </c>
      <c r="I34" s="32" t="n">
        <f aca="false">I$25*I13</f>
        <v>5.38465855986995</v>
      </c>
      <c r="J34" s="32" t="n">
        <f aca="false">J$25*J13</f>
        <v>5.5326936209805</v>
      </c>
      <c r="K34" s="32" t="n">
        <f aca="false">K$25*K13</f>
        <v>5.62079668220486</v>
      </c>
      <c r="L34" s="32" t="n">
        <f aca="false">L$25*L13</f>
        <v>4.92985549626129</v>
      </c>
      <c r="M34" s="32" t="n">
        <f aca="false">M$25*M13</f>
        <v>3.36299581034025</v>
      </c>
    </row>
    <row r="35" customFormat="false" ht="15" hidden="false" customHeight="false" outlineLevel="0" collapsed="false">
      <c r="A35" s="5" t="s">
        <v>2577</v>
      </c>
      <c r="B35" s="0" t="s">
        <v>2578</v>
      </c>
      <c r="C35" s="0" t="s">
        <v>390</v>
      </c>
      <c r="D35" s="32" t="n">
        <f aca="false">D$25*D14</f>
        <v>0</v>
      </c>
      <c r="E35" s="32" t="n">
        <f aca="false">E$25*E14</f>
        <v>0.0323961668698383</v>
      </c>
      <c r="F35" s="32" t="n">
        <f aca="false">F$25*F14</f>
        <v>0.180982485896955</v>
      </c>
      <c r="G35" s="32" t="n">
        <f aca="false">G$25*G14</f>
        <v>0.250307429221201</v>
      </c>
      <c r="H35" s="32" t="n">
        <f aca="false">H$25*H14</f>
        <v>0.459145078520772</v>
      </c>
      <c r="I35" s="32" t="n">
        <f aca="false">I$25*I14</f>
        <v>0.538465855987032</v>
      </c>
      <c r="J35" s="32" t="n">
        <f aca="false">J$25*J14</f>
        <v>0.553269362098087</v>
      </c>
      <c r="K35" s="32" t="n">
        <f aca="false">K$25*K14</f>
        <v>0.562079668220524</v>
      </c>
      <c r="L35" s="32" t="n">
        <f aca="false">L$25*L14</f>
        <v>0.492985549626162</v>
      </c>
      <c r="M35" s="32" t="n">
        <f aca="false">M$25*M14</f>
        <v>0.336299581034048</v>
      </c>
    </row>
    <row r="36" customFormat="false" ht="17.15" hidden="false" customHeight="false" outlineLevel="0" collapsed="false">
      <c r="A36" s="5" t="s">
        <v>2579</v>
      </c>
      <c r="C36" s="0" t="s">
        <v>390</v>
      </c>
      <c r="D36" s="32" t="n">
        <f aca="false">SUM(D26:D35)</f>
        <v>0</v>
      </c>
      <c r="E36" s="32" t="n">
        <f aca="false">SUM(E26:E35)</f>
        <v>20.5229717120412</v>
      </c>
      <c r="F36" s="32" t="n">
        <f aca="false">SUM(F26:F35)</f>
        <v>114.652404815713</v>
      </c>
      <c r="G36" s="32" t="n">
        <f aca="false">SUM(G26:G35)</f>
        <v>158.56975641162</v>
      </c>
      <c r="H36" s="32" t="n">
        <f aca="false">SUM(H26:H35)</f>
        <v>290.86840724289</v>
      </c>
      <c r="I36" s="32" t="n">
        <f aca="false">SUM(I26:I35)</f>
        <v>341.118119767762</v>
      </c>
      <c r="J36" s="32" t="n">
        <f aca="false">SUM(J26:J35)</f>
        <v>350.496140889115</v>
      </c>
      <c r="K36" s="32" t="n">
        <f aca="false">SUM(K26:K35)</f>
        <v>356.077469817678</v>
      </c>
      <c r="L36" s="32" t="n">
        <f aca="false">SUM(L26:L35)</f>
        <v>312.306345688153</v>
      </c>
      <c r="M36" s="32" t="n">
        <f aca="false">SUM(M26:M35)</f>
        <v>213.045784585055</v>
      </c>
    </row>
    <row r="37" customFormat="false" ht="17.15" hidden="false" customHeight="false" outlineLevel="0" collapsed="false">
      <c r="A37" s="5" t="s">
        <v>2580</v>
      </c>
      <c r="B37" s="0" t="s">
        <v>2581</v>
      </c>
      <c r="C37" s="0" t="s">
        <v>390</v>
      </c>
      <c r="D37" s="32" t="n">
        <f aca="false">D$25*self_sh*D16</f>
        <v>0</v>
      </c>
      <c r="E37" s="32" t="n">
        <f aca="false">E$25*self_sh*E16</f>
        <v>0.746407684681024</v>
      </c>
      <c r="F37" s="32" t="n">
        <f aca="false">F$25*self_sh*F16</f>
        <v>4.16983647506557</v>
      </c>
      <c r="G37" s="32" t="n">
        <f aca="false">G$25*self_sh*G16</f>
        <v>5.76708316925607</v>
      </c>
      <c r="H37" s="32" t="n">
        <f aca="false">H$25*self_sh*H16</f>
        <v>10.5787026091179</v>
      </c>
      <c r="I37" s="32" t="n">
        <f aca="false">I$25*self_sh*I16</f>
        <v>12.4062533219404</v>
      </c>
      <c r="J37" s="32" t="n">
        <f aca="false">J$25*self_sh*J16</f>
        <v>12.7473261027391</v>
      </c>
      <c r="K37" s="32" t="n">
        <f aca="false">K$25*self_sh*K16</f>
        <v>12.9503155558</v>
      </c>
      <c r="L37" s="32" t="n">
        <f aca="false">L$25*self_sh*L16</f>
        <v>11.358387063386</v>
      </c>
      <c r="M37" s="32" t="n">
        <f aca="false">M$25*self_sh*M16</f>
        <v>7.74834234702393</v>
      </c>
    </row>
    <row r="38" customFormat="false" ht="17.15" hidden="false" customHeight="false" outlineLevel="0" collapsed="false">
      <c r="A38" s="5" t="s">
        <v>2582</v>
      </c>
      <c r="C38" s="0" t="s">
        <v>77</v>
      </c>
      <c r="D38" s="32" t="n">
        <f aca="false">D$25*fac_gen_mult</f>
        <v>0</v>
      </c>
      <c r="E38" s="32" t="n">
        <f aca="false">E$25*fac_gen_mult</f>
        <v>2.59169334958689</v>
      </c>
      <c r="F38" s="32" t="n">
        <f aca="false">F$25*fac_gen_mult</f>
        <v>14.4785988717555</v>
      </c>
      <c r="G38" s="32" t="n">
        <f aca="false">G$25*fac_gen_mult</f>
        <v>20.0245943376947</v>
      </c>
      <c r="H38" s="32" t="n">
        <f aca="false">H$25*fac_gen_mult</f>
        <v>36.7316062816593</v>
      </c>
      <c r="I38" s="32" t="n">
        <f aca="false">I$25*fac_gen_mult</f>
        <v>43.0772684789596</v>
      </c>
      <c r="J38" s="32" t="n">
        <f aca="false">J$25*fac_gen_mult</f>
        <v>44.261548967844</v>
      </c>
      <c r="K38" s="32" t="n">
        <f aca="false">K$25*fac_gen_mult</f>
        <v>44.9663734576389</v>
      </c>
      <c r="L38" s="32" t="n">
        <f aca="false">L$25*fac_gen_mult</f>
        <v>39.4388439700903</v>
      </c>
      <c r="M38" s="32" t="n">
        <f aca="false">M$25*fac_gen_mult</f>
        <v>26.903966482722</v>
      </c>
    </row>
    <row r="39" customFormat="false" ht="17.15" hidden="false" customHeight="false" outlineLevel="0" collapsed="false">
      <c r="A39" s="5" t="s">
        <v>2583</v>
      </c>
      <c r="C39" s="0" t="s">
        <v>77</v>
      </c>
      <c r="D39" s="32" t="n">
        <f aca="false">D$25*self_sh*self_gw</f>
        <v>0</v>
      </c>
      <c r="E39" s="32" t="n">
        <f aca="false">E$25*self_sh*self_gw</f>
        <v>0.46650480292564</v>
      </c>
      <c r="F39" s="32" t="n">
        <f aca="false">F$25*self_sh*self_gw</f>
        <v>2.60614779691598</v>
      </c>
      <c r="G39" s="32" t="n">
        <f aca="false">G$25*self_sh*self_gw</f>
        <v>3.60442698078505</v>
      </c>
      <c r="H39" s="32" t="n">
        <f aca="false">H$25*self_sh*self_gw</f>
        <v>6.61168913069867</v>
      </c>
      <c r="I39" s="32" t="n">
        <f aca="false">I$25*self_sh*self_gw</f>
        <v>7.75390832621273</v>
      </c>
      <c r="J39" s="32" t="n">
        <f aca="false">J$25*self_sh*self_gw</f>
        <v>7.96707881421192</v>
      </c>
      <c r="K39" s="32" t="n">
        <f aca="false">K$25*self_sh*self_gw</f>
        <v>8.093947222375</v>
      </c>
      <c r="L39" s="32" t="n">
        <f aca="false">L$25*self_sh*self_gw</f>
        <v>7.09899191461626</v>
      </c>
      <c r="M39" s="32" t="n">
        <f aca="false">M$25*self_sh*self_gw</f>
        <v>4.84271396688996</v>
      </c>
    </row>
    <row r="41" customFormat="false" ht="17.15" hidden="false" customHeight="false" outlineLevel="0" collapsed="false">
      <c r="A41" s="21" t="s">
        <v>2584</v>
      </c>
      <c r="D41" s="23" t="n">
        <f aca="false">btm_run/btm_plan</f>
        <v>0.0222222222222222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4" style="0" width="28"/>
  </cols>
  <sheetData>
    <row r="1" customFormat="false" ht="17.15" hidden="false" customHeight="false" outlineLevel="0" collapsed="false">
      <c r="A1" s="0" t="s">
        <v>2585</v>
      </c>
    </row>
    <row r="3" customFormat="false" ht="17.15" hidden="false" customHeight="false" outlineLevel="0" collapsed="false">
      <c r="A3" s="6" t="s">
        <v>2586</v>
      </c>
      <c r="B3" s="6" t="s">
        <v>14</v>
      </c>
      <c r="C3" s="7" t="s">
        <v>2587</v>
      </c>
      <c r="D3" s="7" t="s">
        <v>2588</v>
      </c>
      <c r="E3" s="6" t="s">
        <v>2589</v>
      </c>
      <c r="F3" s="6" t="s">
        <v>2590</v>
      </c>
    </row>
    <row r="4" customFormat="false" ht="17.15" hidden="false" customHeight="false" outlineLevel="0" collapsed="false">
      <c r="A4" s="5" t="s">
        <v>2591</v>
      </c>
      <c r="B4" s="0" t="s">
        <v>2592</v>
      </c>
      <c r="C4" s="38" t="n">
        <v>0.516</v>
      </c>
      <c r="D4" s="20" t="s">
        <v>2593</v>
      </c>
      <c r="E4" s="20" t="s">
        <v>2594</v>
      </c>
      <c r="F4" s="20" t="s">
        <v>2595</v>
      </c>
    </row>
    <row r="5" customFormat="false" ht="17.15" hidden="false" customHeight="false" outlineLevel="0" collapsed="false">
      <c r="A5" s="5" t="s">
        <v>2596</v>
      </c>
      <c r="B5" s="0" t="s">
        <v>2597</v>
      </c>
      <c r="C5" s="38" t="n">
        <v>0.135</v>
      </c>
      <c r="D5" s="20" t="s">
        <v>2598</v>
      </c>
      <c r="E5" s="20" t="s">
        <v>2599</v>
      </c>
      <c r="F5" s="20" t="s">
        <v>2595</v>
      </c>
    </row>
    <row r="6" customFormat="false" ht="17.15" hidden="false" customHeight="false" outlineLevel="0" collapsed="false">
      <c r="A6" s="5" t="s">
        <v>2600</v>
      </c>
      <c r="B6" s="0" t="s">
        <v>2601</v>
      </c>
      <c r="C6" s="38" t="n">
        <v>0.175</v>
      </c>
      <c r="D6" s="20" t="s">
        <v>2602</v>
      </c>
      <c r="E6" s="20" t="s">
        <v>2594</v>
      </c>
      <c r="F6" s="20" t="s">
        <v>2595</v>
      </c>
    </row>
    <row r="7" customFormat="false" ht="17.15" hidden="false" customHeight="false" outlineLevel="0" collapsed="false">
      <c r="A7" s="5" t="s">
        <v>2603</v>
      </c>
      <c r="B7" s="0" t="s">
        <v>2604</v>
      </c>
      <c r="C7" s="38" t="n">
        <v>0.054</v>
      </c>
      <c r="D7" s="20" t="s">
        <v>2605</v>
      </c>
      <c r="E7" s="20" t="s">
        <v>2594</v>
      </c>
      <c r="F7" s="20" t="s">
        <v>2595</v>
      </c>
    </row>
    <row r="8" customFormat="false" ht="17.15" hidden="false" customHeight="false" outlineLevel="0" collapsed="false">
      <c r="A8" s="5" t="s">
        <v>2606</v>
      </c>
      <c r="B8" s="0" t="s">
        <v>2607</v>
      </c>
      <c r="C8" s="38" t="n">
        <v>0.003</v>
      </c>
      <c r="D8" s="20" t="s">
        <v>2608</v>
      </c>
      <c r="E8" s="20" t="s">
        <v>2609</v>
      </c>
      <c r="F8" s="20" t="s">
        <v>2595</v>
      </c>
    </row>
    <row r="9" customFormat="false" ht="17.15" hidden="false" customHeight="false" outlineLevel="0" collapsed="false">
      <c r="A9" s="5" t="s">
        <v>2610</v>
      </c>
      <c r="B9" s="0" t="s">
        <v>2611</v>
      </c>
      <c r="C9" s="38" t="n">
        <v>0.063</v>
      </c>
      <c r="D9" s="20" t="s">
        <v>2612</v>
      </c>
      <c r="E9" s="20" t="s">
        <v>2613</v>
      </c>
      <c r="F9" s="20" t="s">
        <v>2595</v>
      </c>
    </row>
    <row r="10" customFormat="false" ht="17.15" hidden="false" customHeight="false" outlineLevel="0" collapsed="false">
      <c r="A10" s="5" t="s">
        <v>2614</v>
      </c>
      <c r="B10" s="0" t="s">
        <v>2615</v>
      </c>
      <c r="C10" s="38" t="n">
        <v>0.046</v>
      </c>
      <c r="D10" s="20" t="s">
        <v>2616</v>
      </c>
      <c r="E10" s="20" t="s">
        <v>2617</v>
      </c>
      <c r="F10" s="20" t="s">
        <v>2595</v>
      </c>
    </row>
    <row r="11" customFormat="false" ht="17.15" hidden="false" customHeight="false" outlineLevel="0" collapsed="false">
      <c r="A11" s="5" t="s">
        <v>2618</v>
      </c>
      <c r="B11" s="0" t="s">
        <v>2619</v>
      </c>
      <c r="C11" s="38" t="n">
        <v>0.008</v>
      </c>
      <c r="D11" s="20" t="s">
        <v>2620</v>
      </c>
      <c r="E11" s="20" t="s">
        <v>2594</v>
      </c>
      <c r="F11" s="20" t="s">
        <v>2595</v>
      </c>
    </row>
    <row r="12" customFormat="false" ht="17.15" hidden="false" customHeight="false" outlineLevel="0" collapsed="false">
      <c r="A12" s="21" t="s">
        <v>2621</v>
      </c>
      <c r="C12" s="23" t="n">
        <f aca="false">SUM(C4:C11)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</cols>
  <sheetData>
    <row r="1" customFormat="false" ht="17.15" hidden="false" customHeight="false" outlineLevel="0" collapsed="false">
      <c r="A1" s="0" t="s">
        <v>2622</v>
      </c>
    </row>
    <row r="3" customFormat="false" ht="15" hidden="false" customHeight="false" outlineLevel="0" collapsed="false">
      <c r="A3" s="6" t="s">
        <v>15</v>
      </c>
      <c r="B3" s="6" t="s">
        <v>14</v>
      </c>
      <c r="C3" s="6" t="s">
        <v>17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6" t="s">
        <v>20</v>
      </c>
    </row>
    <row r="4" customFormat="false" ht="17.15" hidden="false" customHeight="false" outlineLevel="0" collapsed="false">
      <c r="A4" s="5" t="s">
        <v>2623</v>
      </c>
      <c r="C4" s="0" t="s">
        <v>77</v>
      </c>
      <c r="D4" s="29" t="n">
        <f aca="false">Facility!D25</f>
        <v>0</v>
      </c>
      <c r="E4" s="29" t="n">
        <f aca="false">Facility!E25</f>
        <v>1.61980834349181</v>
      </c>
      <c r="F4" s="29" t="n">
        <f aca="false">Facility!F25</f>
        <v>9.04912429484716</v>
      </c>
      <c r="G4" s="29" t="n">
        <f aca="false">Facility!G25</f>
        <v>12.5153714610592</v>
      </c>
      <c r="H4" s="29" t="n">
        <f aca="false">Facility!H25</f>
        <v>22.9572539260371</v>
      </c>
      <c r="I4" s="29" t="n">
        <f aca="false">Facility!I25</f>
        <v>26.9232927993498</v>
      </c>
      <c r="J4" s="29" t="n">
        <f aca="false">Facility!J25</f>
        <v>27.6634681049025</v>
      </c>
      <c r="K4" s="29" t="n">
        <f aca="false">Facility!K25</f>
        <v>28.1039834110243</v>
      </c>
      <c r="L4" s="29" t="n">
        <f aca="false">Facility!L25</f>
        <v>24.6492774813065</v>
      </c>
      <c r="M4" s="29" t="n">
        <f aca="false">Facility!M25</f>
        <v>16.8149790517012</v>
      </c>
    </row>
    <row r="5" customFormat="false" ht="17.15" hidden="false" customHeight="false" outlineLevel="0" collapsed="false">
      <c r="A5" s="5" t="s">
        <v>2624</v>
      </c>
      <c r="C5" s="0" t="s">
        <v>225</v>
      </c>
      <c r="D5" s="29" t="n">
        <f aca="false">(1-Players!D12)*(Players!D5*TK_CapexIT_H100+Players!D6*TK_CapexIT_GB200+Players!D7*TK_CapexIT_GB300+Players!D8*TK_CapexIT_VR200+Players!D9*TK_CapexIT_RU)+Players!D12*spend_nnv_hold*TK_CapexIT_VR200</f>
        <v>26.9558138563705</v>
      </c>
      <c r="E5" s="29" t="n">
        <f aca="false">(1-Players!E12)*(Players!E5*TK_CapexIT_H100+Players!E6*TK_CapexIT_GB200+Players!E7*TK_CapexIT_GB300+Players!E8*TK_CapexIT_VR200+Players!E9*TK_CapexIT_RU)+Players!E12*spend_nnv_hold*TK_CapexIT_VR200</f>
        <v>26.9558138563705</v>
      </c>
      <c r="F5" s="29" t="n">
        <f aca="false">(1-Players!F12)*(Players!F5*TK_CapexIT_H100+Players!F6*TK_CapexIT_GB200+Players!F7*TK_CapexIT_GB300+Players!F8*TK_CapexIT_VR200+Players!F9*TK_CapexIT_RU)+Players!F12*spend_nnv_hold*TK_CapexIT_VR200</f>
        <v>25.8122711816658</v>
      </c>
      <c r="G5" s="29" t="n">
        <f aca="false">(1-Players!G12)*(Players!G5*TK_CapexIT_H100+Players!G6*TK_CapexIT_GB200+Players!G7*TK_CapexIT_GB300+Players!G8*TK_CapexIT_VR200+Players!G9*TK_CapexIT_RU)+Players!G12*spend_nnv_hold*TK_CapexIT_VR200</f>
        <v>31.4532830958991</v>
      </c>
      <c r="H5" s="29" t="n">
        <f aca="false">(1-Players!H12)*(Players!H5*TK_CapexIT_H100+Players!H6*TK_CapexIT_GB200+Players!H7*TK_CapexIT_GB300+Players!H8*TK_CapexIT_VR200+Players!H9*TK_CapexIT_RU)+Players!H12*spend_nnv_hold*TK_CapexIT_VR200</f>
        <v>34.7470424338587</v>
      </c>
      <c r="I5" s="29" t="n">
        <f aca="false">(1-Players!I12)*(Players!I5*TK_CapexIT_H100+Players!I6*TK_CapexIT_GB200+Players!I7*TK_CapexIT_GB300+Players!I8*TK_CapexIT_VR200+Players!I9*TK_CapexIT_RU)+Players!I12*spend_nnv_hold*TK_CapexIT_VR200</f>
        <v>36.9782986900226</v>
      </c>
      <c r="J5" s="29" t="n">
        <f aca="false">(1-Players!J12)*(Players!J5*TK_CapexIT_H100+Players!J6*TK_CapexIT_GB200+Players!J7*TK_CapexIT_GB300+Players!J8*TK_CapexIT_VR200+Players!J9*TK_CapexIT_RU)+Players!J12*spend_nnv_hold*TK_CapexIT_VR200</f>
        <v>36.9368565633779</v>
      </c>
      <c r="K5" s="29" t="n">
        <f aca="false">(1-Players!K12)*(Players!K5*TK_CapexIT_H100+Players!K6*TK_CapexIT_GB200+Players!K7*TK_CapexIT_GB300+Players!K8*TK_CapexIT_VR200+Players!K9*TK_CapexIT_RU)+Players!K12*spend_nnv_hold*TK_CapexIT_VR200</f>
        <v>36.9368565633779</v>
      </c>
      <c r="L5" s="29" t="n">
        <f aca="false">(1-Players!L12)*(Players!L5*TK_CapexIT_H100+Players!L6*TK_CapexIT_GB200+Players!L7*TK_CapexIT_GB300+Players!L8*TK_CapexIT_VR200+Players!L9*TK_CapexIT_RU)+Players!L12*spend_nnv_hold*TK_CapexIT_VR200</f>
        <v>36.9368565633779</v>
      </c>
      <c r="M5" s="29" t="n">
        <f aca="false">(1-Players!M12)*(Players!M5*TK_CapexIT_H100+Players!M6*TK_CapexIT_GB200+Players!M7*TK_CapexIT_GB300+Players!M8*TK_CapexIT_VR200+Players!M9*TK_CapexIT_RU)+Players!M12*spend_nnv_hold*TK_CapexIT_VR200</f>
        <v>36.9368565633779</v>
      </c>
    </row>
    <row r="7" customFormat="false" ht="17.15" hidden="false" customHeight="false" outlineLevel="0" collapsed="false">
      <c r="A7" s="8" t="s">
        <v>2625</v>
      </c>
    </row>
    <row r="8" customFormat="false" ht="15" hidden="false" customHeight="false" outlineLevel="0" collapsed="false">
      <c r="A8" s="5" t="s">
        <v>2626</v>
      </c>
      <c r="B8" s="0" t="s">
        <v>2627</v>
      </c>
      <c r="C8" s="0" t="s">
        <v>390</v>
      </c>
      <c r="D8" s="32" t="n">
        <f aca="false">D$4*D$5*SEG_compute</f>
        <v>0</v>
      </c>
      <c r="E8" s="32" t="n">
        <f aca="false">E$4*E$5*SEG_compute</f>
        <v>22.5302381301231</v>
      </c>
      <c r="F8" s="32" t="n">
        <f aca="false">F$4*F$5*SEG_compute</f>
        <v>120.526480331681</v>
      </c>
      <c r="G8" s="32" t="n">
        <f aca="false">G$4*G$5*SEG_compute</f>
        <v>203.123153153356</v>
      </c>
      <c r="H8" s="32" t="n">
        <f aca="false">H$4*H$5*SEG_compute</f>
        <v>411.611484987765</v>
      </c>
      <c r="I8" s="32" t="n">
        <f aca="false">I$4*I$5*SEG_compute</f>
        <v>513.718022432297</v>
      </c>
      <c r="J8" s="32" t="n">
        <f aca="false">J$4*J$5*SEG_compute</f>
        <v>527.249601573163</v>
      </c>
      <c r="K8" s="32" t="n">
        <f aca="false">K$4*K$5*SEG_compute</f>
        <v>535.645566922079</v>
      </c>
      <c r="L8" s="32" t="n">
        <f aca="false">L$4*L$5*SEG_compute</f>
        <v>469.800882586445</v>
      </c>
      <c r="M8" s="32" t="n">
        <f aca="false">M$4*M$5*SEG_compute</f>
        <v>320.483714184028</v>
      </c>
    </row>
    <row r="9" customFormat="false" ht="15" hidden="false" customHeight="false" outlineLevel="0" collapsed="false">
      <c r="A9" s="5" t="s">
        <v>2628</v>
      </c>
      <c r="B9" s="0" t="s">
        <v>2629</v>
      </c>
      <c r="C9" s="0" t="s">
        <v>390</v>
      </c>
      <c r="D9" s="32" t="n">
        <f aca="false">D$4*D$5*SEG_memory</f>
        <v>0</v>
      </c>
      <c r="E9" s="32" t="n">
        <f aca="false">E$4*E$5*SEG_memory</f>
        <v>5.89453904567174</v>
      </c>
      <c r="F9" s="32" t="n">
        <f aca="false">F$4*F$5*SEG_memory</f>
        <v>31.5330907844514</v>
      </c>
      <c r="G9" s="32" t="n">
        <f aca="false">G$4*G$5*SEG_memory</f>
        <v>53.1426854180292</v>
      </c>
      <c r="H9" s="32" t="n">
        <f aca="false">H$4*H$5*SEG_memory</f>
        <v>107.689051304939</v>
      </c>
      <c r="I9" s="32" t="n">
        <f aca="false">I$4*I$5*SEG_memory</f>
        <v>134.402970985194</v>
      </c>
      <c r="J9" s="32" t="n">
        <f aca="false">J$4*J$5*SEG_memory</f>
        <v>137.943209713909</v>
      </c>
      <c r="K9" s="32" t="n">
        <f aca="false">K$4*K$5*SEG_memory</f>
        <v>140.139828555195</v>
      </c>
      <c r="L9" s="32" t="n">
        <f aca="false">L$4*L$5*SEG_memory</f>
        <v>122.913021606919</v>
      </c>
      <c r="M9" s="32" t="n">
        <f aca="false">M$4*M$5*SEG_memory</f>
        <v>83.8474833621004</v>
      </c>
    </row>
    <row r="10" customFormat="false" ht="15" hidden="false" customHeight="false" outlineLevel="0" collapsed="false">
      <c r="A10" s="5" t="s">
        <v>2630</v>
      </c>
      <c r="B10" s="0" t="s">
        <v>2631</v>
      </c>
      <c r="C10" s="0" t="s">
        <v>390</v>
      </c>
      <c r="D10" s="32" t="n">
        <f aca="false">D$4*D$5*SEG_network</f>
        <v>0</v>
      </c>
      <c r="E10" s="32" t="n">
        <f aca="false">E$4*E$5*SEG_network</f>
        <v>7.64106913327818</v>
      </c>
      <c r="F10" s="32" t="n">
        <f aca="false">F$4*F$5*SEG_network</f>
        <v>40.8762287946592</v>
      </c>
      <c r="G10" s="32" t="n">
        <f aca="false">G$4*G$5*SEG_network</f>
        <v>68.8886662826304</v>
      </c>
      <c r="H10" s="32" t="n">
        <f aca="false">H$4*H$5*SEG_network</f>
        <v>139.596918358254</v>
      </c>
      <c r="I10" s="32" t="n">
        <f aca="false">I$4*I$5*SEG_network</f>
        <v>174.226073499326</v>
      </c>
      <c r="J10" s="32" t="n">
        <f aca="false">J$4*J$5*SEG_network</f>
        <v>178.815271851363</v>
      </c>
      <c r="K10" s="32" t="n">
        <f aca="false">K$4*K$5*SEG_network</f>
        <v>181.662740719697</v>
      </c>
      <c r="L10" s="32" t="n">
        <f aca="false">L$4*L$5*SEG_network</f>
        <v>159.331694675635</v>
      </c>
      <c r="M10" s="32" t="n">
        <f aca="false">M$4*M$5*SEG_network</f>
        <v>108.691182136056</v>
      </c>
    </row>
    <row r="11" customFormat="false" ht="15" hidden="false" customHeight="false" outlineLevel="0" collapsed="false">
      <c r="A11" s="5" t="s">
        <v>2632</v>
      </c>
      <c r="B11" s="0" t="s">
        <v>2633</v>
      </c>
      <c r="C11" s="0" t="s">
        <v>390</v>
      </c>
      <c r="D11" s="32" t="n">
        <f aca="false">D$4*D$5*SEG_foundry</f>
        <v>0</v>
      </c>
      <c r="E11" s="32" t="n">
        <f aca="false">E$4*E$5*SEG_foundry</f>
        <v>2.3578156182687</v>
      </c>
      <c r="F11" s="32" t="n">
        <f aca="false">F$4*F$5*SEG_foundry</f>
        <v>12.6132363137805</v>
      </c>
      <c r="G11" s="32" t="n">
        <f aca="false">G$4*G$5*SEG_foundry</f>
        <v>21.2570741672117</v>
      </c>
      <c r="H11" s="32" t="n">
        <f aca="false">H$4*H$5*SEG_foundry</f>
        <v>43.0756205219754</v>
      </c>
      <c r="I11" s="32" t="n">
        <f aca="false">I$4*I$5*SEG_foundry</f>
        <v>53.7611883940776</v>
      </c>
      <c r="J11" s="32" t="n">
        <f aca="false">J$4*J$5*SEG_foundry</f>
        <v>55.1772838855635</v>
      </c>
      <c r="K11" s="32" t="n">
        <f aca="false">K$4*K$5*SEG_foundry</f>
        <v>56.055931422078</v>
      </c>
      <c r="L11" s="32" t="n">
        <f aca="false">L$4*L$5*SEG_foundry</f>
        <v>49.1652086427675</v>
      </c>
      <c r="M11" s="32" t="n">
        <f aca="false">M$4*M$5*SEG_foundry</f>
        <v>33.5389933448402</v>
      </c>
    </row>
    <row r="12" customFormat="false" ht="17.15" hidden="false" customHeight="false" outlineLevel="0" collapsed="false">
      <c r="A12" s="5" t="s">
        <v>2634</v>
      </c>
      <c r="B12" s="0" t="s">
        <v>2635</v>
      </c>
      <c r="C12" s="0" t="s">
        <v>390</v>
      </c>
      <c r="D12" s="32" t="n">
        <f aca="false">D$4*D$5*SEG_substrate</f>
        <v>0</v>
      </c>
      <c r="E12" s="32" t="n">
        <f aca="false">E$4*E$5*SEG_substrate</f>
        <v>0.130989756570483</v>
      </c>
      <c r="F12" s="32" t="n">
        <f aca="false">F$4*F$5*SEG_substrate</f>
        <v>0.700735350765586</v>
      </c>
      <c r="G12" s="32" t="n">
        <f aca="false">G$4*G$5*SEG_substrate</f>
        <v>1.18094856484509</v>
      </c>
      <c r="H12" s="32" t="n">
        <f aca="false">H$4*H$5*SEG_substrate</f>
        <v>2.39309002899863</v>
      </c>
      <c r="I12" s="32" t="n">
        <f aca="false">I$4*I$5*SEG_substrate</f>
        <v>2.98673268855987</v>
      </c>
      <c r="J12" s="32" t="n">
        <f aca="false">J$4*J$5*SEG_substrate</f>
        <v>3.06540466030908</v>
      </c>
      <c r="K12" s="32" t="n">
        <f aca="false">K$4*K$5*SEG_substrate</f>
        <v>3.11421841233767</v>
      </c>
      <c r="L12" s="32" t="n">
        <f aca="false">L$4*L$5*SEG_substrate</f>
        <v>2.73140048015375</v>
      </c>
      <c r="M12" s="32" t="n">
        <f aca="false">M$4*M$5*SEG_substrate</f>
        <v>1.86327740804668</v>
      </c>
    </row>
    <row r="13" customFormat="false" ht="15" hidden="false" customHeight="false" outlineLevel="0" collapsed="false">
      <c r="A13" s="5" t="s">
        <v>2636</v>
      </c>
      <c r="B13" s="0" t="s">
        <v>2637</v>
      </c>
      <c r="C13" s="0" t="s">
        <v>390</v>
      </c>
      <c r="D13" s="32" t="n">
        <f aca="false">D$4*D$5*SEG_power_thermal</f>
        <v>0</v>
      </c>
      <c r="E13" s="32" t="n">
        <f aca="false">E$4*E$5*SEG_power_thermal</f>
        <v>2.75078488798014</v>
      </c>
      <c r="F13" s="32" t="n">
        <f aca="false">F$4*F$5*SEG_power_thermal</f>
        <v>14.7154423660773</v>
      </c>
      <c r="G13" s="32" t="n">
        <f aca="false">G$4*G$5*SEG_power_thermal</f>
        <v>24.799919861747</v>
      </c>
      <c r="H13" s="32" t="n">
        <f aca="false">H$4*H$5*SEG_power_thermal</f>
        <v>50.2548906089713</v>
      </c>
      <c r="I13" s="32" t="n">
        <f aca="false">I$4*I$5*SEG_power_thermal</f>
        <v>62.7213864597572</v>
      </c>
      <c r="J13" s="32" t="n">
        <f aca="false">J$4*J$5*SEG_power_thermal</f>
        <v>64.3734978664908</v>
      </c>
      <c r="K13" s="32" t="n">
        <f aca="false">K$4*K$5*SEG_power_thermal</f>
        <v>65.398586659091</v>
      </c>
      <c r="L13" s="32" t="n">
        <f aca="false">L$4*L$5*SEG_power_thermal</f>
        <v>57.3594100832287</v>
      </c>
      <c r="M13" s="32" t="n">
        <f aca="false">M$4*M$5*SEG_power_thermal</f>
        <v>39.1288255689802</v>
      </c>
    </row>
    <row r="14" customFormat="false" ht="15" hidden="false" customHeight="false" outlineLevel="0" collapsed="false">
      <c r="A14" s="5" t="s">
        <v>2638</v>
      </c>
      <c r="B14" s="0" t="s">
        <v>2639</v>
      </c>
      <c r="C14" s="0" t="s">
        <v>390</v>
      </c>
      <c r="D14" s="32" t="n">
        <f aca="false">D$4*D$5*SEG_server</f>
        <v>0</v>
      </c>
      <c r="E14" s="32" t="n">
        <f aca="false">E$4*E$5*SEG_server</f>
        <v>2.00850960074741</v>
      </c>
      <c r="F14" s="32" t="n">
        <f aca="false">F$4*F$5*SEG_server</f>
        <v>10.744608711739</v>
      </c>
      <c r="G14" s="32" t="n">
        <f aca="false">G$4*G$5*SEG_server</f>
        <v>18.1078779942914</v>
      </c>
      <c r="H14" s="32" t="n">
        <f aca="false">H$4*H$5*SEG_server</f>
        <v>36.6940471113124</v>
      </c>
      <c r="I14" s="32" t="n">
        <f aca="false">I$4*I$5*SEG_server</f>
        <v>45.7965678912513</v>
      </c>
      <c r="J14" s="32" t="n">
        <f aca="false">J$4*J$5*SEG_server</f>
        <v>47.0028714580726</v>
      </c>
      <c r="K14" s="32" t="n">
        <f aca="false">K$4*K$5*SEG_server</f>
        <v>47.7513489891776</v>
      </c>
      <c r="L14" s="32" t="n">
        <f aca="false">L$4*L$5*SEG_server</f>
        <v>41.8814740290242</v>
      </c>
      <c r="M14" s="32" t="n">
        <f aca="false">M$4*M$5*SEG_server</f>
        <v>28.570253590049</v>
      </c>
    </row>
    <row r="15" customFormat="false" ht="15" hidden="false" customHeight="false" outlineLevel="0" collapsed="false">
      <c r="A15" s="5" t="s">
        <v>2640</v>
      </c>
      <c r="B15" s="0" t="s">
        <v>2641</v>
      </c>
      <c r="C15" s="0" t="s">
        <v>390</v>
      </c>
      <c r="D15" s="32" t="n">
        <f aca="false">D$4*D$5*SEG_storage</f>
        <v>0</v>
      </c>
      <c r="E15" s="32" t="n">
        <f aca="false">E$4*E$5*SEG_storage</f>
        <v>0.349306017521288</v>
      </c>
      <c r="F15" s="32" t="n">
        <f aca="false">F$4*F$5*SEG_storage</f>
        <v>1.86862760204156</v>
      </c>
      <c r="G15" s="32" t="n">
        <f aca="false">G$4*G$5*SEG_storage</f>
        <v>3.14919617292025</v>
      </c>
      <c r="H15" s="32" t="n">
        <f aca="false">H$4*H$5*SEG_storage</f>
        <v>6.38157341066303</v>
      </c>
      <c r="I15" s="32" t="n">
        <f aca="false">I$4*I$5*SEG_storage</f>
        <v>7.96462050282631</v>
      </c>
      <c r="J15" s="32" t="n">
        <f aca="false">J$4*J$5*SEG_storage</f>
        <v>8.17441242749089</v>
      </c>
      <c r="K15" s="32" t="n">
        <f aca="false">K$4*K$5*SEG_storage</f>
        <v>8.30458243290045</v>
      </c>
      <c r="L15" s="32" t="n">
        <f aca="false">L$4*L$5*SEG_storage</f>
        <v>7.28373461374333</v>
      </c>
      <c r="M15" s="32" t="n">
        <f aca="false">M$4*M$5*SEG_storage</f>
        <v>4.96873975479114</v>
      </c>
    </row>
    <row r="16" customFormat="false" ht="17.15" hidden="false" customHeight="false" outlineLevel="0" collapsed="false">
      <c r="A16" s="5" t="s">
        <v>2642</v>
      </c>
      <c r="C16" s="0" t="s">
        <v>390</v>
      </c>
      <c r="D16" s="32" t="n">
        <f aca="false">SUM(D8:D15)</f>
        <v>0</v>
      </c>
      <c r="E16" s="32" t="n">
        <f aca="false">SUM(E8:E15)</f>
        <v>43.663252190161</v>
      </c>
      <c r="F16" s="32" t="n">
        <f aca="false">SUM(F8:F15)</f>
        <v>233.578450255195</v>
      </c>
      <c r="G16" s="32" t="n">
        <f aca="false">SUM(G8:G15)</f>
        <v>393.649521615031</v>
      </c>
      <c r="H16" s="32" t="n">
        <f aca="false">SUM(H8:H15)</f>
        <v>797.696676332878</v>
      </c>
      <c r="I16" s="32" t="n">
        <f aca="false">SUM(I8:I15)</f>
        <v>995.577562853289</v>
      </c>
      <c r="J16" s="32" t="n">
        <f aca="false">SUM(J8:J15)</f>
        <v>1021.80155343636</v>
      </c>
      <c r="K16" s="32" t="n">
        <f aca="false">SUM(K8:K15)</f>
        <v>1038.07280411256</v>
      </c>
      <c r="L16" s="32" t="n">
        <f aca="false">SUM(L8:L15)</f>
        <v>910.466826717916</v>
      </c>
      <c r="M16" s="32" t="n">
        <f aca="false">SUM(M8:M15)</f>
        <v>621.092469348892</v>
      </c>
    </row>
    <row r="17" customFormat="false" ht="17.15" hidden="false" customHeight="false" outlineLevel="0" collapsed="false">
      <c r="A17" s="8" t="s">
        <v>2643</v>
      </c>
    </row>
    <row r="18" customFormat="false" ht="15" hidden="false" customHeight="false" outlineLevel="0" collapsed="false">
      <c r="A18" s="5" t="s">
        <v>2536</v>
      </c>
      <c r="B18" s="0" t="s">
        <v>223</v>
      </c>
      <c r="C18" s="0" t="s">
        <v>390</v>
      </c>
      <c r="D18" s="36" t="n">
        <f aca="false">Facility!D26</f>
        <v>0</v>
      </c>
      <c r="E18" s="36" t="n">
        <f aca="false">Facility!E26</f>
        <v>4.13051127590411</v>
      </c>
      <c r="F18" s="36" t="n">
        <f aca="false">Facility!F26</f>
        <v>23.0752669518602</v>
      </c>
      <c r="G18" s="36" t="n">
        <f aca="false">Facility!G26</f>
        <v>31.9141972257009</v>
      </c>
      <c r="H18" s="36" t="n">
        <f aca="false">Facility!H26</f>
        <v>58.5409975113945</v>
      </c>
      <c r="I18" s="36" t="n">
        <f aca="false">Facility!I26</f>
        <v>68.6543966383419</v>
      </c>
      <c r="J18" s="36" t="n">
        <f aca="false">Facility!J26</f>
        <v>70.5418436675014</v>
      </c>
      <c r="K18" s="36" t="n">
        <f aca="false">Facility!K26</f>
        <v>71.665157698112</v>
      </c>
      <c r="L18" s="36" t="n">
        <f aca="false">Facility!L26</f>
        <v>62.8556575773315</v>
      </c>
      <c r="M18" s="36" t="n">
        <f aca="false">Facility!M26</f>
        <v>42.8781965818382</v>
      </c>
    </row>
    <row r="19" customFormat="false" ht="17.15" hidden="false" customHeight="false" outlineLevel="0" collapsed="false">
      <c r="A19" s="5" t="s">
        <v>2537</v>
      </c>
      <c r="B19" s="0" t="s">
        <v>2538</v>
      </c>
      <c r="C19" s="0" t="s">
        <v>390</v>
      </c>
      <c r="D19" s="36" t="n">
        <f aca="false">Facility!D27</f>
        <v>0</v>
      </c>
      <c r="E19" s="36" t="n">
        <f aca="false">Facility!E27</f>
        <v>2.59169334958689</v>
      </c>
      <c r="F19" s="36" t="n">
        <f aca="false">Facility!F27</f>
        <v>14.4785988717555</v>
      </c>
      <c r="G19" s="36" t="n">
        <f aca="false">Facility!G27</f>
        <v>20.0245943376947</v>
      </c>
      <c r="H19" s="36" t="n">
        <f aca="false">Facility!H27</f>
        <v>36.7316062816593</v>
      </c>
      <c r="I19" s="36" t="n">
        <f aca="false">Facility!I27</f>
        <v>43.0772684789596</v>
      </c>
      <c r="J19" s="36" t="n">
        <f aca="false">Facility!J27</f>
        <v>44.261548967844</v>
      </c>
      <c r="K19" s="36" t="n">
        <f aca="false">Facility!K27</f>
        <v>44.9663734576389</v>
      </c>
      <c r="L19" s="36" t="n">
        <f aca="false">Facility!L27</f>
        <v>39.4388439700903</v>
      </c>
      <c r="M19" s="36" t="n">
        <f aca="false">Facility!M27</f>
        <v>26.903966482722</v>
      </c>
    </row>
    <row r="20" customFormat="false" ht="17.15" hidden="false" customHeight="false" outlineLevel="0" collapsed="false">
      <c r="A20" s="5" t="s">
        <v>2539</v>
      </c>
      <c r="B20" s="0" t="s">
        <v>237</v>
      </c>
      <c r="C20" s="0" t="s">
        <v>390</v>
      </c>
      <c r="D20" s="36" t="n">
        <f aca="false">Facility!D28</f>
        <v>0</v>
      </c>
      <c r="E20" s="36" t="n">
        <f aca="false">Facility!E28</f>
        <v>1.21485625761885</v>
      </c>
      <c r="F20" s="36" t="n">
        <f aca="false">Facility!F28</f>
        <v>6.78684322113537</v>
      </c>
      <c r="G20" s="36" t="n">
        <f aca="false">Facility!G28</f>
        <v>9.38652859579439</v>
      </c>
      <c r="H20" s="36" t="n">
        <f aca="false">Facility!H28</f>
        <v>17.2179404445278</v>
      </c>
      <c r="I20" s="36" t="n">
        <f aca="false">Facility!I28</f>
        <v>20.1924695995123</v>
      </c>
      <c r="J20" s="36" t="n">
        <f aca="false">Facility!J28</f>
        <v>20.7476010786769</v>
      </c>
      <c r="K20" s="36" t="n">
        <f aca="false">Facility!K28</f>
        <v>21.0779875582682</v>
      </c>
      <c r="L20" s="36" t="n">
        <f aca="false">Facility!L28</f>
        <v>18.4869581109798</v>
      </c>
      <c r="M20" s="36" t="n">
        <f aca="false">Facility!M28</f>
        <v>12.6112342887759</v>
      </c>
    </row>
    <row r="21" customFormat="false" ht="15" hidden="false" customHeight="false" outlineLevel="0" collapsed="false">
      <c r="A21" s="5" t="s">
        <v>2540</v>
      </c>
      <c r="B21" s="0" t="s">
        <v>240</v>
      </c>
      <c r="C21" s="0" t="s">
        <v>390</v>
      </c>
      <c r="D21" s="36" t="n">
        <f aca="false">Facility!D29</f>
        <v>0</v>
      </c>
      <c r="E21" s="36" t="n">
        <f aca="false">Facility!E29</f>
        <v>3.07763585263443</v>
      </c>
      <c r="F21" s="36" t="n">
        <f aca="false">Facility!F29</f>
        <v>17.1933361602096</v>
      </c>
      <c r="G21" s="36" t="n">
        <f aca="false">Facility!G29</f>
        <v>23.7792057760125</v>
      </c>
      <c r="H21" s="36" t="n">
        <f aca="false">Facility!H29</f>
        <v>43.6187824594704</v>
      </c>
      <c r="I21" s="36" t="n">
        <f aca="false">Facility!I29</f>
        <v>51.1542563187645</v>
      </c>
      <c r="J21" s="36" t="n">
        <f aca="false">Facility!J29</f>
        <v>52.5605893993147</v>
      </c>
      <c r="K21" s="36" t="n">
        <f aca="false">Facility!K29</f>
        <v>53.3975684809462</v>
      </c>
      <c r="L21" s="36" t="n">
        <f aca="false">Facility!L29</f>
        <v>46.8336272144823</v>
      </c>
      <c r="M21" s="36" t="n">
        <f aca="false">Facility!M29</f>
        <v>31.9484601982324</v>
      </c>
    </row>
    <row r="22" customFormat="false" ht="15" hidden="false" customHeight="false" outlineLevel="0" collapsed="false">
      <c r="A22" s="5" t="s">
        <v>2541</v>
      </c>
      <c r="B22" s="0" t="s">
        <v>243</v>
      </c>
      <c r="C22" s="0" t="s">
        <v>390</v>
      </c>
      <c r="D22" s="36" t="n">
        <f aca="false">Facility!D30</f>
        <v>0</v>
      </c>
      <c r="E22" s="36" t="n">
        <f aca="false">Facility!E30</f>
        <v>2.75367418393607</v>
      </c>
      <c r="F22" s="36" t="n">
        <f aca="false">Facility!F30</f>
        <v>15.3835113012402</v>
      </c>
      <c r="G22" s="36" t="n">
        <f aca="false">Facility!G30</f>
        <v>21.2761314838006</v>
      </c>
      <c r="H22" s="36" t="n">
        <f aca="false">Facility!H30</f>
        <v>39.027331674263</v>
      </c>
      <c r="I22" s="36" t="n">
        <f aca="false">Facility!I30</f>
        <v>45.7695977588946</v>
      </c>
      <c r="J22" s="36" t="n">
        <f aca="false">Facility!J30</f>
        <v>47.0278957783342</v>
      </c>
      <c r="K22" s="36" t="n">
        <f aca="false">Facility!K30</f>
        <v>47.7767717987413</v>
      </c>
      <c r="L22" s="36" t="n">
        <f aca="false">Facility!L30</f>
        <v>41.903771718221</v>
      </c>
      <c r="M22" s="36" t="n">
        <f aca="false">Facility!M30</f>
        <v>28.5854643878921</v>
      </c>
    </row>
    <row r="23" customFormat="false" ht="15" hidden="false" customHeight="false" outlineLevel="0" collapsed="false">
      <c r="A23" s="5" t="s">
        <v>2542</v>
      </c>
      <c r="B23" s="0" t="s">
        <v>246</v>
      </c>
      <c r="C23" s="0" t="s">
        <v>390</v>
      </c>
      <c r="D23" s="36" t="n">
        <f aca="false">Facility!D31</f>
        <v>0</v>
      </c>
      <c r="E23" s="36" t="n">
        <f aca="false">Facility!E31</f>
        <v>4.77843461330083</v>
      </c>
      <c r="F23" s="36" t="n">
        <f aca="false">Facility!F31</f>
        <v>26.6949166697991</v>
      </c>
      <c r="G23" s="36" t="n">
        <f aca="false">Facility!G31</f>
        <v>36.9203458101246</v>
      </c>
      <c r="H23" s="36" t="n">
        <f aca="false">Facility!H31</f>
        <v>67.7238990818093</v>
      </c>
      <c r="I23" s="36" t="n">
        <f aca="false">Facility!I31</f>
        <v>79.4237137580818</v>
      </c>
      <c r="J23" s="36" t="n">
        <f aca="false">Facility!J31</f>
        <v>81.6072309094624</v>
      </c>
      <c r="K23" s="36" t="n">
        <f aca="false">Facility!K31</f>
        <v>82.9067510625217</v>
      </c>
      <c r="L23" s="36" t="n">
        <f aca="false">Facility!L31</f>
        <v>72.7153685698541</v>
      </c>
      <c r="M23" s="36" t="n">
        <f aca="false">Facility!M31</f>
        <v>49.6041882025187</v>
      </c>
    </row>
    <row r="24" customFormat="false" ht="17.15" hidden="false" customHeight="false" outlineLevel="0" collapsed="false">
      <c r="A24" s="5" t="s">
        <v>2543</v>
      </c>
      <c r="B24" s="0" t="s">
        <v>2544</v>
      </c>
      <c r="C24" s="0" t="s">
        <v>390</v>
      </c>
      <c r="D24" s="36" t="n">
        <f aca="false">Facility!D32</f>
        <v>0</v>
      </c>
      <c r="E24" s="36" t="n">
        <f aca="false">Facility!E32</f>
        <v>1.13386584044426</v>
      </c>
      <c r="F24" s="36" t="n">
        <f aca="false">Facility!F32</f>
        <v>6.33438700639301</v>
      </c>
      <c r="G24" s="36" t="n">
        <f aca="false">Facility!G32</f>
        <v>8.76076002274143</v>
      </c>
      <c r="H24" s="36" t="n">
        <f aca="false">Facility!H32</f>
        <v>16.0700777482259</v>
      </c>
      <c r="I24" s="36" t="n">
        <f aca="false">Facility!I32</f>
        <v>18.8463049595448</v>
      </c>
      <c r="J24" s="36" t="n">
        <f aca="false">Facility!J32</f>
        <v>19.3644276734317</v>
      </c>
      <c r="K24" s="36" t="n">
        <f aca="false">Facility!K32</f>
        <v>19.672788387717</v>
      </c>
      <c r="L24" s="36" t="n">
        <f aca="false">Facility!L32</f>
        <v>17.2544942369145</v>
      </c>
      <c r="M24" s="36" t="n">
        <f aca="false">Facility!M32</f>
        <v>11.7704853361909</v>
      </c>
    </row>
    <row r="25" customFormat="false" ht="17.15" hidden="false" customHeight="false" outlineLevel="0" collapsed="false">
      <c r="A25" s="5" t="s">
        <v>2545</v>
      </c>
      <c r="B25" s="0" t="s">
        <v>252</v>
      </c>
      <c r="C25" s="0" t="s">
        <v>390</v>
      </c>
      <c r="D25" s="36" t="n">
        <f aca="false">Facility!D33</f>
        <v>0</v>
      </c>
      <c r="E25" s="36" t="n">
        <f aca="false">Facility!E33</f>
        <v>0.485942503047542</v>
      </c>
      <c r="F25" s="36" t="n">
        <f aca="false">Facility!F33</f>
        <v>2.71473728845415</v>
      </c>
      <c r="G25" s="36" t="n">
        <f aca="false">Facility!G33</f>
        <v>3.75461143831776</v>
      </c>
      <c r="H25" s="36" t="n">
        <f aca="false">Facility!H33</f>
        <v>6.88717617781112</v>
      </c>
      <c r="I25" s="36" t="n">
        <f aca="false">Facility!I33</f>
        <v>8.07698783980493</v>
      </c>
      <c r="J25" s="36" t="n">
        <f aca="false">Facility!J33</f>
        <v>8.29904043147075</v>
      </c>
      <c r="K25" s="36" t="n">
        <f aca="false">Facility!K33</f>
        <v>8.4311950233073</v>
      </c>
      <c r="L25" s="36" t="n">
        <f aca="false">Facility!L33</f>
        <v>7.39478324439194</v>
      </c>
      <c r="M25" s="36" t="n">
        <f aca="false">Facility!M33</f>
        <v>5.04449371551037</v>
      </c>
    </row>
    <row r="26" customFormat="false" ht="15" hidden="false" customHeight="false" outlineLevel="0" collapsed="false">
      <c r="A26" s="5" t="s">
        <v>2546</v>
      </c>
      <c r="B26" s="0" t="s">
        <v>255</v>
      </c>
      <c r="C26" s="0" t="s">
        <v>390</v>
      </c>
      <c r="D26" s="36" t="n">
        <f aca="false">Facility!D34</f>
        <v>0</v>
      </c>
      <c r="E26" s="36" t="n">
        <f aca="false">Facility!E34</f>
        <v>0.323961668698361</v>
      </c>
      <c r="F26" s="36" t="n">
        <f aca="false">Facility!F34</f>
        <v>1.80982485896943</v>
      </c>
      <c r="G26" s="36" t="n">
        <f aca="false">Facility!G34</f>
        <v>2.50307429221184</v>
      </c>
      <c r="H26" s="36" t="n">
        <f aca="false">Facility!H34</f>
        <v>4.59145078520741</v>
      </c>
      <c r="I26" s="36" t="n">
        <f aca="false">Facility!I34</f>
        <v>5.38465855986995</v>
      </c>
      <c r="J26" s="36" t="n">
        <f aca="false">Facility!J34</f>
        <v>5.5326936209805</v>
      </c>
      <c r="K26" s="36" t="n">
        <f aca="false">Facility!K34</f>
        <v>5.62079668220486</v>
      </c>
      <c r="L26" s="36" t="n">
        <f aca="false">Facility!L34</f>
        <v>4.92985549626129</v>
      </c>
      <c r="M26" s="36" t="n">
        <f aca="false">Facility!M34</f>
        <v>3.36299581034025</v>
      </c>
    </row>
    <row r="27" customFormat="false" ht="15" hidden="false" customHeight="false" outlineLevel="0" collapsed="false">
      <c r="A27" s="5" t="s">
        <v>2644</v>
      </c>
      <c r="B27" s="0" t="s">
        <v>2548</v>
      </c>
      <c r="C27" s="0" t="s">
        <v>390</v>
      </c>
      <c r="D27" s="36" t="n">
        <f aca="false">Facility!D35</f>
        <v>0</v>
      </c>
      <c r="E27" s="36" t="n">
        <f aca="false">Facility!E35</f>
        <v>0.0323961668698383</v>
      </c>
      <c r="F27" s="36" t="n">
        <f aca="false">Facility!F35</f>
        <v>0.180982485896955</v>
      </c>
      <c r="G27" s="36" t="n">
        <f aca="false">Facility!G35</f>
        <v>0.250307429221201</v>
      </c>
      <c r="H27" s="36" t="n">
        <f aca="false">Facility!H35</f>
        <v>0.459145078520772</v>
      </c>
      <c r="I27" s="36" t="n">
        <f aca="false">Facility!I35</f>
        <v>0.538465855987032</v>
      </c>
      <c r="J27" s="36" t="n">
        <f aca="false">Facility!J35</f>
        <v>0.553269362098087</v>
      </c>
      <c r="K27" s="36" t="n">
        <f aca="false">Facility!K35</f>
        <v>0.562079668220524</v>
      </c>
      <c r="L27" s="36" t="n">
        <f aca="false">Facility!L35</f>
        <v>0.492985549626162</v>
      </c>
      <c r="M27" s="36" t="n">
        <f aca="false">Facility!M35</f>
        <v>0.336299581034048</v>
      </c>
    </row>
    <row r="28" customFormat="false" ht="15" hidden="false" customHeight="false" outlineLevel="0" collapsed="false">
      <c r="A28" s="5" t="s">
        <v>2645</v>
      </c>
      <c r="C28" s="0" t="s">
        <v>390</v>
      </c>
      <c r="D28" s="32" t="n">
        <f aca="false">SUM(D18:D27)</f>
        <v>0</v>
      </c>
      <c r="E28" s="32" t="n">
        <f aca="false">SUM(E18:E27)</f>
        <v>20.5229717120412</v>
      </c>
      <c r="F28" s="32" t="n">
        <f aca="false">SUM(F18:F27)</f>
        <v>114.652404815713</v>
      </c>
      <c r="G28" s="32" t="n">
        <f aca="false">SUM(G18:G27)</f>
        <v>158.56975641162</v>
      </c>
      <c r="H28" s="32" t="n">
        <f aca="false">SUM(H18:H27)</f>
        <v>290.86840724289</v>
      </c>
      <c r="I28" s="32" t="n">
        <f aca="false">SUM(I18:I27)</f>
        <v>341.118119767762</v>
      </c>
      <c r="J28" s="32" t="n">
        <f aca="false">SUM(J18:J27)</f>
        <v>350.496140889115</v>
      </c>
      <c r="K28" s="32" t="n">
        <f aca="false">SUM(K18:K27)</f>
        <v>356.077469817678</v>
      </c>
      <c r="L28" s="32" t="n">
        <f aca="false">SUM(L18:L27)</f>
        <v>312.306345688153</v>
      </c>
      <c r="M28" s="32" t="n">
        <f aca="false">SUM(M18:M27)</f>
        <v>213.045784585055</v>
      </c>
    </row>
    <row r="29" customFormat="false" ht="17.15" hidden="false" customHeight="false" outlineLevel="0" collapsed="false">
      <c r="A29" s="0" t="s">
        <v>2646</v>
      </c>
      <c r="B29" s="0" t="s">
        <v>2647</v>
      </c>
      <c r="C29" s="0" t="s">
        <v>390</v>
      </c>
      <c r="D29" s="36" t="n">
        <f aca="false">Facility!D37</f>
        <v>0</v>
      </c>
      <c r="E29" s="36" t="n">
        <f aca="false">Facility!E37</f>
        <v>0.746407684681024</v>
      </c>
      <c r="F29" s="36" t="n">
        <f aca="false">Facility!F37</f>
        <v>4.16983647506557</v>
      </c>
      <c r="G29" s="36" t="n">
        <f aca="false">Facility!G37</f>
        <v>5.76708316925607</v>
      </c>
      <c r="H29" s="36" t="n">
        <f aca="false">Facility!H37</f>
        <v>10.5787026091179</v>
      </c>
      <c r="I29" s="36" t="n">
        <f aca="false">Facility!I37</f>
        <v>12.4062533219404</v>
      </c>
      <c r="J29" s="36" t="n">
        <f aca="false">Facility!J37</f>
        <v>12.7473261027391</v>
      </c>
      <c r="K29" s="36" t="n">
        <f aca="false">Facility!K37</f>
        <v>12.9503155558</v>
      </c>
      <c r="L29" s="36" t="n">
        <f aca="false">Facility!L37</f>
        <v>11.358387063386</v>
      </c>
      <c r="M29" s="36" t="n">
        <f aca="false">Facility!M37</f>
        <v>7.74834234702393</v>
      </c>
    </row>
    <row r="30" customFormat="false" ht="17.15" hidden="false" customHeight="false" outlineLevel="0" collapsed="false">
      <c r="A30" s="21" t="s">
        <v>2648</v>
      </c>
      <c r="C30" s="20" t="s">
        <v>390</v>
      </c>
      <c r="D30" s="39" t="n">
        <f aca="false">D16+D28+D29</f>
        <v>0</v>
      </c>
      <c r="E30" s="39" t="n">
        <f aca="false">E16+E28+E29</f>
        <v>64.9326315868833</v>
      </c>
      <c r="F30" s="39" t="n">
        <f aca="false">F16+F28+F29</f>
        <v>352.400691545974</v>
      </c>
      <c r="G30" s="39" t="n">
        <f aca="false">G16+G28+G29</f>
        <v>557.986361195907</v>
      </c>
      <c r="H30" s="39" t="n">
        <f aca="false">H16+H28+H29</f>
        <v>1099.14378618489</v>
      </c>
      <c r="I30" s="39" t="n">
        <f aca="false">I16+I28+I29</f>
        <v>1349.10193594299</v>
      </c>
      <c r="J30" s="39" t="n">
        <f aca="false">J16+J28+J29</f>
        <v>1385.04502042822</v>
      </c>
      <c r="K30" s="39" t="n">
        <f aca="false">K16+K28+K29</f>
        <v>1407.10058948603</v>
      </c>
      <c r="L30" s="39" t="n">
        <f aca="false">L16+L28+L29</f>
        <v>1234.13155946946</v>
      </c>
      <c r="M30" s="39" t="n">
        <f aca="false">M16+M28+M29</f>
        <v>841.886596280971</v>
      </c>
    </row>
    <row r="31" customFormat="false" ht="17.15" hidden="false" customHeight="false" outlineLevel="0" collapsed="false">
      <c r="A31" s="5" t="s">
        <v>2649</v>
      </c>
      <c r="C31" s="0" t="s">
        <v>390</v>
      </c>
      <c r="G31" s="32" t="n">
        <f aca="false">SIL_In!$G$33</f>
        <v>781.872916666667</v>
      </c>
      <c r="H31" s="32" t="n">
        <f aca="false">SIL_In!$H$33</f>
        <v>1565.35</v>
      </c>
      <c r="I31" s="32" t="n">
        <f aca="false">SIL_In!$I$33</f>
        <v>1984.26388888889</v>
      </c>
      <c r="J31" s="32" t="n">
        <f aca="false">SIL_In!$J$33</f>
        <v>2260.39027777778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13" min="13" style="0" width="22"/>
  </cols>
  <sheetData>
    <row r="1" customFormat="false" ht="17.15" hidden="false" customHeight="false" outlineLevel="0" collapsed="false">
      <c r="A1" s="0" t="s">
        <v>2650</v>
      </c>
    </row>
    <row r="2" customFormat="false" ht="17.15" hidden="false" customHeight="false" outlineLevel="0" collapsed="false">
      <c r="A2" s="5" t="s">
        <v>2651</v>
      </c>
    </row>
    <row r="3" customFormat="false" ht="17.15" hidden="false" customHeight="false" outlineLevel="0" collapsed="false">
      <c r="A3" s="40" t="s">
        <v>2652</v>
      </c>
    </row>
    <row r="4" customFormat="false" ht="15" hidden="false" customHeight="false" outlineLevel="0" collapsed="false">
      <c r="A4" s="6" t="s">
        <v>2653</v>
      </c>
      <c r="B4" s="6" t="s">
        <v>15</v>
      </c>
      <c r="C4" s="6" t="s">
        <v>17</v>
      </c>
      <c r="D4" s="7" t="s">
        <v>22</v>
      </c>
      <c r="E4" s="7" t="s">
        <v>23</v>
      </c>
      <c r="F4" s="7" t="s">
        <v>24</v>
      </c>
      <c r="G4" s="7" t="s">
        <v>25</v>
      </c>
      <c r="H4" s="7" t="s">
        <v>26</v>
      </c>
      <c r="I4" s="7" t="s">
        <v>27</v>
      </c>
      <c r="J4" s="7" t="s">
        <v>28</v>
      </c>
      <c r="K4" s="7" t="s">
        <v>29</v>
      </c>
      <c r="L4" s="7" t="s">
        <v>30</v>
      </c>
      <c r="M4" s="6" t="s">
        <v>2654</v>
      </c>
    </row>
    <row r="5" customFormat="false" ht="17.15" hidden="false" customHeight="false" outlineLevel="0" collapsed="false">
      <c r="A5" s="40" t="s">
        <v>2652</v>
      </c>
    </row>
    <row r="6" customFormat="false" ht="17.15" hidden="false" customHeight="false" outlineLevel="0" collapsed="false">
      <c r="A6" s="8" t="s">
        <v>2655</v>
      </c>
    </row>
    <row r="7" customFormat="false" ht="17.15" hidden="false" customHeight="false" outlineLevel="0" collapsed="false">
      <c r="A7" s="0" t="s">
        <v>2656</v>
      </c>
      <c r="B7" s="5" t="s">
        <v>2657</v>
      </c>
      <c r="C7" s="5" t="s">
        <v>504</v>
      </c>
      <c r="D7" s="35" t="n">
        <f aca="false">Deploy!E106</f>
        <v>1</v>
      </c>
      <c r="E7" s="35" t="n">
        <f aca="false">Deploy!F106</f>
        <v>1</v>
      </c>
      <c r="F7" s="35" t="n">
        <f aca="false">Deploy!G106</f>
        <v>1</v>
      </c>
      <c r="G7" s="35" t="n">
        <f aca="false">Deploy!H106</f>
        <v>0.368887548649816</v>
      </c>
      <c r="H7" s="35" t="n">
        <f aca="false">Deploy!I106</f>
        <v>0.682972950768481</v>
      </c>
      <c r="I7" s="35" t="n">
        <f aca="false">Deploy!J106</f>
        <v>0.207097002778989</v>
      </c>
      <c r="J7" s="35" t="n">
        <f aca="false">Deploy!K106</f>
        <v>0.231477124526172</v>
      </c>
      <c r="K7" s="35" t="n">
        <f aca="false">Deploy!L106</f>
        <v>0.300223781325175</v>
      </c>
      <c r="L7" s="35" t="n">
        <f aca="false">Deploy!M106</f>
        <v>0.501599141326471</v>
      </c>
      <c r="M7" s="20" t="s">
        <v>2658</v>
      </c>
    </row>
    <row r="8" customFormat="false" ht="17.15" hidden="false" customHeight="false" outlineLevel="0" collapsed="false">
      <c r="A8" s="8" t="s">
        <v>2659</v>
      </c>
    </row>
    <row r="9" customFormat="false" ht="17.15" hidden="false" customHeight="false" outlineLevel="0" collapsed="false">
      <c r="A9" s="0" t="s">
        <v>2660</v>
      </c>
      <c r="B9" s="5" t="s">
        <v>2661</v>
      </c>
      <c r="C9" s="0" t="s">
        <v>77</v>
      </c>
      <c r="D9" s="27" t="n">
        <f aca="false">Deploy!E13</f>
        <v>6.20938570515285</v>
      </c>
      <c r="E9" s="27" t="n">
        <f aca="false">Deploy!F13</f>
        <v>25.3371433333333</v>
      </c>
      <c r="F9" s="27" t="n">
        <f aca="false">Deploy!G13</f>
        <v>37.8525147943925</v>
      </c>
      <c r="G9" s="27" t="n">
        <f aca="false">Deploy!H13</f>
        <v>60.8097687204296</v>
      </c>
      <c r="H9" s="27" t="n">
        <f aca="false">Deploy!I13</f>
        <v>87.7330615197793</v>
      </c>
      <c r="I9" s="27" t="n">
        <f aca="false">Deploy!J13</f>
        <v>115.396529624682</v>
      </c>
      <c r="J9" s="27" t="n">
        <f aca="false">Deploy!K13</f>
        <v>143.500513035706</v>
      </c>
      <c r="K9" s="27" t="n">
        <f aca="false">Deploy!L13</f>
        <v>168.149790517013</v>
      </c>
      <c r="L9" s="27" t="n">
        <f aca="false">Deploy!M13</f>
        <v>184.964769568714</v>
      </c>
      <c r="M9" s="20" t="s">
        <v>2662</v>
      </c>
    </row>
    <row r="10" customFormat="false" ht="17.15" hidden="false" customHeight="false" outlineLevel="0" collapsed="false">
      <c r="A10" s="0" t="s">
        <v>2663</v>
      </c>
      <c r="B10" s="5" t="s">
        <v>2664</v>
      </c>
      <c r="C10" s="0" t="s">
        <v>77</v>
      </c>
      <c r="D10" s="27" t="n">
        <f aca="false">Deploy!E14</f>
        <v>6.20938570515285</v>
      </c>
      <c r="E10" s="27" t="n">
        <f aca="false">Deploy!F14</f>
        <v>25.3371433333333</v>
      </c>
      <c r="F10" s="27" t="n">
        <f aca="false">Deploy!G14</f>
        <v>37.048055095226</v>
      </c>
      <c r="G10" s="27" t="n">
        <f aca="false">Deploy!H14</f>
        <v>56.6047076167064</v>
      </c>
      <c r="H10" s="27" t="n">
        <f aca="false">Deploy!I14</f>
        <v>82.5876311132265</v>
      </c>
      <c r="I10" s="27" t="n">
        <f aca="false">Deploy!J14</f>
        <v>110.300797706324</v>
      </c>
      <c r="J10" s="27" t="n">
        <f aca="false">Deploy!K14</f>
        <v>138.346240938777</v>
      </c>
      <c r="K10" s="27" t="n">
        <f aca="false">Deploy!L14</f>
        <v>163.634916957784</v>
      </c>
      <c r="L10" s="27" t="n">
        <f aca="false">Deploy!M14</f>
        <v>182.022148234666</v>
      </c>
      <c r="M10" s="20" t="s">
        <v>2665</v>
      </c>
    </row>
    <row r="11" customFormat="false" ht="17.15" hidden="false" customHeight="false" outlineLevel="0" collapsed="false">
      <c r="A11" s="0" t="s">
        <v>2666</v>
      </c>
      <c r="B11" s="5" t="s">
        <v>2667</v>
      </c>
      <c r="C11" s="0" t="s">
        <v>77</v>
      </c>
      <c r="D11" s="27" t="n">
        <f aca="false">Deploy!E15</f>
        <v>6.20938570515285</v>
      </c>
      <c r="E11" s="27" t="n">
        <f aca="false">Deploy!F15</f>
        <v>25.3371433333333</v>
      </c>
      <c r="F11" s="27" t="n">
        <f aca="false">Deploy!G15</f>
        <v>37.048055095226</v>
      </c>
      <c r="G11" s="27" t="n">
        <f aca="false">Deploy!H15</f>
        <v>49.1537504877809</v>
      </c>
      <c r="H11" s="27" t="n">
        <f aca="false">Deploy!I15</f>
        <v>72.9141817146185</v>
      </c>
      <c r="I11" s="27" t="n">
        <f aca="false">Deploy!J15</f>
        <v>108.264185543703</v>
      </c>
      <c r="J11" s="27" t="n">
        <f aca="false">Deploy!K15</f>
        <v>138.346240938777</v>
      </c>
      <c r="K11" s="27" t="n">
        <f aca="false">Deploy!L15</f>
        <v>163.634916957784</v>
      </c>
      <c r="L11" s="27" t="n">
        <f aca="false">Deploy!M15</f>
        <v>182.022148234666</v>
      </c>
      <c r="M11" s="20" t="s">
        <v>2668</v>
      </c>
    </row>
    <row r="12" customFormat="false" ht="17.15" hidden="false" customHeight="false" outlineLevel="0" collapsed="false">
      <c r="A12" s="0" t="s">
        <v>2669</v>
      </c>
      <c r="B12" s="5" t="s">
        <v>2670</v>
      </c>
      <c r="C12" s="0" t="s">
        <v>77</v>
      </c>
      <c r="D12" s="27" t="n">
        <f aca="false">Deploy!E29</f>
        <v>6.20938570515285</v>
      </c>
      <c r="E12" s="27" t="n">
        <f aca="false">Deploy!F29</f>
        <v>25.3371433333333</v>
      </c>
      <c r="F12" s="27" t="n">
        <f aca="false">Deploy!G29</f>
        <v>37.8525147943925</v>
      </c>
      <c r="G12" s="27" t="n">
        <f aca="false">Deploy!H29</f>
        <v>60.8097687204296</v>
      </c>
      <c r="H12" s="27" t="n">
        <f aca="false">Deploy!I29</f>
        <v>82.3484029599094</v>
      </c>
      <c r="I12" s="27" t="n">
        <f aca="false">Deploy!J29</f>
        <v>105.862350849077</v>
      </c>
      <c r="J12" s="27" t="n">
        <f aca="false">Deploy!K29</f>
        <v>129.543211456368</v>
      </c>
      <c r="K12" s="27" t="n">
        <f aca="false">Deploy!L29</f>
        <v>150.509445380168</v>
      </c>
      <c r="L12" s="27" t="n">
        <f aca="false">Deploy!M29</f>
        <v>165.560389918185</v>
      </c>
      <c r="M12" s="20" t="s">
        <v>2671</v>
      </c>
    </row>
    <row r="13" customFormat="false" ht="17.15" hidden="false" customHeight="false" outlineLevel="0" collapsed="false">
      <c r="A13" s="0" t="s">
        <v>2672</v>
      </c>
      <c r="B13" s="5" t="s">
        <v>2673</v>
      </c>
      <c r="C13" s="0" t="s">
        <v>77</v>
      </c>
      <c r="D13" s="27" t="n">
        <f aca="false">Deploy!E30</f>
        <v>6.20938570515285</v>
      </c>
      <c r="E13" s="27" t="n">
        <f aca="false">Deploy!F30</f>
        <v>25.3371433333333</v>
      </c>
      <c r="F13" s="27" t="n">
        <f aca="false">Deploy!G30</f>
        <v>37.048055095226</v>
      </c>
      <c r="G13" s="27" t="n">
        <f aca="false">Deploy!H30</f>
        <v>56.6047076167064</v>
      </c>
      <c r="H13" s="27" t="n">
        <f aca="false">Deploy!I30</f>
        <v>78.1452878013338</v>
      </c>
      <c r="I13" s="27" t="n">
        <f aca="false">Deploy!J30</f>
        <v>101.492784968472</v>
      </c>
      <c r="J13" s="27" t="n">
        <f aca="false">Deploy!K30</f>
        <v>125.162985850092</v>
      </c>
      <c r="K13" s="27" t="n">
        <f aca="false">Deploy!L30</f>
        <v>146.639104443503</v>
      </c>
      <c r="L13" s="27" t="n">
        <f aca="false">Deploy!M30</f>
        <v>162.926474624032</v>
      </c>
      <c r="M13" s="20" t="s">
        <v>2674</v>
      </c>
    </row>
    <row r="14" customFormat="false" ht="17.15" hidden="false" customHeight="false" outlineLevel="0" collapsed="false">
      <c r="A14" s="0" t="s">
        <v>2675</v>
      </c>
      <c r="B14" s="5" t="s">
        <v>2676</v>
      </c>
      <c r="C14" s="0" t="s">
        <v>77</v>
      </c>
      <c r="D14" s="27" t="n">
        <f aca="false">Deploy!E31</f>
        <v>6.20938570515285</v>
      </c>
      <c r="E14" s="27" t="n">
        <f aca="false">Deploy!F31</f>
        <v>25.3371433333333</v>
      </c>
      <c r="F14" s="27" t="n">
        <f aca="false">Deploy!G31</f>
        <v>37.048055095226</v>
      </c>
      <c r="G14" s="27" t="n">
        <f aca="false">Deploy!H31</f>
        <v>49.1537504877809</v>
      </c>
      <c r="H14" s="27" t="n">
        <f aca="false">Deploy!I31</f>
        <v>70.2487757274828</v>
      </c>
      <c r="I14" s="27" t="n">
        <f aca="false">Deploy!J31</f>
        <v>99.833098905042</v>
      </c>
      <c r="J14" s="27" t="n">
        <f aca="false">Deploy!K31</f>
        <v>125.162985850092</v>
      </c>
      <c r="K14" s="27" t="n">
        <f aca="false">Deploy!L31</f>
        <v>146.639104443503</v>
      </c>
      <c r="L14" s="27" t="n">
        <f aca="false">Deploy!M31</f>
        <v>162.926474624032</v>
      </c>
      <c r="M14" s="20" t="s">
        <v>2677</v>
      </c>
    </row>
    <row r="15" customFormat="false" ht="17.15" hidden="false" customHeight="false" outlineLevel="0" collapsed="false">
      <c r="A15" s="0" t="s">
        <v>2678</v>
      </c>
      <c r="B15" s="5" t="s">
        <v>2679</v>
      </c>
      <c r="C15" s="0" t="s">
        <v>77</v>
      </c>
      <c r="D15" s="27" t="n">
        <f aca="false">Deploy!E45</f>
        <v>6.20938570515285</v>
      </c>
      <c r="E15" s="27" t="n">
        <f aca="false">Deploy!F45</f>
        <v>25.3371433333333</v>
      </c>
      <c r="F15" s="27" t="n">
        <f aca="false">Deploy!G45</f>
        <v>37.8525147943925</v>
      </c>
      <c r="G15" s="27" t="n">
        <f aca="false">Deploy!H45</f>
        <v>60.8097687204296</v>
      </c>
      <c r="H15" s="27" t="n">
        <f aca="false">Deploy!I45</f>
        <v>76.9637444000394</v>
      </c>
      <c r="I15" s="27" t="n">
        <f aca="false">Deploy!J45</f>
        <v>93.5618252629809</v>
      </c>
      <c r="J15" s="27" t="n">
        <f aca="false">Deploy!K45</f>
        <v>110.132312891659</v>
      </c>
      <c r="K15" s="27" t="n">
        <f aca="false">Deploy!L45</f>
        <v>125.391549988204</v>
      </c>
      <c r="L15" s="27" t="n">
        <f aca="false">Deploy!M45</f>
        <v>137.930704987025</v>
      </c>
      <c r="M15" s="20" t="s">
        <v>2680</v>
      </c>
    </row>
    <row r="16" customFormat="false" ht="17.15" hidden="false" customHeight="false" outlineLevel="0" collapsed="false">
      <c r="A16" s="0" t="s">
        <v>2681</v>
      </c>
      <c r="B16" s="5" t="s">
        <v>2682</v>
      </c>
      <c r="C16" s="0" t="s">
        <v>77</v>
      </c>
      <c r="D16" s="27" t="n">
        <f aca="false">Deploy!E46</f>
        <v>6.20938570515285</v>
      </c>
      <c r="E16" s="27" t="n">
        <f aca="false">Deploy!F46</f>
        <v>25.3371433333333</v>
      </c>
      <c r="F16" s="27" t="n">
        <f aca="false">Deploy!G46</f>
        <v>37.048055095226</v>
      </c>
      <c r="G16" s="27" t="n">
        <f aca="false">Deploy!H46</f>
        <v>56.6047076167064</v>
      </c>
      <c r="H16" s="27" t="n">
        <f aca="false">Deploy!I46</f>
        <v>73.702944489441</v>
      </c>
      <c r="I16" s="27" t="n">
        <f aca="false">Deploy!J46</f>
        <v>90.4025361119662</v>
      </c>
      <c r="J16" s="27" t="n">
        <f aca="false">Deploy!K46</f>
        <v>106.996402556641</v>
      </c>
      <c r="K16" s="27" t="n">
        <f aca="false">Deploy!L46</f>
        <v>122.519933496309</v>
      </c>
      <c r="L16" s="27" t="n">
        <f aca="false">Deploy!M46</f>
        <v>135.736352862231</v>
      </c>
      <c r="M16" s="20" t="s">
        <v>2683</v>
      </c>
    </row>
    <row r="17" customFormat="false" ht="17.15" hidden="false" customHeight="false" outlineLevel="0" collapsed="false">
      <c r="A17" s="0" t="s">
        <v>2684</v>
      </c>
      <c r="B17" s="5" t="s">
        <v>2685</v>
      </c>
      <c r="C17" s="0" t="s">
        <v>77</v>
      </c>
      <c r="D17" s="27" t="n">
        <f aca="false">Deploy!E47</f>
        <v>6.20938570515285</v>
      </c>
      <c r="E17" s="27" t="n">
        <f aca="false">Deploy!F47</f>
        <v>25.3371433333333</v>
      </c>
      <c r="F17" s="27" t="n">
        <f aca="false">Deploy!G47</f>
        <v>37.048055095226</v>
      </c>
      <c r="G17" s="27" t="n">
        <f aca="false">Deploy!H47</f>
        <v>49.1537504877809</v>
      </c>
      <c r="H17" s="27" t="n">
        <f aca="false">Deploy!I47</f>
        <v>67.5833697403472</v>
      </c>
      <c r="I17" s="27" t="n">
        <f aca="false">Deploy!J47</f>
        <v>89.1197761477268</v>
      </c>
      <c r="J17" s="27" t="n">
        <f aca="false">Deploy!K47</f>
        <v>106.996402556641</v>
      </c>
      <c r="K17" s="27" t="n">
        <f aca="false">Deploy!L47</f>
        <v>122.519933496309</v>
      </c>
      <c r="L17" s="27" t="n">
        <f aca="false">Deploy!M47</f>
        <v>135.736352862231</v>
      </c>
      <c r="M17" s="20" t="s">
        <v>2686</v>
      </c>
    </row>
    <row r="18" customFormat="false" ht="17.15" hidden="false" customHeight="false" outlineLevel="0" collapsed="false">
      <c r="A18" s="0" t="s">
        <v>2687</v>
      </c>
      <c r="B18" s="5" t="s">
        <v>2688</v>
      </c>
      <c r="C18" s="0" t="s">
        <v>77</v>
      </c>
      <c r="D18" s="27" t="n">
        <f aca="false">Deploy!E16</f>
        <v>3.41998203041741</v>
      </c>
      <c r="E18" s="27" t="n">
        <f aca="false">Deploy!F16</f>
        <v>15.7732645192431</v>
      </c>
      <c r="F18" s="27" t="n">
        <f aca="false">Deploy!G16</f>
        <v>31.5948290638629</v>
      </c>
      <c r="G18" s="27" t="n">
        <f aca="false">Deploy!H16</f>
        <v>49.3311417574111</v>
      </c>
      <c r="H18" s="27" t="n">
        <f aca="false">Deploy!I16</f>
        <v>74.2714151201045</v>
      </c>
      <c r="I18" s="27" t="n">
        <f aca="false">Deploy!J16</f>
        <v>101.564795572231</v>
      </c>
      <c r="J18" s="27" t="n">
        <f aca="false">Deploy!K16</f>
        <v>129.448521330194</v>
      </c>
      <c r="K18" s="27" t="n">
        <f aca="false">Deploy!L16</f>
        <v>155.825151776359</v>
      </c>
      <c r="L18" s="27" t="n">
        <f aca="false">Deploy!M16</f>
        <v>176.557280042863</v>
      </c>
      <c r="M18" s="20" t="s">
        <v>2689</v>
      </c>
    </row>
    <row r="19" customFormat="false" ht="17.15" hidden="false" customHeight="false" outlineLevel="0" collapsed="false">
      <c r="A19" s="0" t="s">
        <v>2690</v>
      </c>
      <c r="B19" s="5" t="s">
        <v>2691</v>
      </c>
      <c r="C19" s="0" t="s">
        <v>77</v>
      </c>
      <c r="D19" s="27" t="n">
        <f aca="false">Deploy!E17</f>
        <v>3.41998203041741</v>
      </c>
      <c r="E19" s="27" t="n">
        <f aca="false">Deploy!F17</f>
        <v>15.7732645192431</v>
      </c>
      <c r="F19" s="27" t="n">
        <f aca="false">Deploy!G17</f>
        <v>31.1925992142797</v>
      </c>
      <c r="G19" s="27" t="n">
        <f aca="false">Deploy!H17</f>
        <v>46.8263813559662</v>
      </c>
      <c r="H19" s="27" t="n">
        <f aca="false">Deploy!I17</f>
        <v>69.5961693649664</v>
      </c>
      <c r="I19" s="27" t="n">
        <f aca="false">Deploy!J17</f>
        <v>96.4442144097752</v>
      </c>
      <c r="J19" s="27" t="n">
        <f aca="false">Deploy!K17</f>
        <v>124.32351932255</v>
      </c>
      <c r="K19" s="27" t="n">
        <f aca="false">Deploy!L17</f>
        <v>150.99057894828</v>
      </c>
      <c r="L19" s="27" t="n">
        <f aca="false">Deploy!M17</f>
        <v>172.828532596225</v>
      </c>
      <c r="M19" s="20" t="s">
        <v>2692</v>
      </c>
    </row>
    <row r="20" customFormat="false" ht="17.15" hidden="false" customHeight="false" outlineLevel="0" collapsed="false">
      <c r="A20" s="0" t="s">
        <v>2693</v>
      </c>
      <c r="B20" s="5" t="s">
        <v>2694</v>
      </c>
      <c r="C20" s="0" t="s">
        <v>77</v>
      </c>
      <c r="D20" s="27" t="n">
        <f aca="false">Deploy!E18</f>
        <v>3.41998203041741</v>
      </c>
      <c r="E20" s="27" t="n">
        <f aca="false">Deploy!F18</f>
        <v>15.7732645192431</v>
      </c>
      <c r="F20" s="27" t="n">
        <f aca="false">Deploy!G18</f>
        <v>31.1925992142797</v>
      </c>
      <c r="G20" s="27" t="n">
        <f aca="false">Deploy!H18</f>
        <v>43.1009027915034</v>
      </c>
      <c r="H20" s="27" t="n">
        <f aca="false">Deploy!I18</f>
        <v>61.0339661011997</v>
      </c>
      <c r="I20" s="27" t="n">
        <f aca="false">Deploy!J18</f>
        <v>90.5891836291606</v>
      </c>
      <c r="J20" s="27" t="n">
        <f aca="false">Deploy!K18</f>
        <v>123.30521324124</v>
      </c>
      <c r="K20" s="27" t="n">
        <f aca="false">Deploy!L18</f>
        <v>150.99057894828</v>
      </c>
      <c r="L20" s="27" t="n">
        <f aca="false">Deploy!M18</f>
        <v>172.828532596225</v>
      </c>
      <c r="M20" s="20" t="s">
        <v>2695</v>
      </c>
    </row>
    <row r="21" customFormat="false" ht="17.15" hidden="false" customHeight="false" outlineLevel="0" collapsed="false">
      <c r="A21" s="0" t="s">
        <v>2696</v>
      </c>
      <c r="B21" s="5" t="s">
        <v>2697</v>
      </c>
      <c r="C21" s="0" t="s">
        <v>77</v>
      </c>
      <c r="D21" s="27" t="n">
        <f aca="false">Deploy!E32</f>
        <v>3.41998203041741</v>
      </c>
      <c r="E21" s="27" t="n">
        <f aca="false">Deploy!F32</f>
        <v>15.7732645192431</v>
      </c>
      <c r="F21" s="27" t="n">
        <f aca="false">Deploy!G32</f>
        <v>31.5948290638629</v>
      </c>
      <c r="G21" s="27" t="n">
        <f aca="false">Deploy!H32</f>
        <v>49.3311417574111</v>
      </c>
      <c r="H21" s="27" t="n">
        <f aca="false">Deploy!I32</f>
        <v>71.5790858401695</v>
      </c>
      <c r="I21" s="27" t="n">
        <f aca="false">Deploy!J32</f>
        <v>94.1053769044929</v>
      </c>
      <c r="J21" s="27" t="n">
        <f aca="false">Deploy!K32</f>
        <v>117.702781152722</v>
      </c>
      <c r="K21" s="27" t="n">
        <f aca="false">Deploy!L32</f>
        <v>140.026328418268</v>
      </c>
      <c r="L21" s="27" t="n">
        <f aca="false">Deploy!M32</f>
        <v>158.034917649176</v>
      </c>
      <c r="M21" s="20" t="s">
        <v>2698</v>
      </c>
    </row>
    <row r="22" customFormat="false" ht="17.15" hidden="false" customHeight="false" outlineLevel="0" collapsed="false">
      <c r="A22" s="0" t="s">
        <v>2699</v>
      </c>
      <c r="B22" s="5" t="s">
        <v>2700</v>
      </c>
      <c r="C22" s="0" t="s">
        <v>77</v>
      </c>
      <c r="D22" s="27" t="n">
        <f aca="false">Deploy!E33</f>
        <v>3.41998203041741</v>
      </c>
      <c r="E22" s="27" t="n">
        <f aca="false">Deploy!F33</f>
        <v>15.7732645192431</v>
      </c>
      <c r="F22" s="27" t="n">
        <f aca="false">Deploy!G33</f>
        <v>31.1925992142797</v>
      </c>
      <c r="G22" s="27" t="n">
        <f aca="false">Deploy!H33</f>
        <v>46.8263813559662</v>
      </c>
      <c r="H22" s="27" t="n">
        <f aca="false">Deploy!I33</f>
        <v>67.3749977090201</v>
      </c>
      <c r="I22" s="27" t="n">
        <f aca="false">Deploy!J33</f>
        <v>89.819036384903</v>
      </c>
      <c r="J22" s="27" t="n">
        <f aca="false">Deploy!K33</f>
        <v>113.327885409282</v>
      </c>
      <c r="K22" s="27" t="n">
        <f aca="false">Deploy!L33</f>
        <v>135.901045146798</v>
      </c>
      <c r="L22" s="27" t="n">
        <f aca="false">Deploy!M33</f>
        <v>154.782789533768</v>
      </c>
      <c r="M22" s="20" t="s">
        <v>2701</v>
      </c>
    </row>
    <row r="23" customFormat="false" ht="17.15" hidden="false" customHeight="false" outlineLevel="0" collapsed="false">
      <c r="A23" s="0" t="s">
        <v>2702</v>
      </c>
      <c r="B23" s="5" t="s">
        <v>2703</v>
      </c>
      <c r="C23" s="0" t="s">
        <v>77</v>
      </c>
      <c r="D23" s="27" t="n">
        <f aca="false">Deploy!E34</f>
        <v>3.41998203041741</v>
      </c>
      <c r="E23" s="27" t="n">
        <f aca="false">Deploy!F34</f>
        <v>15.7732645192431</v>
      </c>
      <c r="F23" s="27" t="n">
        <f aca="false">Deploy!G34</f>
        <v>31.1925992142797</v>
      </c>
      <c r="G23" s="27" t="n">
        <f aca="false">Deploy!H34</f>
        <v>43.1009027915034</v>
      </c>
      <c r="H23" s="27" t="n">
        <f aca="false">Deploy!I34</f>
        <v>59.7012631076318</v>
      </c>
      <c r="I23" s="27" t="n">
        <f aca="false">Deploy!J34</f>
        <v>85.0409373162624</v>
      </c>
      <c r="J23" s="27" t="n">
        <f aca="false">Deploy!K34</f>
        <v>112.498042377567</v>
      </c>
      <c r="K23" s="27" t="n">
        <f aca="false">Deploy!L34</f>
        <v>135.901045146798</v>
      </c>
      <c r="L23" s="27" t="n">
        <f aca="false">Deploy!M34</f>
        <v>154.782789533768</v>
      </c>
      <c r="M23" s="20" t="s">
        <v>2704</v>
      </c>
    </row>
    <row r="24" customFormat="false" ht="17.15" hidden="false" customHeight="false" outlineLevel="0" collapsed="false">
      <c r="A24" s="0" t="s">
        <v>2705</v>
      </c>
      <c r="B24" s="5" t="s">
        <v>2706</v>
      </c>
      <c r="C24" s="0" t="s">
        <v>77</v>
      </c>
      <c r="D24" s="27" t="n">
        <f aca="false">Deploy!E48</f>
        <v>3.41998203041741</v>
      </c>
      <c r="E24" s="27" t="n">
        <f aca="false">Deploy!F48</f>
        <v>15.7732645192431</v>
      </c>
      <c r="F24" s="27" t="n">
        <f aca="false">Deploy!G48</f>
        <v>31.5948290638629</v>
      </c>
      <c r="G24" s="27" t="n">
        <f aca="false">Deploy!H48</f>
        <v>49.3311417574111</v>
      </c>
      <c r="H24" s="27" t="n">
        <f aca="false">Deploy!I48</f>
        <v>68.8867565602345</v>
      </c>
      <c r="I24" s="27" t="n">
        <f aca="false">Deploy!J48</f>
        <v>85.2627848315102</v>
      </c>
      <c r="J24" s="27" t="n">
        <f aca="false">Deploy!K48</f>
        <v>101.84706907732</v>
      </c>
      <c r="K24" s="27" t="n">
        <f aca="false">Deploy!L48</f>
        <v>117.761931439932</v>
      </c>
      <c r="L24" s="27" t="n">
        <f aca="false">Deploy!M48</f>
        <v>131.661127487615</v>
      </c>
      <c r="M24" s="20" t="s">
        <v>2707</v>
      </c>
    </row>
    <row r="25" customFormat="false" ht="17.15" hidden="false" customHeight="false" outlineLevel="0" collapsed="false">
      <c r="A25" s="0" t="s">
        <v>2708</v>
      </c>
      <c r="B25" s="5" t="s">
        <v>2709</v>
      </c>
      <c r="C25" s="0" t="s">
        <v>77</v>
      </c>
      <c r="D25" s="27" t="n">
        <f aca="false">Deploy!E49</f>
        <v>3.41998203041741</v>
      </c>
      <c r="E25" s="27" t="n">
        <f aca="false">Deploy!F49</f>
        <v>15.7732645192431</v>
      </c>
      <c r="F25" s="27" t="n">
        <f aca="false">Deploy!G49</f>
        <v>31.1925992142797</v>
      </c>
      <c r="G25" s="27" t="n">
        <f aca="false">Deploy!H49</f>
        <v>46.8263813559662</v>
      </c>
      <c r="H25" s="27" t="n">
        <f aca="false">Deploy!I49</f>
        <v>65.1538260530737</v>
      </c>
      <c r="I25" s="27" t="n">
        <f aca="false">Deploy!J49</f>
        <v>82.0527403007036</v>
      </c>
      <c r="J25" s="27" t="n">
        <f aca="false">Deploy!K49</f>
        <v>98.6994693343034</v>
      </c>
      <c r="K25" s="27" t="n">
        <f aca="false">Deploy!L49</f>
        <v>114.758168026475</v>
      </c>
      <c r="L25" s="27" t="n">
        <f aca="false">Deploy!M49</f>
        <v>129.12814317927</v>
      </c>
      <c r="M25" s="20" t="s">
        <v>2710</v>
      </c>
    </row>
    <row r="26" customFormat="false" ht="17.15" hidden="false" customHeight="false" outlineLevel="0" collapsed="false">
      <c r="A26" s="0" t="s">
        <v>2711</v>
      </c>
      <c r="B26" s="5" t="s">
        <v>2712</v>
      </c>
      <c r="C26" s="0" t="s">
        <v>77</v>
      </c>
      <c r="D26" s="27" t="n">
        <f aca="false">Deploy!E50</f>
        <v>3.41998203041741</v>
      </c>
      <c r="E26" s="27" t="n">
        <f aca="false">Deploy!F50</f>
        <v>15.7732645192431</v>
      </c>
      <c r="F26" s="27" t="n">
        <f aca="false">Deploy!G50</f>
        <v>31.1925992142797</v>
      </c>
      <c r="G26" s="27" t="n">
        <f aca="false">Deploy!H50</f>
        <v>43.1009027915034</v>
      </c>
      <c r="H26" s="27" t="n">
        <f aca="false">Deploy!I50</f>
        <v>58.368560114064</v>
      </c>
      <c r="I26" s="27" t="n">
        <f aca="false">Deploy!J50</f>
        <v>78.351572944037</v>
      </c>
      <c r="J26" s="27" t="n">
        <f aca="false">Deploy!K50</f>
        <v>98.0580893521837</v>
      </c>
      <c r="K26" s="27" t="n">
        <f aca="false">Deploy!L50</f>
        <v>114.758168026475</v>
      </c>
      <c r="L26" s="27" t="n">
        <f aca="false">Deploy!M50</f>
        <v>129.12814317927</v>
      </c>
      <c r="M26" s="20" t="s">
        <v>2713</v>
      </c>
    </row>
    <row r="27" customFormat="false" ht="17.15" hidden="false" customHeight="false" outlineLevel="0" collapsed="false">
      <c r="A27" s="0" t="s">
        <v>2714</v>
      </c>
      <c r="B27" s="5" t="s">
        <v>2715</v>
      </c>
      <c r="C27" s="0" t="s">
        <v>77</v>
      </c>
      <c r="D27" s="27" t="n">
        <f aca="false">Deploy!E19</f>
        <v>1.61980834349181</v>
      </c>
      <c r="E27" s="27" t="n">
        <f aca="false">Deploy!F19</f>
        <v>9.04912429484716</v>
      </c>
      <c r="F27" s="27" t="n">
        <f aca="false">Deploy!G19</f>
        <v>12.5153714610592</v>
      </c>
      <c r="G27" s="27" t="n">
        <f aca="false">Deploy!H19</f>
        <v>22.9572539260371</v>
      </c>
      <c r="H27" s="27" t="n">
        <f aca="false">Deploy!I19</f>
        <v>26.9232927993498</v>
      </c>
      <c r="I27" s="27" t="n">
        <f aca="false">Deploy!J19</f>
        <v>27.6634681049025</v>
      </c>
      <c r="J27" s="27" t="n">
        <f aca="false">Deploy!K19</f>
        <v>28.1039834110243</v>
      </c>
      <c r="K27" s="27" t="n">
        <f aca="false">Deploy!L19</f>
        <v>24.6492774813065</v>
      </c>
      <c r="L27" s="27" t="n">
        <f aca="false">Deploy!M19</f>
        <v>16.8149790517012</v>
      </c>
      <c r="M27" s="20" t="s">
        <v>2716</v>
      </c>
    </row>
    <row r="28" customFormat="false" ht="17.15" hidden="false" customHeight="false" outlineLevel="0" collapsed="false">
      <c r="A28" s="0" t="s">
        <v>2717</v>
      </c>
      <c r="B28" s="5" t="s">
        <v>2718</v>
      </c>
      <c r="C28" s="0" t="s">
        <v>77</v>
      </c>
      <c r="D28" s="27" t="n">
        <f aca="false">Deploy!E20</f>
        <v>1.61980834349181</v>
      </c>
      <c r="E28" s="27" t="n">
        <f aca="false">Deploy!F20</f>
        <v>9.04912429484716</v>
      </c>
      <c r="F28" s="27" t="n">
        <f aca="false">Deploy!G20</f>
        <v>11.7109117618926</v>
      </c>
      <c r="G28" s="27" t="n">
        <f aca="false">Deploy!H20</f>
        <v>19.5566525214805</v>
      </c>
      <c r="H28" s="27" t="n">
        <f aca="false">Deploy!I20</f>
        <v>25.98292349652</v>
      </c>
      <c r="I28" s="27" t="n">
        <f aca="false">Deploy!J20</f>
        <v>27.7131665930974</v>
      </c>
      <c r="J28" s="27" t="n">
        <f aca="false">Deploy!K20</f>
        <v>28.045443232453</v>
      </c>
      <c r="K28" s="27" t="n">
        <f aca="false">Deploy!L20</f>
        <v>25.2886760190071</v>
      </c>
      <c r="L28" s="27" t="n">
        <f aca="false">Deploy!M20</f>
        <v>18.3872312768822</v>
      </c>
      <c r="M28" s="20" t="s">
        <v>2719</v>
      </c>
    </row>
    <row r="29" customFormat="false" ht="17.15" hidden="false" customHeight="false" outlineLevel="0" collapsed="false">
      <c r="A29" s="0" t="s">
        <v>2720</v>
      </c>
      <c r="B29" s="5" t="s">
        <v>2721</v>
      </c>
      <c r="C29" s="0" t="s">
        <v>77</v>
      </c>
      <c r="D29" s="27" t="n">
        <f aca="false">Deploy!E21</f>
        <v>1.61980834349181</v>
      </c>
      <c r="E29" s="27" t="n">
        <f aca="false">Deploy!F21</f>
        <v>9.04912429484716</v>
      </c>
      <c r="F29" s="27" t="n">
        <f aca="false">Deploy!G21</f>
        <v>11.7109117618926</v>
      </c>
      <c r="G29" s="27" t="n">
        <f aca="false">Deploy!H21</f>
        <v>12.1056953925549</v>
      </c>
      <c r="H29" s="27" t="n">
        <f aca="false">Deploy!I21</f>
        <v>23.7604312268376</v>
      </c>
      <c r="I29" s="27" t="n">
        <f aca="false">Deploy!J21</f>
        <v>35.3500038290843</v>
      </c>
      <c r="J29" s="27" t="n">
        <f aca="false">Deploy!K21</f>
        <v>30.0820553950742</v>
      </c>
      <c r="K29" s="27" t="n">
        <f aca="false">Deploy!L21</f>
        <v>25.2886760190071</v>
      </c>
      <c r="L29" s="27" t="n">
        <f aca="false">Deploy!M21</f>
        <v>18.3872312768822</v>
      </c>
      <c r="M29" s="20" t="s">
        <v>2722</v>
      </c>
    </row>
    <row r="30" customFormat="false" ht="17.15" hidden="false" customHeight="false" outlineLevel="0" collapsed="false">
      <c r="A30" s="0" t="s">
        <v>2723</v>
      </c>
      <c r="B30" s="5" t="s">
        <v>2724</v>
      </c>
      <c r="C30" s="0" t="s">
        <v>77</v>
      </c>
      <c r="D30" s="27" t="n">
        <f aca="false">Deploy!E35</f>
        <v>1.61980834349181</v>
      </c>
      <c r="E30" s="27" t="n">
        <f aca="false">Deploy!F35</f>
        <v>9.04912429484716</v>
      </c>
      <c r="F30" s="27" t="n">
        <f aca="false">Deploy!G35</f>
        <v>12.5153714610592</v>
      </c>
      <c r="G30" s="27" t="n">
        <f aca="false">Deploy!H35</f>
        <v>22.9572539260371</v>
      </c>
      <c r="H30" s="27" t="n">
        <f aca="false">Deploy!I35</f>
        <v>21.5386342394798</v>
      </c>
      <c r="I30" s="27" t="n">
        <f aca="false">Deploy!J35</f>
        <v>23.5139478891671</v>
      </c>
      <c r="J30" s="27" t="n">
        <f aca="false">Deploy!K35</f>
        <v>23.6808606072918</v>
      </c>
      <c r="K30" s="27" t="n">
        <f aca="false">Deploy!L35</f>
        <v>20.9662339237998</v>
      </c>
      <c r="L30" s="27" t="n">
        <f aca="false">Deploy!M35</f>
        <v>15.0509445380168</v>
      </c>
      <c r="M30" s="20" t="s">
        <v>2725</v>
      </c>
    </row>
    <row r="31" customFormat="false" ht="17.15" hidden="false" customHeight="false" outlineLevel="0" collapsed="false">
      <c r="A31" s="0" t="s">
        <v>2726</v>
      </c>
      <c r="B31" s="5" t="s">
        <v>2727</v>
      </c>
      <c r="C31" s="0" t="s">
        <v>77</v>
      </c>
      <c r="D31" s="27" t="n">
        <f aca="false">Deploy!E36</f>
        <v>1.61980834349181</v>
      </c>
      <c r="E31" s="27" t="n">
        <f aca="false">Deploy!F36</f>
        <v>9.04912429484716</v>
      </c>
      <c r="F31" s="27" t="n">
        <f aca="false">Deploy!G36</f>
        <v>11.7109117618926</v>
      </c>
      <c r="G31" s="27" t="n">
        <f aca="false">Deploy!H36</f>
        <v>19.5566525214805</v>
      </c>
      <c r="H31" s="27" t="n">
        <f aca="false">Deploy!I36</f>
        <v>21.5405801846273</v>
      </c>
      <c r="I31" s="27" t="n">
        <f aca="false">Deploy!J36</f>
        <v>23.3474971671385</v>
      </c>
      <c r="J31" s="27" t="n">
        <f aca="false">Deploy!K36</f>
        <v>23.67020088162</v>
      </c>
      <c r="K31" s="27" t="n">
        <f aca="false">Deploy!L36</f>
        <v>21.4761185934109</v>
      </c>
      <c r="L31" s="27" t="n">
        <f aca="false">Deploy!M36</f>
        <v>16.2873701805288</v>
      </c>
      <c r="M31" s="20" t="s">
        <v>2728</v>
      </c>
    </row>
    <row r="32" customFormat="false" ht="17.15" hidden="false" customHeight="false" outlineLevel="0" collapsed="false">
      <c r="A32" s="0" t="s">
        <v>2729</v>
      </c>
      <c r="B32" s="5" t="s">
        <v>2730</v>
      </c>
      <c r="C32" s="0" t="s">
        <v>77</v>
      </c>
      <c r="D32" s="27" t="n">
        <f aca="false">Deploy!E37</f>
        <v>1.61980834349181</v>
      </c>
      <c r="E32" s="27" t="n">
        <f aca="false">Deploy!F37</f>
        <v>9.04912429484716</v>
      </c>
      <c r="F32" s="27" t="n">
        <f aca="false">Deploy!G37</f>
        <v>11.7109117618926</v>
      </c>
      <c r="G32" s="27" t="n">
        <f aca="false">Deploy!H37</f>
        <v>12.1056953925549</v>
      </c>
      <c r="H32" s="27" t="n">
        <f aca="false">Deploy!I37</f>
        <v>21.095025239702</v>
      </c>
      <c r="I32" s="27" t="n">
        <f aca="false">Deploy!J37</f>
        <v>29.5843231775592</v>
      </c>
      <c r="J32" s="27" t="n">
        <f aca="false">Deploy!K37</f>
        <v>25.3298869450502</v>
      </c>
      <c r="K32" s="27" t="n">
        <f aca="false">Deploy!L37</f>
        <v>21.4761185934109</v>
      </c>
      <c r="L32" s="27" t="n">
        <f aca="false">Deploy!M37</f>
        <v>16.2873701805288</v>
      </c>
      <c r="M32" s="20" t="s">
        <v>2731</v>
      </c>
    </row>
    <row r="33" customFormat="false" ht="17.15" hidden="false" customHeight="false" outlineLevel="0" collapsed="false">
      <c r="A33" s="0" t="s">
        <v>2732</v>
      </c>
      <c r="B33" s="5" t="s">
        <v>2733</v>
      </c>
      <c r="C33" s="0" t="s">
        <v>77</v>
      </c>
      <c r="D33" s="27" t="n">
        <f aca="false">Deploy!E51</f>
        <v>1.61980834349181</v>
      </c>
      <c r="E33" s="27" t="n">
        <f aca="false">Deploy!F51</f>
        <v>9.04912429484716</v>
      </c>
      <c r="F33" s="27" t="n">
        <f aca="false">Deploy!G51</f>
        <v>12.5153714610592</v>
      </c>
      <c r="G33" s="27" t="n">
        <f aca="false">Deploy!H51</f>
        <v>22.9572539260371</v>
      </c>
      <c r="H33" s="27" t="n">
        <f aca="false">Deploy!I51</f>
        <v>16.1539756796099</v>
      </c>
      <c r="I33" s="27" t="n">
        <f aca="false">Deploy!J51</f>
        <v>16.5980808629415</v>
      </c>
      <c r="J33" s="27" t="n">
        <f aca="false">Deploy!K51</f>
        <v>16.5704876286783</v>
      </c>
      <c r="K33" s="27" t="n">
        <f aca="false">Deploy!L51</f>
        <v>15.2592370965451</v>
      </c>
      <c r="L33" s="27" t="n">
        <f aca="false">Deploy!M51</f>
        <v>12.5391549988205</v>
      </c>
      <c r="M33" s="20" t="s">
        <v>2734</v>
      </c>
    </row>
    <row r="34" customFormat="false" ht="17.15" hidden="false" customHeight="false" outlineLevel="0" collapsed="false">
      <c r="A34" s="0" t="s">
        <v>2735</v>
      </c>
      <c r="B34" s="5" t="s">
        <v>2736</v>
      </c>
      <c r="C34" s="0" t="s">
        <v>77</v>
      </c>
      <c r="D34" s="27" t="n">
        <f aca="false">Deploy!E52</f>
        <v>1.61980834349181</v>
      </c>
      <c r="E34" s="27" t="n">
        <f aca="false">Deploy!F52</f>
        <v>9.04912429484716</v>
      </c>
      <c r="F34" s="27" t="n">
        <f aca="false">Deploy!G52</f>
        <v>11.7109117618926</v>
      </c>
      <c r="G34" s="27" t="n">
        <f aca="false">Deploy!H52</f>
        <v>19.5566525214805</v>
      </c>
      <c r="H34" s="27" t="n">
        <f aca="false">Deploy!I52</f>
        <v>17.0982368727346</v>
      </c>
      <c r="I34" s="27" t="n">
        <f aca="false">Deploy!J52</f>
        <v>16.6995916225251</v>
      </c>
      <c r="J34" s="27" t="n">
        <f aca="false">Deploy!K52</f>
        <v>16.5938664446744</v>
      </c>
      <c r="K34" s="27" t="n">
        <f aca="false">Deploy!L52</f>
        <v>15.5235309396684</v>
      </c>
      <c r="L34" s="27" t="n">
        <f aca="false">Deploy!M52</f>
        <v>13.2164193659223</v>
      </c>
      <c r="M34" s="20" t="s">
        <v>2737</v>
      </c>
    </row>
    <row r="35" customFormat="false" ht="17.15" hidden="false" customHeight="false" outlineLevel="0" collapsed="false">
      <c r="A35" s="0" t="s">
        <v>2738</v>
      </c>
      <c r="B35" s="5" t="s">
        <v>2739</v>
      </c>
      <c r="C35" s="0" t="s">
        <v>77</v>
      </c>
      <c r="D35" s="27" t="n">
        <f aca="false">Deploy!E53</f>
        <v>1.61980834349181</v>
      </c>
      <c r="E35" s="27" t="n">
        <f aca="false">Deploy!F53</f>
        <v>9.04912429484716</v>
      </c>
      <c r="F35" s="27" t="n">
        <f aca="false">Deploy!G53</f>
        <v>11.7109117618926</v>
      </c>
      <c r="G35" s="27" t="n">
        <f aca="false">Deploy!H53</f>
        <v>12.1056953925549</v>
      </c>
      <c r="H35" s="27" t="n">
        <f aca="false">Deploy!I53</f>
        <v>18.4296192525663</v>
      </c>
      <c r="I35" s="27" t="n">
        <f aca="false">Deploy!J53</f>
        <v>21.5364064073796</v>
      </c>
      <c r="J35" s="27" t="n">
        <f aca="false">Deploy!K53</f>
        <v>17.8766264089137</v>
      </c>
      <c r="K35" s="27" t="n">
        <f aca="false">Deploy!L53</f>
        <v>15.5235309396684</v>
      </c>
      <c r="L35" s="27" t="n">
        <f aca="false">Deploy!M53</f>
        <v>13.2164193659223</v>
      </c>
      <c r="M35" s="20" t="s">
        <v>2740</v>
      </c>
    </row>
    <row r="36" customFormat="false" ht="17.15" hidden="false" customHeight="false" outlineLevel="0" collapsed="false">
      <c r="A36" s="8" t="s">
        <v>2741</v>
      </c>
    </row>
    <row r="37" customFormat="false" ht="17.15" hidden="false" customHeight="false" outlineLevel="0" collapsed="false">
      <c r="A37" s="0" t="s">
        <v>2742</v>
      </c>
      <c r="B37" s="5" t="s">
        <v>2743</v>
      </c>
      <c r="C37" s="0" t="s">
        <v>77</v>
      </c>
      <c r="D37" s="27" t="n">
        <f aca="false">Deploy!E22</f>
        <v>0</v>
      </c>
      <c r="E37" s="27" t="n">
        <f aca="false">Deploy!F22</f>
        <v>0</v>
      </c>
      <c r="F37" s="27" t="n">
        <f aca="false">Deploy!G22</f>
        <v>0.80445969916655</v>
      </c>
      <c r="G37" s="27" t="n">
        <f aca="false">Deploy!H22</f>
        <v>4.20506110372315</v>
      </c>
      <c r="H37" s="27" t="n">
        <f aca="false">Deploy!I22</f>
        <v>5.14543040655289</v>
      </c>
      <c r="I37" s="27" t="n">
        <f aca="false">Deploy!J22</f>
        <v>5.09573191835796</v>
      </c>
      <c r="J37" s="27" t="n">
        <f aca="false">Deploy!K22</f>
        <v>5.15427209692925</v>
      </c>
      <c r="K37" s="27" t="n">
        <f aca="false">Deploy!L22</f>
        <v>4.51487355922865</v>
      </c>
      <c r="L37" s="27" t="n">
        <f aca="false">Deploy!M22</f>
        <v>2.94262133404771</v>
      </c>
      <c r="M37" s="20" t="s">
        <v>2744</v>
      </c>
    </row>
    <row r="38" customFormat="false" ht="17.15" hidden="false" customHeight="false" outlineLevel="0" collapsed="false">
      <c r="A38" s="0" t="s">
        <v>2745</v>
      </c>
      <c r="B38" s="5" t="s">
        <v>2746</v>
      </c>
      <c r="C38" s="0" t="s">
        <v>77</v>
      </c>
      <c r="D38" s="27" t="n">
        <f aca="false">Deploy!E23</f>
        <v>0</v>
      </c>
      <c r="E38" s="27" t="n">
        <f aca="false">Deploy!F23</f>
        <v>0</v>
      </c>
      <c r="F38" s="27" t="n">
        <f aca="false">Deploy!G23</f>
        <v>0.80445969916655</v>
      </c>
      <c r="G38" s="27" t="n">
        <f aca="false">Deploy!H23</f>
        <v>11.6560182326487</v>
      </c>
      <c r="H38" s="27" t="n">
        <f aca="false">Deploy!I23</f>
        <v>14.8188798051609</v>
      </c>
      <c r="I38" s="27" t="n">
        <f aca="false">Deploy!J23</f>
        <v>7.1323440809791</v>
      </c>
      <c r="J38" s="27" t="n">
        <f aca="false">Deploy!K23</f>
        <v>5.15427209692925</v>
      </c>
      <c r="K38" s="27" t="n">
        <f aca="false">Deploy!L23</f>
        <v>4.51487355922865</v>
      </c>
      <c r="L38" s="27" t="n">
        <f aca="false">Deploy!M23</f>
        <v>2.94262133404771</v>
      </c>
      <c r="M38" s="20" t="s">
        <v>2747</v>
      </c>
    </row>
    <row r="39" customFormat="false" ht="17.15" hidden="false" customHeight="false" outlineLevel="0" collapsed="false">
      <c r="A39" s="0" t="s">
        <v>2748</v>
      </c>
      <c r="B39" s="5" t="s">
        <v>2749</v>
      </c>
      <c r="C39" s="0" t="s">
        <v>77</v>
      </c>
      <c r="D39" s="27" t="n">
        <f aca="false">Deploy!E38</f>
        <v>0</v>
      </c>
      <c r="E39" s="27" t="n">
        <f aca="false">Deploy!F38</f>
        <v>0</v>
      </c>
      <c r="F39" s="27" t="n">
        <f aca="false">Deploy!G38</f>
        <v>0.80445969916655</v>
      </c>
      <c r="G39" s="27" t="n">
        <f aca="false">Deploy!H38</f>
        <v>4.20506110372315</v>
      </c>
      <c r="H39" s="27" t="n">
        <f aca="false">Deploy!I38</f>
        <v>4.20311515857563</v>
      </c>
      <c r="I39" s="27" t="n">
        <f aca="false">Deploy!J38</f>
        <v>4.36956588060426</v>
      </c>
      <c r="J39" s="27" t="n">
        <f aca="false">Deploy!K38</f>
        <v>4.38022560627607</v>
      </c>
      <c r="K39" s="27" t="n">
        <f aca="false">Deploy!L38</f>
        <v>3.87034093666495</v>
      </c>
      <c r="L39" s="27" t="n">
        <f aca="false">Deploy!M38</f>
        <v>2.63391529415296</v>
      </c>
      <c r="M39" s="20" t="s">
        <v>2750</v>
      </c>
    </row>
    <row r="40" customFormat="false" ht="17.15" hidden="false" customHeight="false" outlineLevel="0" collapsed="false">
      <c r="A40" s="0" t="s">
        <v>2751</v>
      </c>
      <c r="B40" s="5" t="s">
        <v>2752</v>
      </c>
      <c r="C40" s="0" t="s">
        <v>77</v>
      </c>
      <c r="D40" s="27" t="n">
        <f aca="false">Deploy!E39</f>
        <v>0</v>
      </c>
      <c r="E40" s="27" t="n">
        <f aca="false">Deploy!F39</f>
        <v>0</v>
      </c>
      <c r="F40" s="27" t="n">
        <f aca="false">Deploy!G39</f>
        <v>0.80445969916655</v>
      </c>
      <c r="G40" s="27" t="n">
        <f aca="false">Deploy!H39</f>
        <v>11.6560182326487</v>
      </c>
      <c r="H40" s="27" t="n">
        <f aca="false">Deploy!I39</f>
        <v>12.0996272324266</v>
      </c>
      <c r="I40" s="27" t="n">
        <f aca="false">Deploy!J39</f>
        <v>6.0292519440345</v>
      </c>
      <c r="J40" s="27" t="n">
        <f aca="false">Deploy!K39</f>
        <v>4.38022560627607</v>
      </c>
      <c r="K40" s="27" t="n">
        <f aca="false">Deploy!L39</f>
        <v>3.87034093666495</v>
      </c>
      <c r="L40" s="27" t="n">
        <f aca="false">Deploy!M39</f>
        <v>2.63391529415296</v>
      </c>
      <c r="M40" s="20" t="s">
        <v>2753</v>
      </c>
    </row>
    <row r="41" customFormat="false" ht="17.15" hidden="false" customHeight="false" outlineLevel="0" collapsed="false">
      <c r="A41" s="0" t="s">
        <v>2754</v>
      </c>
      <c r="B41" s="5" t="s">
        <v>2755</v>
      </c>
      <c r="C41" s="0" t="s">
        <v>77</v>
      </c>
      <c r="D41" s="27" t="n">
        <f aca="false">Deploy!E54</f>
        <v>0</v>
      </c>
      <c r="E41" s="27" t="n">
        <f aca="false">Deploy!F54</f>
        <v>0</v>
      </c>
      <c r="F41" s="27" t="n">
        <f aca="false">Deploy!G54</f>
        <v>0.80445969916655</v>
      </c>
      <c r="G41" s="27" t="n">
        <f aca="false">Deploy!H54</f>
        <v>4.20506110372315</v>
      </c>
      <c r="H41" s="27" t="n">
        <f aca="false">Deploy!I54</f>
        <v>3.26079991059839</v>
      </c>
      <c r="I41" s="27" t="n">
        <f aca="false">Deploy!J54</f>
        <v>3.15928915101478</v>
      </c>
      <c r="J41" s="27" t="n">
        <f aca="false">Deploy!K54</f>
        <v>3.13591033501871</v>
      </c>
      <c r="K41" s="27" t="n">
        <f aca="false">Deploy!L54</f>
        <v>2.8716164918954</v>
      </c>
      <c r="L41" s="27" t="n">
        <f aca="false">Deploy!M54</f>
        <v>2.1943521247936</v>
      </c>
      <c r="M41" s="20" t="s">
        <v>2756</v>
      </c>
    </row>
    <row r="42" customFormat="false" ht="17.15" hidden="false" customHeight="false" outlineLevel="0" collapsed="false">
      <c r="A42" s="0" t="s">
        <v>2757</v>
      </c>
      <c r="B42" s="5" t="s">
        <v>2758</v>
      </c>
      <c r="C42" s="0" t="s">
        <v>77</v>
      </c>
      <c r="D42" s="27" t="n">
        <f aca="false">Deploy!E55</f>
        <v>0</v>
      </c>
      <c r="E42" s="27" t="n">
        <f aca="false">Deploy!F55</f>
        <v>0</v>
      </c>
      <c r="F42" s="27" t="n">
        <f aca="false">Deploy!G55</f>
        <v>0.80445969916655</v>
      </c>
      <c r="G42" s="27" t="n">
        <f aca="false">Deploy!H55</f>
        <v>11.6560182326487</v>
      </c>
      <c r="H42" s="27" t="n">
        <f aca="false">Deploy!I55</f>
        <v>9.38037465969224</v>
      </c>
      <c r="I42" s="27" t="n">
        <f aca="false">Deploy!J55</f>
        <v>4.44204911525412</v>
      </c>
      <c r="J42" s="27" t="n">
        <f aca="false">Deploy!K55</f>
        <v>3.13591033501871</v>
      </c>
      <c r="K42" s="27" t="n">
        <f aca="false">Deploy!L55</f>
        <v>2.8716164918954</v>
      </c>
      <c r="L42" s="27" t="n">
        <f aca="false">Deploy!M55</f>
        <v>2.1943521247936</v>
      </c>
      <c r="M42" s="20" t="s">
        <v>2759</v>
      </c>
    </row>
    <row r="43" customFormat="false" ht="17.15" hidden="false" customHeight="false" outlineLevel="0" collapsed="false">
      <c r="A43" s="8" t="s">
        <v>2760</v>
      </c>
    </row>
    <row r="44" customFormat="false" ht="17.15" hidden="false" customHeight="false" outlineLevel="0" collapsed="false">
      <c r="A44" s="0" t="s">
        <v>2761</v>
      </c>
      <c r="B44" s="5" t="s">
        <v>2762</v>
      </c>
      <c r="C44" s="0" t="s">
        <v>77</v>
      </c>
      <c r="D44" s="27" t="n">
        <f aca="false">Deploy!E62</f>
        <v>6.20938570515285</v>
      </c>
      <c r="E44" s="27" t="n">
        <f aca="false">Deploy!F62</f>
        <v>25.3371433333333</v>
      </c>
      <c r="F44" s="27" t="n">
        <f aca="false">Deploy!G62</f>
        <v>37.8525147943925</v>
      </c>
      <c r="G44" s="27" t="n">
        <f aca="false">Deploy!H62</f>
        <v>46.3211599188997</v>
      </c>
      <c r="H44" s="27" t="n">
        <f aca="false">Deploy!I62</f>
        <v>64.7090406464754</v>
      </c>
      <c r="I44" s="27" t="n">
        <f aca="false">Deploy!J62</f>
        <v>70.4380619774728</v>
      </c>
      <c r="J44" s="27" t="n">
        <f aca="false">Deploy!K62</f>
        <v>76.943491245188</v>
      </c>
      <c r="K44" s="27" t="n">
        <f aca="false">Deploy!L62</f>
        <v>84.3437905375593</v>
      </c>
      <c r="L44" s="27" t="n">
        <f aca="false">Deploy!M62</f>
        <v>92.7781695913152</v>
      </c>
      <c r="M44" s="20" t="s">
        <v>2763</v>
      </c>
    </row>
    <row r="45" customFormat="false" ht="17.15" hidden="false" customHeight="false" outlineLevel="0" collapsed="false">
      <c r="A45" s="0" t="s">
        <v>2764</v>
      </c>
      <c r="B45" s="5" t="s">
        <v>2765</v>
      </c>
      <c r="C45" s="0" t="s">
        <v>77</v>
      </c>
      <c r="D45" s="27" t="n">
        <f aca="false">Deploy!E63</f>
        <v>6.20938570515285</v>
      </c>
      <c r="E45" s="27" t="n">
        <f aca="false">Deploy!F63</f>
        <v>25.3371433333333</v>
      </c>
      <c r="F45" s="27" t="n">
        <f aca="false">Deploy!G63</f>
        <v>37.048055095226</v>
      </c>
      <c r="G45" s="27" t="n">
        <f aca="false">Deploy!H63</f>
        <v>44.6516053554443</v>
      </c>
      <c r="H45" s="27" t="n">
        <f aca="false">Deploy!I63</f>
        <v>61.057307352483</v>
      </c>
      <c r="I45" s="27" t="n">
        <f aca="false">Deploy!J63</f>
        <v>69.1808582445483</v>
      </c>
      <c r="J45" s="27" t="n">
        <f aca="false">Deploy!K63</f>
        <v>75.5689661233378</v>
      </c>
      <c r="K45" s="27" t="n">
        <f aca="false">Deploy!L63</f>
        <v>82.8474881613943</v>
      </c>
      <c r="L45" s="27" t="n">
        <f aca="false">Deploy!M63</f>
        <v>91.3021532569079</v>
      </c>
      <c r="M45" s="20" t="s">
        <v>2766</v>
      </c>
    </row>
    <row r="46" customFormat="false" ht="17.15" hidden="false" customHeight="false" outlineLevel="0" collapsed="false">
      <c r="A46" s="0" t="s">
        <v>2767</v>
      </c>
      <c r="B46" s="5" t="s">
        <v>2768</v>
      </c>
      <c r="C46" s="0" t="s">
        <v>77</v>
      </c>
      <c r="D46" s="27" t="n">
        <f aca="false">Deploy!E64</f>
        <v>6.20938570515285</v>
      </c>
      <c r="E46" s="27" t="n">
        <f aca="false">Deploy!F64</f>
        <v>25.3371433333333</v>
      </c>
      <c r="F46" s="27" t="n">
        <f aca="false">Deploy!G64</f>
        <v>37.048055095226</v>
      </c>
      <c r="G46" s="27" t="n">
        <f aca="false">Deploy!H64</f>
        <v>41.9818891310236</v>
      </c>
      <c r="H46" s="27" t="n">
        <f aca="false">Deploy!I64</f>
        <v>55.2147465536675</v>
      </c>
      <c r="I46" s="27" t="n">
        <f aca="false">Deploy!J64</f>
        <v>67.7417249269513</v>
      </c>
      <c r="J46" s="27" t="n">
        <f aca="false">Deploy!K64</f>
        <v>75.5689661233378</v>
      </c>
      <c r="K46" s="27" t="n">
        <f aca="false">Deploy!L64</f>
        <v>82.8474881613943</v>
      </c>
      <c r="L46" s="27" t="n">
        <f aca="false">Deploy!M64</f>
        <v>91.3021532569079</v>
      </c>
      <c r="M46" s="20" t="s">
        <v>2769</v>
      </c>
    </row>
    <row r="47" customFormat="false" ht="17.15" hidden="false" customHeight="false" outlineLevel="0" collapsed="false">
      <c r="A47" s="0" t="s">
        <v>2770</v>
      </c>
      <c r="B47" s="5" t="s">
        <v>2771</v>
      </c>
      <c r="C47" s="0" t="s">
        <v>77</v>
      </c>
      <c r="D47" s="27" t="n">
        <f aca="false">Deploy!E78</f>
        <v>6.20938570515285</v>
      </c>
      <c r="E47" s="27" t="n">
        <f aca="false">Deploy!F78</f>
        <v>25.3371433333333</v>
      </c>
      <c r="F47" s="27" t="n">
        <f aca="false">Deploy!G78</f>
        <v>37.8525147943925</v>
      </c>
      <c r="G47" s="27" t="n">
        <f aca="false">Deploy!H78</f>
        <v>46.3211599188997</v>
      </c>
      <c r="H47" s="27" t="n">
        <f aca="false">Deploy!I78</f>
        <v>61.0314645009603</v>
      </c>
      <c r="I47" s="27" t="n">
        <f aca="false">Deploy!J78</f>
        <v>65.9011326323081</v>
      </c>
      <c r="J47" s="27" t="n">
        <f aca="false">Deploy!K78</f>
        <v>71.6033146298377</v>
      </c>
      <c r="K47" s="27" t="n">
        <f aca="false">Deploy!L78</f>
        <v>78.281265750875</v>
      </c>
      <c r="L47" s="27" t="n">
        <f aca="false">Deploy!M78</f>
        <v>86.1093923259625</v>
      </c>
      <c r="M47" s="20" t="s">
        <v>2772</v>
      </c>
    </row>
    <row r="48" customFormat="false" ht="17.15" hidden="false" customHeight="false" outlineLevel="0" collapsed="false">
      <c r="A48" s="0" t="s">
        <v>2773</v>
      </c>
      <c r="B48" s="5" t="s">
        <v>2774</v>
      </c>
      <c r="C48" s="0" t="s">
        <v>77</v>
      </c>
      <c r="D48" s="27" t="n">
        <f aca="false">Deploy!E79</f>
        <v>6.20938570515285</v>
      </c>
      <c r="E48" s="27" t="n">
        <f aca="false">Deploy!F79</f>
        <v>25.3371433333333</v>
      </c>
      <c r="F48" s="27" t="n">
        <f aca="false">Deploy!G79</f>
        <v>37.048055095226</v>
      </c>
      <c r="G48" s="27" t="n">
        <f aca="false">Deploy!H79</f>
        <v>44.6516053554443</v>
      </c>
      <c r="H48" s="27" t="n">
        <f aca="false">Deploy!I79</f>
        <v>58.023307032433</v>
      </c>
      <c r="I48" s="27" t="n">
        <f aca="false">Deploy!J79</f>
        <v>64.7943157093222</v>
      </c>
      <c r="J48" s="27" t="n">
        <f aca="false">Deploy!K79</f>
        <v>70.36935778027</v>
      </c>
      <c r="K48" s="27" t="n">
        <f aca="false">Deploy!L79</f>
        <v>76.9113743046935</v>
      </c>
      <c r="L48" s="27" t="n">
        <f aca="false">Deploy!M79</f>
        <v>84.7394701753222</v>
      </c>
      <c r="M48" s="20" t="s">
        <v>2775</v>
      </c>
    </row>
    <row r="49" customFormat="false" ht="17.15" hidden="false" customHeight="false" outlineLevel="0" collapsed="false">
      <c r="A49" s="0" t="s">
        <v>2776</v>
      </c>
      <c r="B49" s="5" t="s">
        <v>2777</v>
      </c>
      <c r="C49" s="0" t="s">
        <v>77</v>
      </c>
      <c r="D49" s="27" t="n">
        <f aca="false">Deploy!E80</f>
        <v>6.20938570515285</v>
      </c>
      <c r="E49" s="27" t="n">
        <f aca="false">Deploy!F80</f>
        <v>25.3371433333333</v>
      </c>
      <c r="F49" s="27" t="n">
        <f aca="false">Deploy!G80</f>
        <v>37.048055095226</v>
      </c>
      <c r="G49" s="27" t="n">
        <f aca="false">Deploy!H80</f>
        <v>41.9818891310236</v>
      </c>
      <c r="H49" s="27" t="n">
        <f aca="false">Deploy!I80</f>
        <v>53.3943463616375</v>
      </c>
      <c r="I49" s="27" t="n">
        <f aca="false">Deploy!J80</f>
        <v>63.6126127219113</v>
      </c>
      <c r="J49" s="27" t="n">
        <f aca="false">Deploy!K80</f>
        <v>70.36935778027</v>
      </c>
      <c r="K49" s="27" t="n">
        <f aca="false">Deploy!L80</f>
        <v>76.9113743046935</v>
      </c>
      <c r="L49" s="27" t="n">
        <f aca="false">Deploy!M80</f>
        <v>84.7394701753222</v>
      </c>
      <c r="M49" s="20" t="s">
        <v>2778</v>
      </c>
    </row>
    <row r="50" customFormat="false" ht="17.15" hidden="false" customHeight="false" outlineLevel="0" collapsed="false">
      <c r="A50" s="0" t="s">
        <v>2779</v>
      </c>
      <c r="B50" s="5" t="s">
        <v>2780</v>
      </c>
      <c r="C50" s="0" t="s">
        <v>77</v>
      </c>
      <c r="D50" s="27" t="n">
        <f aca="false">Deploy!E94</f>
        <v>6.20938570515285</v>
      </c>
      <c r="E50" s="27" t="n">
        <f aca="false">Deploy!F94</f>
        <v>25.3371433333333</v>
      </c>
      <c r="F50" s="27" t="n">
        <f aca="false">Deploy!G94</f>
        <v>37.8525147943925</v>
      </c>
      <c r="G50" s="27" t="n">
        <f aca="false">Deploy!H94</f>
        <v>46.3211599188997</v>
      </c>
      <c r="H50" s="27" t="n">
        <f aca="false">Deploy!I94</f>
        <v>57.3538883554451</v>
      </c>
      <c r="I50" s="27" t="n">
        <f aca="false">Deploy!J94</f>
        <v>60.7913011540436</v>
      </c>
      <c r="J50" s="27" t="n">
        <f aca="false">Deploy!K94</f>
        <v>65.2466302530751</v>
      </c>
      <c r="K50" s="27" t="n">
        <f aca="false">Deploy!L94</f>
        <v>70.8998894549031</v>
      </c>
      <c r="L50" s="27" t="n">
        <f aca="false">Deploy!M94</f>
        <v>77.9898784003934</v>
      </c>
      <c r="M50" s="20" t="s">
        <v>2781</v>
      </c>
    </row>
    <row r="51" customFormat="false" ht="17.15" hidden="false" customHeight="false" outlineLevel="0" collapsed="false">
      <c r="A51" s="0" t="s">
        <v>2782</v>
      </c>
      <c r="B51" s="5" t="s">
        <v>2783</v>
      </c>
      <c r="C51" s="0" t="s">
        <v>77</v>
      </c>
      <c r="D51" s="27" t="n">
        <f aca="false">Deploy!E95</f>
        <v>6.20938570515285</v>
      </c>
      <c r="E51" s="27" t="n">
        <f aca="false">Deploy!F95</f>
        <v>25.3371433333333</v>
      </c>
      <c r="F51" s="27" t="n">
        <f aca="false">Deploy!G95</f>
        <v>37.048055095226</v>
      </c>
      <c r="G51" s="27" t="n">
        <f aca="false">Deploy!H95</f>
        <v>44.6516053554443</v>
      </c>
      <c r="H51" s="27" t="n">
        <f aca="false">Deploy!I95</f>
        <v>54.989306712383</v>
      </c>
      <c r="I51" s="27" t="n">
        <f aca="false">Deploy!J95</f>
        <v>59.9351289142888</v>
      </c>
      <c r="J51" s="27" t="n">
        <f aca="false">Deploy!K95</f>
        <v>64.2308726607446</v>
      </c>
      <c r="K51" s="27" t="n">
        <f aca="false">Deploy!L95</f>
        <v>69.7093190945832</v>
      </c>
      <c r="L51" s="27" t="n">
        <f aca="false">Deploy!M95</f>
        <v>76.7491303349326</v>
      </c>
      <c r="M51" s="20" t="s">
        <v>2784</v>
      </c>
    </row>
    <row r="52" customFormat="false" ht="17.15" hidden="false" customHeight="false" outlineLevel="0" collapsed="false">
      <c r="A52" s="0" t="s">
        <v>2785</v>
      </c>
      <c r="B52" s="5" t="s">
        <v>2786</v>
      </c>
      <c r="C52" s="0" t="s">
        <v>77</v>
      </c>
      <c r="D52" s="27" t="n">
        <f aca="false">Deploy!E96</f>
        <v>6.20938570515285</v>
      </c>
      <c r="E52" s="27" t="n">
        <f aca="false">Deploy!F96</f>
        <v>25.3371433333333</v>
      </c>
      <c r="F52" s="27" t="n">
        <f aca="false">Deploy!G96</f>
        <v>37.048055095226</v>
      </c>
      <c r="G52" s="27" t="n">
        <f aca="false">Deploy!H96</f>
        <v>41.9818891310236</v>
      </c>
      <c r="H52" s="27" t="n">
        <f aca="false">Deploy!I96</f>
        <v>51.5739461696075</v>
      </c>
      <c r="I52" s="27" t="n">
        <f aca="false">Deploy!J96</f>
        <v>59.010856257064</v>
      </c>
      <c r="J52" s="27" t="n">
        <f aca="false">Deploy!K96</f>
        <v>64.2308726607446</v>
      </c>
      <c r="K52" s="27" t="n">
        <f aca="false">Deploy!L96</f>
        <v>69.7093190945832</v>
      </c>
      <c r="L52" s="27" t="n">
        <f aca="false">Deploy!M96</f>
        <v>76.7491303349326</v>
      </c>
      <c r="M52" s="20" t="s">
        <v>2787</v>
      </c>
    </row>
    <row r="53" customFormat="false" ht="17.15" hidden="false" customHeight="false" outlineLevel="0" collapsed="false">
      <c r="A53" s="0" t="s">
        <v>2788</v>
      </c>
      <c r="B53" s="5" t="s">
        <v>2789</v>
      </c>
      <c r="C53" s="0" t="s">
        <v>77</v>
      </c>
      <c r="D53" s="27" t="n">
        <f aca="false">Deploy!E65</f>
        <v>3.41998203041741</v>
      </c>
      <c r="E53" s="27" t="n">
        <f aca="false">Deploy!F65</f>
        <v>15.7732645192431</v>
      </c>
      <c r="F53" s="27" t="n">
        <f aca="false">Deploy!G65</f>
        <v>31.5948290638629</v>
      </c>
      <c r="G53" s="27" t="n">
        <f aca="false">Deploy!H65</f>
        <v>42.0868373566461</v>
      </c>
      <c r="H53" s="27" t="n">
        <f aca="false">Deploy!I65</f>
        <v>55.5151002826875</v>
      </c>
      <c r="I53" s="27" t="n">
        <f aca="false">Deploy!J65</f>
        <v>67.5735513119741</v>
      </c>
      <c r="J53" s="27" t="n">
        <f aca="false">Deploy!K65</f>
        <v>73.6907766113304</v>
      </c>
      <c r="K53" s="27" t="n">
        <f aca="false">Deploy!L65</f>
        <v>80.6436408913737</v>
      </c>
      <c r="L53" s="27" t="n">
        <f aca="false">Deploy!M65</f>
        <v>88.5609800644373</v>
      </c>
      <c r="M53" s="20" t="s">
        <v>2790</v>
      </c>
    </row>
    <row r="54" customFormat="false" ht="17.15" hidden="false" customHeight="false" outlineLevel="0" collapsed="false">
      <c r="A54" s="0" t="s">
        <v>2791</v>
      </c>
      <c r="B54" s="5" t="s">
        <v>2792</v>
      </c>
      <c r="C54" s="0" t="s">
        <v>77</v>
      </c>
      <c r="D54" s="27" t="n">
        <f aca="false">Deploy!E66</f>
        <v>3.41998203041741</v>
      </c>
      <c r="E54" s="27" t="n">
        <f aca="false">Deploy!F66</f>
        <v>15.7732645192431</v>
      </c>
      <c r="F54" s="27" t="n">
        <f aca="false">Deploy!G66</f>
        <v>31.1925992142797</v>
      </c>
      <c r="G54" s="27" t="n">
        <f aca="false">Deploy!H66</f>
        <v>40.8498302253351</v>
      </c>
      <c r="H54" s="27" t="n">
        <f aca="false">Deploy!I66</f>
        <v>52.8544563539636</v>
      </c>
      <c r="I54" s="27" t="n">
        <f aca="false">Deploy!J66</f>
        <v>65.1190827985156</v>
      </c>
      <c r="J54" s="27" t="n">
        <f aca="false">Deploy!K66</f>
        <v>72.3749121839431</v>
      </c>
      <c r="K54" s="27" t="n">
        <f aca="false">Deploy!L66</f>
        <v>79.2082271423661</v>
      </c>
      <c r="L54" s="27" t="n">
        <f aca="false">Deploy!M66</f>
        <v>87.0748207091511</v>
      </c>
      <c r="M54" s="20" t="s">
        <v>2793</v>
      </c>
    </row>
    <row r="55" customFormat="false" ht="17.15" hidden="false" customHeight="false" outlineLevel="0" collapsed="false">
      <c r="A55" s="0" t="s">
        <v>2794</v>
      </c>
      <c r="B55" s="5" t="s">
        <v>2795</v>
      </c>
      <c r="C55" s="0" t="s">
        <v>77</v>
      </c>
      <c r="D55" s="27" t="n">
        <f aca="false">Deploy!E67</f>
        <v>3.41998203041741</v>
      </c>
      <c r="E55" s="27" t="n">
        <f aca="false">Deploy!F67</f>
        <v>15.7732645192431</v>
      </c>
      <c r="F55" s="27" t="n">
        <f aca="false">Deploy!G67</f>
        <v>31.1925992142797</v>
      </c>
      <c r="G55" s="27" t="n">
        <f aca="false">Deploy!H67</f>
        <v>39.5149721131248</v>
      </c>
      <c r="H55" s="27" t="n">
        <f aca="false">Deploy!I67</f>
        <v>48.5983178423455</v>
      </c>
      <c r="I55" s="27" t="n">
        <f aca="false">Deploy!J67</f>
        <v>61.4782357403094</v>
      </c>
      <c r="J55" s="27" t="n">
        <f aca="false">Deploy!K67</f>
        <v>71.6553455251446</v>
      </c>
      <c r="K55" s="27" t="n">
        <f aca="false">Deploy!L67</f>
        <v>79.2082271423661</v>
      </c>
      <c r="L55" s="27" t="n">
        <f aca="false">Deploy!M67</f>
        <v>87.0748207091511</v>
      </c>
      <c r="M55" s="20" t="s">
        <v>2796</v>
      </c>
    </row>
    <row r="56" customFormat="false" ht="17.15" hidden="false" customHeight="false" outlineLevel="0" collapsed="false">
      <c r="A56" s="0" t="s">
        <v>2797</v>
      </c>
      <c r="B56" s="5" t="s">
        <v>2798</v>
      </c>
      <c r="C56" s="0" t="s">
        <v>77</v>
      </c>
      <c r="D56" s="27" t="n">
        <f aca="false">Deploy!E81</f>
        <v>3.41998203041741</v>
      </c>
      <c r="E56" s="27" t="n">
        <f aca="false">Deploy!F81</f>
        <v>15.7732645192431</v>
      </c>
      <c r="F56" s="27" t="n">
        <f aca="false">Deploy!G81</f>
        <v>31.5948290638629</v>
      </c>
      <c r="G56" s="27" t="n">
        <f aca="false">Deploy!H81</f>
        <v>42.0868373566461</v>
      </c>
      <c r="H56" s="27" t="n">
        <f aca="false">Deploy!I81</f>
        <v>53.67631220993</v>
      </c>
      <c r="I56" s="27" t="n">
        <f aca="false">Deploy!J81</f>
        <v>63.4662985666342</v>
      </c>
      <c r="J56" s="27" t="n">
        <f aca="false">Deploy!K81</f>
        <v>68.7522236310729</v>
      </c>
      <c r="K56" s="27" t="n">
        <f aca="false">Deploy!L81</f>
        <v>74.9422901903564</v>
      </c>
      <c r="L56" s="27" t="n">
        <f aca="false">Deploy!M81</f>
        <v>82.1953290384187</v>
      </c>
      <c r="M56" s="20" t="s">
        <v>2799</v>
      </c>
    </row>
    <row r="57" customFormat="false" ht="17.15" hidden="false" customHeight="false" outlineLevel="0" collapsed="false">
      <c r="A57" s="0" t="s">
        <v>2800</v>
      </c>
      <c r="B57" s="5" t="s">
        <v>2801</v>
      </c>
      <c r="C57" s="0" t="s">
        <v>77</v>
      </c>
      <c r="D57" s="27" t="n">
        <f aca="false">Deploy!E82</f>
        <v>3.41998203041741</v>
      </c>
      <c r="E57" s="27" t="n">
        <f aca="false">Deploy!F82</f>
        <v>15.7732645192431</v>
      </c>
      <c r="F57" s="27" t="n">
        <f aca="false">Deploy!G82</f>
        <v>31.1925992142797</v>
      </c>
      <c r="G57" s="27" t="n">
        <f aca="false">Deploy!H82</f>
        <v>40.8498302253351</v>
      </c>
      <c r="H57" s="27" t="n">
        <f aca="false">Deploy!I82</f>
        <v>51.3374561939386</v>
      </c>
      <c r="I57" s="27" t="n">
        <f aca="false">Deploy!J82</f>
        <v>61.4088113708776</v>
      </c>
      <c r="J57" s="27" t="n">
        <f aca="false">Deploy!K82</f>
        <v>67.5818367447961</v>
      </c>
      <c r="K57" s="27" t="n">
        <f aca="false">Deploy!L82</f>
        <v>73.6403660424817</v>
      </c>
      <c r="L57" s="27" t="n">
        <f aca="false">Deploy!M82</f>
        <v>80.8254222400078</v>
      </c>
      <c r="M57" s="20" t="s">
        <v>2802</v>
      </c>
    </row>
    <row r="58" customFormat="false" ht="17.15" hidden="false" customHeight="false" outlineLevel="0" collapsed="false">
      <c r="A58" s="0" t="s">
        <v>2803</v>
      </c>
      <c r="B58" s="5" t="s">
        <v>2804</v>
      </c>
      <c r="C58" s="0" t="s">
        <v>77</v>
      </c>
      <c r="D58" s="27" t="n">
        <f aca="false">Deploy!E83</f>
        <v>3.41998203041741</v>
      </c>
      <c r="E58" s="27" t="n">
        <f aca="false">Deploy!F83</f>
        <v>15.7732645192431</v>
      </c>
      <c r="F58" s="27" t="n">
        <f aca="false">Deploy!G83</f>
        <v>31.1925992142797</v>
      </c>
      <c r="G58" s="27" t="n">
        <f aca="false">Deploy!H83</f>
        <v>39.5149721131248</v>
      </c>
      <c r="H58" s="27" t="n">
        <f aca="false">Deploy!I83</f>
        <v>47.6881177463305</v>
      </c>
      <c r="I58" s="27" t="n">
        <f aca="false">Deploy!J83</f>
        <v>58.5034795417744</v>
      </c>
      <c r="J58" s="27" t="n">
        <f aca="false">Deploy!K83</f>
        <v>66.9909852510907</v>
      </c>
      <c r="K58" s="27" t="n">
        <f aca="false">Deploy!L83</f>
        <v>73.6403660424817</v>
      </c>
      <c r="L58" s="27" t="n">
        <f aca="false">Deploy!M83</f>
        <v>80.8254222400078</v>
      </c>
      <c r="M58" s="20" t="s">
        <v>2805</v>
      </c>
    </row>
    <row r="59" customFormat="false" ht="17.15" hidden="false" customHeight="false" outlineLevel="0" collapsed="false">
      <c r="A59" s="0" t="s">
        <v>2806</v>
      </c>
      <c r="B59" s="5" t="s">
        <v>2807</v>
      </c>
      <c r="C59" s="0" t="s">
        <v>77</v>
      </c>
      <c r="D59" s="27" t="n">
        <f aca="false">Deploy!E97</f>
        <v>3.41998203041741</v>
      </c>
      <c r="E59" s="27" t="n">
        <f aca="false">Deploy!F97</f>
        <v>15.7732645192431</v>
      </c>
      <c r="F59" s="27" t="n">
        <f aca="false">Deploy!G97</f>
        <v>31.5948290638629</v>
      </c>
      <c r="G59" s="27" t="n">
        <f aca="false">Deploy!H97</f>
        <v>42.0868373566461</v>
      </c>
      <c r="H59" s="27" t="n">
        <f aca="false">Deploy!I97</f>
        <v>51.8375241371724</v>
      </c>
      <c r="I59" s="27" t="n">
        <f aca="false">Deploy!J97</f>
        <v>59.0725947547443</v>
      </c>
      <c r="J59" s="27" t="n">
        <f aca="false">Deploy!K97</f>
        <v>63.0189657035593</v>
      </c>
      <c r="K59" s="27" t="n">
        <f aca="false">Deploy!L97</f>
        <v>68.0732598539891</v>
      </c>
      <c r="L59" s="27" t="n">
        <f aca="false">Deploy!M97</f>
        <v>74.4448839276483</v>
      </c>
      <c r="M59" s="20" t="s">
        <v>2808</v>
      </c>
    </row>
    <row r="60" customFormat="false" ht="17.15" hidden="false" customHeight="false" outlineLevel="0" collapsed="false">
      <c r="A60" s="0" t="s">
        <v>2809</v>
      </c>
      <c r="B60" s="5" t="s">
        <v>2810</v>
      </c>
      <c r="C60" s="0" t="s">
        <v>77</v>
      </c>
      <c r="D60" s="27" t="n">
        <f aca="false">Deploy!E98</f>
        <v>3.41998203041741</v>
      </c>
      <c r="E60" s="27" t="n">
        <f aca="false">Deploy!F98</f>
        <v>15.7732645192431</v>
      </c>
      <c r="F60" s="27" t="n">
        <f aca="false">Deploy!G98</f>
        <v>31.1925992142797</v>
      </c>
      <c r="G60" s="27" t="n">
        <f aca="false">Deploy!H98</f>
        <v>40.8498302253351</v>
      </c>
      <c r="H60" s="27" t="n">
        <f aca="false">Deploy!I98</f>
        <v>49.8204560339136</v>
      </c>
      <c r="I60" s="27" t="n">
        <f aca="false">Deploy!J98</f>
        <v>57.4622178133359</v>
      </c>
      <c r="J60" s="27" t="n">
        <f aca="false">Deploy!K98</f>
        <v>62.0830007875167</v>
      </c>
      <c r="K60" s="27" t="n">
        <f aca="false">Deploy!L98</f>
        <v>66.9700958776639</v>
      </c>
      <c r="L60" s="27" t="n">
        <f aca="false">Deploy!M98</f>
        <v>73.2292247147579</v>
      </c>
      <c r="M60" s="20" t="s">
        <v>2811</v>
      </c>
    </row>
    <row r="61" customFormat="false" ht="17.15" hidden="false" customHeight="false" outlineLevel="0" collapsed="false">
      <c r="A61" s="0" t="s">
        <v>2812</v>
      </c>
      <c r="B61" s="5" t="s">
        <v>2813</v>
      </c>
      <c r="C61" s="0" t="s">
        <v>77</v>
      </c>
      <c r="D61" s="27" t="n">
        <f aca="false">Deploy!E99</f>
        <v>3.41998203041741</v>
      </c>
      <c r="E61" s="27" t="n">
        <f aca="false">Deploy!F99</f>
        <v>15.7732645192431</v>
      </c>
      <c r="F61" s="27" t="n">
        <f aca="false">Deploy!G99</f>
        <v>31.1925992142797</v>
      </c>
      <c r="G61" s="27" t="n">
        <f aca="false">Deploy!H99</f>
        <v>39.5149721131248</v>
      </c>
      <c r="H61" s="27" t="n">
        <f aca="false">Deploy!I99</f>
        <v>46.7779176503155</v>
      </c>
      <c r="I61" s="27" t="n">
        <f aca="false">Deploy!J99</f>
        <v>55.2924012133358</v>
      </c>
      <c r="J61" s="27" t="n">
        <f aca="false">Deploy!K99</f>
        <v>61.6208644589043</v>
      </c>
      <c r="K61" s="27" t="n">
        <f aca="false">Deploy!L99</f>
        <v>66.9700958776639</v>
      </c>
      <c r="L61" s="27" t="n">
        <f aca="false">Deploy!M99</f>
        <v>73.2292247147579</v>
      </c>
      <c r="M61" s="20" t="s">
        <v>2814</v>
      </c>
    </row>
    <row r="62" customFormat="false" ht="17.15" hidden="false" customHeight="false" outlineLevel="0" collapsed="false">
      <c r="A62" s="0" t="s">
        <v>2815</v>
      </c>
      <c r="B62" s="5" t="s">
        <v>2816</v>
      </c>
      <c r="C62" s="0" t="s">
        <v>77</v>
      </c>
      <c r="D62" s="27" t="n">
        <f aca="false">Deploy!E68</f>
        <v>1.61980834349181</v>
      </c>
      <c r="E62" s="27" t="n">
        <f aca="false">Deploy!F68</f>
        <v>9.04912429484716</v>
      </c>
      <c r="F62" s="27" t="n">
        <f aca="false">Deploy!G68</f>
        <v>12.5153714610592</v>
      </c>
      <c r="G62" s="27" t="n">
        <f aca="false">Deploy!H68</f>
        <v>8.46864512450717</v>
      </c>
      <c r="H62" s="27" t="n">
        <f aca="false">Deploy!I68</f>
        <v>18.3878807275757</v>
      </c>
      <c r="I62" s="27" t="n">
        <f aca="false">Deploy!J68</f>
        <v>5.72902133099746</v>
      </c>
      <c r="J62" s="27" t="n">
        <f aca="false">Deploy!K68</f>
        <v>6.50542926771514</v>
      </c>
      <c r="K62" s="27" t="n">
        <f aca="false">Deploy!L68</f>
        <v>7.40029929237132</v>
      </c>
      <c r="L62" s="27" t="n">
        <f aca="false">Deploy!M68</f>
        <v>8.43437905375593</v>
      </c>
      <c r="M62" s="20" t="s">
        <v>2817</v>
      </c>
    </row>
    <row r="63" customFormat="false" ht="17.15" hidden="false" customHeight="false" outlineLevel="0" collapsed="false">
      <c r="A63" s="0" t="s">
        <v>2818</v>
      </c>
      <c r="B63" s="5" t="s">
        <v>2819</v>
      </c>
      <c r="C63" s="0" t="s">
        <v>77</v>
      </c>
      <c r="D63" s="27" t="n">
        <f aca="false">Deploy!E69</f>
        <v>1.61980834349181</v>
      </c>
      <c r="E63" s="27" t="n">
        <f aca="false">Deploy!F69</f>
        <v>9.04912429484716</v>
      </c>
      <c r="F63" s="27" t="n">
        <f aca="false">Deploy!G69</f>
        <v>11.7109117618926</v>
      </c>
      <c r="G63" s="27" t="n">
        <f aca="false">Deploy!H69</f>
        <v>7.6035502602183</v>
      </c>
      <c r="H63" s="27" t="n">
        <f aca="false">Deploy!I69</f>
        <v>16.4057019970387</v>
      </c>
      <c r="I63" s="27" t="n">
        <f aca="false">Deploy!J69</f>
        <v>8.12355089206531</v>
      </c>
      <c r="J63" s="27" t="n">
        <f aca="false">Deploy!K69</f>
        <v>6.38810787878956</v>
      </c>
      <c r="K63" s="27" t="n">
        <f aca="false">Deploy!L69</f>
        <v>7.27852203805649</v>
      </c>
      <c r="L63" s="27" t="n">
        <f aca="false">Deploy!M69</f>
        <v>8.45466509551362</v>
      </c>
      <c r="M63" s="20" t="s">
        <v>2820</v>
      </c>
    </row>
    <row r="64" customFormat="false" ht="17.15" hidden="false" customHeight="false" outlineLevel="0" collapsed="false">
      <c r="A64" s="0" t="s">
        <v>2821</v>
      </c>
      <c r="B64" s="5" t="s">
        <v>2822</v>
      </c>
      <c r="C64" s="0" t="s">
        <v>77</v>
      </c>
      <c r="D64" s="27" t="n">
        <f aca="false">Deploy!E70</f>
        <v>1.61980834349181</v>
      </c>
      <c r="E64" s="27" t="n">
        <f aca="false">Deploy!F70</f>
        <v>9.04912429484716</v>
      </c>
      <c r="F64" s="27" t="n">
        <f aca="false">Deploy!G70</f>
        <v>11.7109117618926</v>
      </c>
      <c r="G64" s="27" t="n">
        <f aca="false">Deploy!H70</f>
        <v>4.9338340357976</v>
      </c>
      <c r="H64" s="27" t="n">
        <f aca="false">Deploy!I70</f>
        <v>13.2328574226439</v>
      </c>
      <c r="I64" s="27" t="n">
        <f aca="false">Deploy!J70</f>
        <v>12.5269783732838</v>
      </c>
      <c r="J64" s="27" t="n">
        <f aca="false">Deploy!K70</f>
        <v>7.82724119638651</v>
      </c>
      <c r="K64" s="27" t="n">
        <f aca="false">Deploy!L70</f>
        <v>7.27852203805649</v>
      </c>
      <c r="L64" s="27" t="n">
        <f aca="false">Deploy!M70</f>
        <v>8.45466509551362</v>
      </c>
      <c r="M64" s="20" t="s">
        <v>2823</v>
      </c>
    </row>
    <row r="65" customFormat="false" ht="17.15" hidden="false" customHeight="false" outlineLevel="0" collapsed="false">
      <c r="A65" s="0" t="s">
        <v>2824</v>
      </c>
      <c r="B65" s="5" t="s">
        <v>2825</v>
      </c>
      <c r="C65" s="0" t="s">
        <v>77</v>
      </c>
      <c r="D65" s="27" t="n">
        <f aca="false">Deploy!E84</f>
        <v>1.61980834349181</v>
      </c>
      <c r="E65" s="27" t="n">
        <f aca="false">Deploy!F84</f>
        <v>9.04912429484716</v>
      </c>
      <c r="F65" s="27" t="n">
        <f aca="false">Deploy!G84</f>
        <v>12.5153714610592</v>
      </c>
      <c r="G65" s="27" t="n">
        <f aca="false">Deploy!H84</f>
        <v>8.46864512450717</v>
      </c>
      <c r="H65" s="27" t="n">
        <f aca="false">Deploy!I84</f>
        <v>14.7103045820606</v>
      </c>
      <c r="I65" s="27" t="n">
        <f aca="false">Deploy!J84</f>
        <v>4.86966813134784</v>
      </c>
      <c r="J65" s="27" t="n">
        <f aca="false">Deploy!K84</f>
        <v>5.70218199752964</v>
      </c>
      <c r="K65" s="27" t="n">
        <f aca="false">Deploy!L84</f>
        <v>6.67795112103725</v>
      </c>
      <c r="L65" s="27" t="n">
        <f aca="false">Deploy!M84</f>
        <v>7.8281265750875</v>
      </c>
      <c r="M65" s="20" t="s">
        <v>2826</v>
      </c>
    </row>
    <row r="66" customFormat="false" ht="17.15" hidden="false" customHeight="false" outlineLevel="0" collapsed="false">
      <c r="A66" s="0" t="s">
        <v>2827</v>
      </c>
      <c r="B66" s="5" t="s">
        <v>2828</v>
      </c>
      <c r="C66" s="0" t="s">
        <v>77</v>
      </c>
      <c r="D66" s="27" t="n">
        <f aca="false">Deploy!E85</f>
        <v>1.61980834349181</v>
      </c>
      <c r="E66" s="27" t="n">
        <f aca="false">Deploy!F85</f>
        <v>9.04912429484716</v>
      </c>
      <c r="F66" s="27" t="n">
        <f aca="false">Deploy!G85</f>
        <v>11.7109117618926</v>
      </c>
      <c r="G66" s="27" t="n">
        <f aca="false">Deploy!H85</f>
        <v>7.6035502602183</v>
      </c>
      <c r="H66" s="27" t="n">
        <f aca="false">Deploy!I85</f>
        <v>13.3717016769887</v>
      </c>
      <c r="I66" s="27" t="n">
        <f aca="false">Deploy!J85</f>
        <v>6.77100867688923</v>
      </c>
      <c r="J66" s="27" t="n">
        <f aca="false">Deploy!K85</f>
        <v>5.57504207094783</v>
      </c>
      <c r="K66" s="27" t="n">
        <f aca="false">Deploy!L85</f>
        <v>6.54201652442342</v>
      </c>
      <c r="L66" s="27" t="n">
        <f aca="false">Deploy!M85</f>
        <v>7.8280958706287</v>
      </c>
      <c r="M66" s="20" t="s">
        <v>2829</v>
      </c>
    </row>
    <row r="67" customFormat="false" ht="17.15" hidden="false" customHeight="false" outlineLevel="0" collapsed="false">
      <c r="A67" s="0" t="s">
        <v>2830</v>
      </c>
      <c r="B67" s="5" t="s">
        <v>2831</v>
      </c>
      <c r="C67" s="0" t="s">
        <v>77</v>
      </c>
      <c r="D67" s="27" t="n">
        <f aca="false">Deploy!E86</f>
        <v>1.61980834349181</v>
      </c>
      <c r="E67" s="27" t="n">
        <f aca="false">Deploy!F86</f>
        <v>9.04912429484716</v>
      </c>
      <c r="F67" s="27" t="n">
        <f aca="false">Deploy!G86</f>
        <v>11.7109117618926</v>
      </c>
      <c r="G67" s="27" t="n">
        <f aca="false">Deploy!H86</f>
        <v>4.9338340357976</v>
      </c>
      <c r="H67" s="27" t="n">
        <f aca="false">Deploy!I86</f>
        <v>11.4124572306139</v>
      </c>
      <c r="I67" s="27" t="n">
        <f aca="false">Deploy!J86</f>
        <v>10.2182663602738</v>
      </c>
      <c r="J67" s="27" t="n">
        <f aca="false">Deploy!K86</f>
        <v>6.75674505835873</v>
      </c>
      <c r="K67" s="27" t="n">
        <f aca="false">Deploy!L86</f>
        <v>6.54201652442342</v>
      </c>
      <c r="L67" s="27" t="n">
        <f aca="false">Deploy!M86</f>
        <v>7.8280958706287</v>
      </c>
      <c r="M67" s="20" t="s">
        <v>2832</v>
      </c>
    </row>
    <row r="68" customFormat="false" ht="17.15" hidden="false" customHeight="false" outlineLevel="0" collapsed="false">
      <c r="A68" s="0" t="s">
        <v>2833</v>
      </c>
      <c r="B68" s="5" t="s">
        <v>2834</v>
      </c>
      <c r="C68" s="0" t="s">
        <v>77</v>
      </c>
      <c r="D68" s="27" t="n">
        <f aca="false">Deploy!E100</f>
        <v>1.61980834349181</v>
      </c>
      <c r="E68" s="27" t="n">
        <f aca="false">Deploy!F100</f>
        <v>9.04912429484716</v>
      </c>
      <c r="F68" s="27" t="n">
        <f aca="false">Deploy!G100</f>
        <v>12.5153714610592</v>
      </c>
      <c r="G68" s="27" t="n">
        <f aca="false">Deploy!H100</f>
        <v>8.46864512450717</v>
      </c>
      <c r="H68" s="27" t="n">
        <f aca="false">Deploy!I100</f>
        <v>11.0327284365454</v>
      </c>
      <c r="I68" s="27" t="n">
        <f aca="false">Deploy!J100</f>
        <v>3.43741279859847</v>
      </c>
      <c r="J68" s="27" t="n">
        <f aca="false">Deploy!K100</f>
        <v>4.45532909903149</v>
      </c>
      <c r="K68" s="27" t="n">
        <f aca="false">Deploy!L100</f>
        <v>5.65325920182806</v>
      </c>
      <c r="L68" s="27" t="n">
        <f aca="false">Deploy!M100</f>
        <v>7.08998894549031</v>
      </c>
      <c r="M68" s="20" t="s">
        <v>2835</v>
      </c>
    </row>
    <row r="69" customFormat="false" ht="17.15" hidden="false" customHeight="false" outlineLevel="0" collapsed="false">
      <c r="A69" s="0" t="s">
        <v>2836</v>
      </c>
      <c r="B69" s="5" t="s">
        <v>2837</v>
      </c>
      <c r="C69" s="0" t="s">
        <v>77</v>
      </c>
      <c r="D69" s="27" t="n">
        <f aca="false">Deploy!E101</f>
        <v>1.61980834349181</v>
      </c>
      <c r="E69" s="27" t="n">
        <f aca="false">Deploy!F101</f>
        <v>9.04912429484716</v>
      </c>
      <c r="F69" s="27" t="n">
        <f aca="false">Deploy!G101</f>
        <v>11.7109117618926</v>
      </c>
      <c r="G69" s="27" t="n">
        <f aca="false">Deploy!H101</f>
        <v>7.6035502602183</v>
      </c>
      <c r="H69" s="27" t="n">
        <f aca="false">Deploy!I101</f>
        <v>10.3377013569387</v>
      </c>
      <c r="I69" s="27" t="n">
        <f aca="false">Deploy!J101</f>
        <v>4.94582220190586</v>
      </c>
      <c r="J69" s="27" t="n">
        <f aca="false">Deploy!K101</f>
        <v>4.29574374645571</v>
      </c>
      <c r="K69" s="27" t="n">
        <f aca="false">Deploy!L101</f>
        <v>5.47844643383866</v>
      </c>
      <c r="L69" s="27" t="n">
        <f aca="false">Deploy!M101</f>
        <v>7.03981124034942</v>
      </c>
      <c r="M69" s="20" t="s">
        <v>2838</v>
      </c>
    </row>
    <row r="70" customFormat="false" ht="17.15" hidden="false" customHeight="false" outlineLevel="0" collapsed="false">
      <c r="A70" s="0" t="s">
        <v>2839</v>
      </c>
      <c r="B70" s="5" t="s">
        <v>2840</v>
      </c>
      <c r="C70" s="0" t="s">
        <v>77</v>
      </c>
      <c r="D70" s="27" t="n">
        <f aca="false">Deploy!E102</f>
        <v>1.61980834349181</v>
      </c>
      <c r="E70" s="27" t="n">
        <f aca="false">Deploy!F102</f>
        <v>9.04912429484716</v>
      </c>
      <c r="F70" s="27" t="n">
        <f aca="false">Deploy!G102</f>
        <v>11.7109117618926</v>
      </c>
      <c r="G70" s="27" t="n">
        <f aca="false">Deploy!H102</f>
        <v>4.9338340357976</v>
      </c>
      <c r="H70" s="27" t="n">
        <f aca="false">Deploy!I102</f>
        <v>9.59205703858394</v>
      </c>
      <c r="I70" s="27" t="n">
        <f aca="false">Deploy!J102</f>
        <v>7.4369100874565</v>
      </c>
      <c r="J70" s="27" t="n">
        <f aca="false">Deploy!K102</f>
        <v>5.22001640368055</v>
      </c>
      <c r="K70" s="27" t="n">
        <f aca="false">Deploy!L102</f>
        <v>5.47844643383866</v>
      </c>
      <c r="L70" s="27" t="n">
        <f aca="false">Deploy!M102</f>
        <v>7.03981124034942</v>
      </c>
      <c r="M70" s="20" t="s">
        <v>2841</v>
      </c>
    </row>
    <row r="71" customFormat="false" ht="17.15" hidden="false" customHeight="false" outlineLevel="0" collapsed="false">
      <c r="A71" s="8" t="s">
        <v>2842</v>
      </c>
    </row>
    <row r="72" customFormat="false" ht="17.15" hidden="false" customHeight="false" outlineLevel="0" collapsed="false">
      <c r="A72" s="0" t="s">
        <v>2843</v>
      </c>
      <c r="B72" s="5" t="s">
        <v>2844</v>
      </c>
      <c r="C72" s="0" t="s">
        <v>77</v>
      </c>
      <c r="D72" s="27" t="n">
        <f aca="false">Deploy!E71</f>
        <v>0</v>
      </c>
      <c r="E72" s="27" t="n">
        <f aca="false">Deploy!F71</f>
        <v>0</v>
      </c>
      <c r="F72" s="27" t="n">
        <f aca="false">Deploy!G71</f>
        <v>0.80445969916655</v>
      </c>
      <c r="G72" s="27" t="n">
        <f aca="false">Deploy!H71</f>
        <v>1.66955456345542</v>
      </c>
      <c r="H72" s="27" t="n">
        <f aca="false">Deploy!I71</f>
        <v>3.65173329399242</v>
      </c>
      <c r="I72" s="27" t="n">
        <f aca="false">Deploy!J71</f>
        <v>1.25720373292457</v>
      </c>
      <c r="J72" s="27" t="n">
        <f aca="false">Deploy!K71</f>
        <v>1.37452512185016</v>
      </c>
      <c r="K72" s="27" t="n">
        <f aca="false">Deploy!L71</f>
        <v>1.49630237616498</v>
      </c>
      <c r="L72" s="27" t="n">
        <f aca="false">Deploy!M71</f>
        <v>1.47601633440729</v>
      </c>
      <c r="M72" s="20" t="s">
        <v>2845</v>
      </c>
    </row>
    <row r="73" customFormat="false" ht="17.15" hidden="false" customHeight="false" outlineLevel="0" collapsed="false">
      <c r="A73" s="0" t="s">
        <v>2846</v>
      </c>
      <c r="B73" s="5" t="s">
        <v>2847</v>
      </c>
      <c r="C73" s="0" t="s">
        <v>77</v>
      </c>
      <c r="D73" s="27" t="n">
        <f aca="false">Deploy!E72</f>
        <v>0</v>
      </c>
      <c r="E73" s="27" t="n">
        <f aca="false">Deploy!F72</f>
        <v>0</v>
      </c>
      <c r="F73" s="27" t="n">
        <f aca="false">Deploy!G72</f>
        <v>0.80445969916655</v>
      </c>
      <c r="G73" s="27" t="n">
        <f aca="false">Deploy!H72</f>
        <v>4.33927078787612</v>
      </c>
      <c r="H73" s="27" t="n">
        <f aca="false">Deploy!I72</f>
        <v>9.49429409280789</v>
      </c>
      <c r="I73" s="27" t="n">
        <f aca="false">Deploy!J72</f>
        <v>2.69633705052152</v>
      </c>
      <c r="J73" s="27" t="n">
        <f aca="false">Deploy!K72</f>
        <v>1.37452512185016</v>
      </c>
      <c r="K73" s="27" t="n">
        <f aca="false">Deploy!L72</f>
        <v>1.49630237616498</v>
      </c>
      <c r="L73" s="27" t="n">
        <f aca="false">Deploy!M72</f>
        <v>1.47601633440729</v>
      </c>
      <c r="M73" s="20" t="s">
        <v>2848</v>
      </c>
    </row>
    <row r="74" customFormat="false" ht="17.15" hidden="false" customHeight="false" outlineLevel="0" collapsed="false">
      <c r="A74" s="0" t="s">
        <v>2849</v>
      </c>
      <c r="B74" s="5" t="s">
        <v>2850</v>
      </c>
      <c r="C74" s="0" t="s">
        <v>77</v>
      </c>
      <c r="D74" s="27" t="n">
        <f aca="false">Deploy!E87</f>
        <v>0</v>
      </c>
      <c r="E74" s="27" t="n">
        <f aca="false">Deploy!F87</f>
        <v>0</v>
      </c>
      <c r="F74" s="27" t="n">
        <f aca="false">Deploy!G87</f>
        <v>0.80445969916655</v>
      </c>
      <c r="G74" s="27" t="n">
        <f aca="false">Deploy!H87</f>
        <v>1.66955456345542</v>
      </c>
      <c r="H74" s="27" t="n">
        <f aca="false">Deploy!I87</f>
        <v>3.00815746852727</v>
      </c>
      <c r="I74" s="27" t="n">
        <f aca="false">Deploy!J87</f>
        <v>1.10681692298589</v>
      </c>
      <c r="J74" s="27" t="n">
        <f aca="false">Deploy!K87</f>
        <v>1.23395684956769</v>
      </c>
      <c r="K74" s="27" t="n">
        <f aca="false">Deploy!L87</f>
        <v>1.36989144618153</v>
      </c>
      <c r="L74" s="27" t="n">
        <f aca="false">Deploy!M87</f>
        <v>1.36992215064032</v>
      </c>
      <c r="M74" s="20" t="s">
        <v>2851</v>
      </c>
    </row>
    <row r="75" customFormat="false" ht="17.15" hidden="false" customHeight="false" outlineLevel="0" collapsed="false">
      <c r="A75" s="0" t="s">
        <v>2852</v>
      </c>
      <c r="B75" s="5" t="s">
        <v>2853</v>
      </c>
      <c r="C75" s="0" t="s">
        <v>77</v>
      </c>
      <c r="D75" s="27" t="n">
        <f aca="false">Deploy!E88</f>
        <v>0</v>
      </c>
      <c r="E75" s="27" t="n">
        <f aca="false">Deploy!F88</f>
        <v>0</v>
      </c>
      <c r="F75" s="27" t="n">
        <f aca="false">Deploy!G88</f>
        <v>0.80445969916655</v>
      </c>
      <c r="G75" s="27" t="n">
        <f aca="false">Deploy!H88</f>
        <v>4.33927078787612</v>
      </c>
      <c r="H75" s="27" t="n">
        <f aca="false">Deploy!I88</f>
        <v>7.63711813932274</v>
      </c>
      <c r="I75" s="27" t="n">
        <f aca="false">Deploy!J88</f>
        <v>2.28851991039679</v>
      </c>
      <c r="J75" s="27" t="n">
        <f aca="false">Deploy!K88</f>
        <v>1.23395684956769</v>
      </c>
      <c r="K75" s="27" t="n">
        <f aca="false">Deploy!L88</f>
        <v>1.36989144618153</v>
      </c>
      <c r="L75" s="27" t="n">
        <f aca="false">Deploy!M88</f>
        <v>1.36992215064032</v>
      </c>
      <c r="M75" s="20" t="s">
        <v>2854</v>
      </c>
    </row>
    <row r="76" customFormat="false" ht="17.15" hidden="false" customHeight="false" outlineLevel="0" collapsed="false">
      <c r="A76" s="0" t="s">
        <v>2855</v>
      </c>
      <c r="B76" s="5" t="s">
        <v>2856</v>
      </c>
      <c r="C76" s="0" t="s">
        <v>77</v>
      </c>
      <c r="D76" s="27" t="n">
        <f aca="false">Deploy!E103</f>
        <v>0</v>
      </c>
      <c r="E76" s="27" t="n">
        <f aca="false">Deploy!F103</f>
        <v>0</v>
      </c>
      <c r="F76" s="27" t="n">
        <f aca="false">Deploy!G103</f>
        <v>0.80445969916655</v>
      </c>
      <c r="G76" s="27" t="n">
        <f aca="false">Deploy!H103</f>
        <v>1.66955456345542</v>
      </c>
      <c r="H76" s="27" t="n">
        <f aca="false">Deploy!I103</f>
        <v>2.36458164306212</v>
      </c>
      <c r="I76" s="27" t="n">
        <f aca="false">Deploy!J103</f>
        <v>0.856172239754741</v>
      </c>
      <c r="J76" s="27" t="n">
        <f aca="false">Deploy!K103</f>
        <v>1.01575759233052</v>
      </c>
      <c r="K76" s="27" t="n">
        <f aca="false">Deploy!L103</f>
        <v>1.19057036031992</v>
      </c>
      <c r="L76" s="27" t="n">
        <f aca="false">Deploy!M103</f>
        <v>1.24074806546081</v>
      </c>
      <c r="M76" s="20" t="s">
        <v>2857</v>
      </c>
    </row>
    <row r="77" customFormat="false" ht="17.15" hidden="false" customHeight="false" outlineLevel="0" collapsed="false">
      <c r="A77" s="0" t="s">
        <v>2858</v>
      </c>
      <c r="B77" s="5" t="s">
        <v>2859</v>
      </c>
      <c r="C77" s="0" t="s">
        <v>77</v>
      </c>
      <c r="D77" s="27" t="n">
        <f aca="false">Deploy!E104</f>
        <v>0</v>
      </c>
      <c r="E77" s="27" t="n">
        <f aca="false">Deploy!F104</f>
        <v>0</v>
      </c>
      <c r="F77" s="27" t="n">
        <f aca="false">Deploy!G104</f>
        <v>0.80445969916655</v>
      </c>
      <c r="G77" s="27" t="n">
        <f aca="false">Deploy!H104</f>
        <v>4.33927078787612</v>
      </c>
      <c r="H77" s="27" t="n">
        <f aca="false">Deploy!I104</f>
        <v>5.7799421858376</v>
      </c>
      <c r="I77" s="27" t="n">
        <f aca="false">Deploy!J104</f>
        <v>1.78044489697957</v>
      </c>
      <c r="J77" s="27" t="n">
        <f aca="false">Deploy!K104</f>
        <v>1.01575759233052</v>
      </c>
      <c r="K77" s="27" t="n">
        <f aca="false">Deploy!L104</f>
        <v>1.19057036031992</v>
      </c>
      <c r="L77" s="27" t="n">
        <f aca="false">Deploy!M104</f>
        <v>1.24074806546081</v>
      </c>
      <c r="M77" s="20" t="s">
        <v>2860</v>
      </c>
    </row>
    <row r="78" customFormat="false" ht="17.15" hidden="false" customHeight="false" outlineLevel="0" collapsed="false">
      <c r="A78" s="8" t="s">
        <v>2861</v>
      </c>
    </row>
    <row r="79" customFormat="false" ht="17.15" hidden="false" customHeight="false" outlineLevel="0" collapsed="false">
      <c r="A79" s="0" t="s">
        <v>2862</v>
      </c>
      <c r="B79" s="0" t="s">
        <v>2863</v>
      </c>
      <c r="C79" s="0" t="s">
        <v>77</v>
      </c>
      <c r="D79" s="27" t="n">
        <f aca="false">CapexGW!E23</f>
        <v>1.593775</v>
      </c>
      <c r="E79" s="27" t="n">
        <f aca="false">CapexGW!F23</f>
        <v>3.729045</v>
      </c>
      <c r="F79" s="27" t="n">
        <f aca="false">CapexGW!G23</f>
        <v>4.5</v>
      </c>
      <c r="G79" s="27" t="n">
        <f aca="false">CapexGW!H23</f>
        <v>8.06447576934396</v>
      </c>
      <c r="H79" s="27" t="n">
        <f aca="false">CapexGW!I23</f>
        <v>12.1304545339915</v>
      </c>
      <c r="I79" s="27" t="n">
        <f aca="false">CapexGW!J23</f>
        <v>16.7948755327632</v>
      </c>
      <c r="J79" s="27" t="n">
        <f aca="false">CapexGW!K23</f>
        <v>21.958611180813</v>
      </c>
      <c r="K79" s="27" t="n">
        <f aca="false">CapexGW!L23</f>
        <v>27.6526019148412</v>
      </c>
      <c r="L79" s="27" t="n">
        <f aca="false">CapexGW!M23</f>
        <v>33.9159917222723</v>
      </c>
      <c r="M79" s="20" t="s">
        <v>2864</v>
      </c>
    </row>
    <row r="80" customFormat="false" ht="17.15" hidden="false" customHeight="false" outlineLevel="0" collapsed="false">
      <c r="A80" s="0" t="s">
        <v>2865</v>
      </c>
      <c r="B80" s="0" t="s">
        <v>2866</v>
      </c>
      <c r="C80" s="0" t="s">
        <v>77</v>
      </c>
      <c r="D80" s="27" t="n">
        <f aca="false">CapexGW!E42</f>
        <v>1.89038669917378</v>
      </c>
      <c r="E80" s="27" t="n">
        <f aca="false">CapexGW!F42</f>
        <v>4.3</v>
      </c>
      <c r="F80" s="27" t="n">
        <f aca="false">CapexGW!G42</f>
        <v>5.59267912772586</v>
      </c>
      <c r="G80" s="27" t="n">
        <f aca="false">CapexGW!H42</f>
        <v>11.2903647877143</v>
      </c>
      <c r="H80" s="27" t="n">
        <f aca="false">CapexGW!I42</f>
        <v>18.0671889116977</v>
      </c>
      <c r="I80" s="27" t="n">
        <f aca="false">CapexGW!J42</f>
        <v>25.7564848214025</v>
      </c>
      <c r="J80" s="27" t="n">
        <f aca="false">CapexGW!K42</f>
        <v>34.2367145915563</v>
      </c>
      <c r="K80" s="27" t="n">
        <f aca="false">CapexGW!L42</f>
        <v>43.5649673387255</v>
      </c>
      <c r="L80" s="27" t="n">
        <f aca="false">CapexGW!M42</f>
        <v>53.8260453606116</v>
      </c>
      <c r="M80" s="20" t="s">
        <v>2867</v>
      </c>
    </row>
    <row r="81" customFormat="false" ht="17.15" hidden="false" customHeight="false" outlineLevel="0" collapsed="false">
      <c r="A81" s="0" t="s">
        <v>2868</v>
      </c>
      <c r="B81" s="0" t="s">
        <v>2869</v>
      </c>
      <c r="C81" s="0" t="s">
        <v>77</v>
      </c>
      <c r="D81" s="27" t="n">
        <f aca="false">CapexGW!E61</f>
        <v>0.810284005979073</v>
      </c>
      <c r="E81" s="27" t="n">
        <f aca="false">CapexGW!F61</f>
        <v>2.2</v>
      </c>
      <c r="F81" s="27" t="n">
        <f aca="false">CapexGW!G61</f>
        <v>2.727</v>
      </c>
      <c r="G81" s="27" t="n">
        <f aca="false">CapexGW!H61</f>
        <v>7.27196548273742</v>
      </c>
      <c r="H81" s="27" t="n">
        <f aca="false">CapexGW!I61</f>
        <v>12.2682036820108</v>
      </c>
      <c r="I81" s="27" t="n">
        <f aca="false">CapexGW!J61</f>
        <v>17.8147124889133</v>
      </c>
      <c r="J81" s="27" t="n">
        <f aca="false">CapexGW!K61</f>
        <v>23.895020898745</v>
      </c>
      <c r="K81" s="27" t="n">
        <f aca="false">CapexGW!L61</f>
        <v>30.5833601495599</v>
      </c>
      <c r="L81" s="27" t="n">
        <f aca="false">CapexGW!M61</f>
        <v>37.9405333254563</v>
      </c>
      <c r="M81" s="20" t="s">
        <v>2870</v>
      </c>
    </row>
    <row r="82" customFormat="false" ht="17.15" hidden="false" customHeight="false" outlineLevel="0" collapsed="false">
      <c r="A82" s="0" t="s">
        <v>2871</v>
      </c>
      <c r="B82" s="0" t="s">
        <v>2872</v>
      </c>
      <c r="C82" s="0" t="s">
        <v>77</v>
      </c>
      <c r="D82" s="27" t="n">
        <f aca="false">CapexGW!E80</f>
        <v>0.968475</v>
      </c>
      <c r="E82" s="27" t="n">
        <f aca="false">CapexGW!F80</f>
        <v>2.476595</v>
      </c>
      <c r="F82" s="27" t="n">
        <f aca="false">CapexGW!G80</f>
        <v>3.152595</v>
      </c>
      <c r="G82" s="27" t="n">
        <f aca="false">CapexGW!H80</f>
        <v>3.344595</v>
      </c>
      <c r="H82" s="27" t="n">
        <f aca="false">CapexGW!I80</f>
        <v>6.08100702658016</v>
      </c>
      <c r="I82" s="27" t="n">
        <f aca="false">CapexGW!J80</f>
        <v>9.09275527840958</v>
      </c>
      <c r="J82" s="27" t="n">
        <f aca="false">CapexGW!K80</f>
        <v>12.4056783554219</v>
      </c>
      <c r="K82" s="27" t="n">
        <f aca="false">CapexGW!L80</f>
        <v>16.0498937401355</v>
      </c>
      <c r="L82" s="27" t="n">
        <f aca="false">CapexGW!M80</f>
        <v>20.0585306633205</v>
      </c>
      <c r="M82" s="20" t="s">
        <v>2873</v>
      </c>
    </row>
    <row r="83" customFormat="false" ht="17.15" hidden="false" customHeight="false" outlineLevel="0" collapsed="false">
      <c r="A83" s="0" t="s">
        <v>2874</v>
      </c>
      <c r="B83" s="0" t="s">
        <v>2875</v>
      </c>
      <c r="C83" s="0" t="s">
        <v>77</v>
      </c>
      <c r="D83" s="27" t="n">
        <f aca="false">CapexGW!E99</f>
        <v>0.386465</v>
      </c>
      <c r="E83" s="27" t="n">
        <f aca="false">CapexGW!F99</f>
        <v>1.20287</v>
      </c>
      <c r="F83" s="27" t="n">
        <f aca="false">CapexGW!G99</f>
        <v>2.749</v>
      </c>
      <c r="G83" s="27" t="n">
        <f aca="false">CapexGW!H99</f>
        <v>4.28196918960021</v>
      </c>
      <c r="H83" s="27" t="n">
        <f aca="false">CapexGW!I99</f>
        <v>5.79221708619802</v>
      </c>
      <c r="I83" s="27" t="n">
        <f aca="false">CapexGW!J99</f>
        <v>7.30959059479468</v>
      </c>
      <c r="J83" s="27" t="n">
        <f aca="false">CapexGW!K99</f>
        <v>8.92586015863146</v>
      </c>
      <c r="K83" s="27" t="n">
        <f aca="false">CapexGW!L99</f>
        <v>10.6820118680603</v>
      </c>
      <c r="L83" s="27" t="n">
        <f aca="false">CapexGW!M99</f>
        <v>12.6137787484321</v>
      </c>
      <c r="M83" s="20" t="s">
        <v>2876</v>
      </c>
    </row>
    <row r="84" customFormat="false" ht="17.15" hidden="false" customHeight="false" outlineLevel="0" collapsed="false">
      <c r="A84" s="0" t="s">
        <v>2877</v>
      </c>
      <c r="B84" s="0" t="s">
        <v>2878</v>
      </c>
      <c r="C84" s="0" t="s">
        <v>77</v>
      </c>
      <c r="D84" s="27" t="n">
        <f aca="false">CapexGW!E118</f>
        <v>0.36</v>
      </c>
      <c r="E84" s="27" t="n">
        <f aca="false">CapexGW!F118</f>
        <v>0.85</v>
      </c>
      <c r="F84" s="27" t="n">
        <f aca="false">CapexGW!G118</f>
        <v>1.85</v>
      </c>
      <c r="G84" s="27" t="n">
        <f aca="false">CapexGW!H118</f>
        <v>3.3875</v>
      </c>
      <c r="H84" s="27" t="n">
        <f aca="false">CapexGW!I118</f>
        <v>4.14554229320819</v>
      </c>
      <c r="I84" s="27" t="n">
        <f aca="false">CapexGW!J118</f>
        <v>4.98821739756346</v>
      </c>
      <c r="J84" s="27" t="n">
        <f aca="false">CapexGW!K118</f>
        <v>5.91332354029914</v>
      </c>
      <c r="K84" s="27" t="n">
        <f aca="false">CapexGW!L118</f>
        <v>6.93094029730838</v>
      </c>
      <c r="L84" s="27" t="n">
        <f aca="false">CapexGW!M118</f>
        <v>8.05031873001854</v>
      </c>
      <c r="M84" s="20" t="s">
        <v>2879</v>
      </c>
    </row>
    <row r="85" customFormat="false" ht="17.15" hidden="false" customHeight="false" outlineLevel="0" collapsed="false">
      <c r="A85" s="0" t="s">
        <v>2880</v>
      </c>
      <c r="B85" s="0" t="s">
        <v>2881</v>
      </c>
      <c r="C85" s="0" t="s">
        <v>77</v>
      </c>
      <c r="D85" s="27" t="n">
        <f aca="false">CapexGW!E137</f>
        <v>0</v>
      </c>
      <c r="E85" s="27" t="n">
        <f aca="false">CapexGW!F137</f>
        <v>0.17</v>
      </c>
      <c r="F85" s="27" t="n">
        <f aca="false">CapexGW!G137</f>
        <v>0.9</v>
      </c>
      <c r="G85" s="27" t="n">
        <f aca="false">CapexGW!H137</f>
        <v>1.29617936652654</v>
      </c>
      <c r="H85" s="27" t="n">
        <f aca="false">CapexGW!I137</f>
        <v>1.8505148006767</v>
      </c>
      <c r="I85" s="27" t="n">
        <f aca="false">CapexGW!J137</f>
        <v>2.48043899442144</v>
      </c>
      <c r="J85" s="27" t="n">
        <f aca="false">CapexGW!K137</f>
        <v>3.1889076417039</v>
      </c>
      <c r="K85" s="27" t="n">
        <f aca="false">CapexGW!L137</f>
        <v>3.96822315371461</v>
      </c>
      <c r="L85" s="27" t="n">
        <f aca="false">CapexGW!M137</f>
        <v>4.82547021692639</v>
      </c>
      <c r="M85" s="20" t="s">
        <v>2882</v>
      </c>
    </row>
    <row r="86" customFormat="false" ht="17.15" hidden="false" customHeight="false" outlineLevel="0" collapsed="false">
      <c r="A86" s="0" t="s">
        <v>2883</v>
      </c>
      <c r="B86" s="0" t="s">
        <v>1305</v>
      </c>
      <c r="C86" s="0" t="s">
        <v>77</v>
      </c>
      <c r="D86" s="27" t="str">
        <f aca="false">Players!E163</f>
        <v/>
      </c>
      <c r="E86" s="27" t="n">
        <f aca="false">Players!F163</f>
        <v>0.0055</v>
      </c>
      <c r="F86" s="27" t="n">
        <f aca="false">Players!G163</f>
        <v>0.014574</v>
      </c>
      <c r="G86" s="27" t="n">
        <f aca="false">Players!H163</f>
        <v>0.016548</v>
      </c>
      <c r="H86" s="27" t="n">
        <f aca="false">Players!I163</f>
        <v>0.016548</v>
      </c>
      <c r="I86" s="27" t="n">
        <f aca="false">Players!J163</f>
        <v>0.016548</v>
      </c>
      <c r="J86" s="27" t="n">
        <f aca="false">Players!K163</f>
        <v>0.016548</v>
      </c>
      <c r="K86" s="27" t="n">
        <f aca="false">Players!L163</f>
        <v>0.016548</v>
      </c>
      <c r="L86" s="27" t="n">
        <f aca="false">Players!M163</f>
        <v>0.016548</v>
      </c>
      <c r="M86" s="20" t="s">
        <v>2884</v>
      </c>
    </row>
    <row r="87" customFormat="false" ht="17.15" hidden="false" customHeight="false" outlineLevel="0" collapsed="false">
      <c r="A87" s="0" t="s">
        <v>2885</v>
      </c>
      <c r="B87" s="0" t="s">
        <v>1306</v>
      </c>
      <c r="C87" s="0" t="s">
        <v>77</v>
      </c>
      <c r="D87" s="27" t="str">
        <f aca="false">Players!E182</f>
        <v/>
      </c>
      <c r="E87" s="27" t="n">
        <f aca="false">Players!F182</f>
        <v>0.5698</v>
      </c>
      <c r="F87" s="27" t="n">
        <f aca="false">Players!G182</f>
        <v>2</v>
      </c>
      <c r="G87" s="27" t="n">
        <f aca="false">Players!H182</f>
        <v>2.585</v>
      </c>
      <c r="H87" s="27" t="n">
        <f aca="false">Players!I182</f>
        <v>2.585</v>
      </c>
      <c r="I87" s="27" t="n">
        <f aca="false">Players!J182</f>
        <v>2.585</v>
      </c>
      <c r="J87" s="27" t="n">
        <f aca="false">Players!K182</f>
        <v>2.585</v>
      </c>
      <c r="K87" s="27" t="n">
        <f aca="false">Players!L182</f>
        <v>2.585</v>
      </c>
      <c r="L87" s="27" t="n">
        <f aca="false">Players!M182</f>
        <v>2.585</v>
      </c>
      <c r="M87" s="20" t="s">
        <v>2886</v>
      </c>
    </row>
    <row r="88" customFormat="false" ht="17.15" hidden="false" customHeight="false" outlineLevel="0" collapsed="false">
      <c r="A88" s="0" t="s">
        <v>2887</v>
      </c>
      <c r="B88" s="0" t="s">
        <v>1307</v>
      </c>
      <c r="C88" s="0" t="s">
        <v>77</v>
      </c>
      <c r="D88" s="27" t="str">
        <f aca="false">Players!E201</f>
        <v/>
      </c>
      <c r="E88" s="27" t="n">
        <f aca="false">Players!F201</f>
        <v>0</v>
      </c>
      <c r="F88" s="27" t="n">
        <f aca="false">Players!G201</f>
        <v>0</v>
      </c>
      <c r="G88" s="27" t="n">
        <f aca="false">Players!H201</f>
        <v>0.308</v>
      </c>
      <c r="H88" s="27" t="n">
        <f aca="false">Players!I201</f>
        <v>1.553</v>
      </c>
      <c r="I88" s="27" t="n">
        <f aca="false">Players!J201</f>
        <v>2.702</v>
      </c>
      <c r="J88" s="27" t="n">
        <f aca="false">Players!K201</f>
        <v>3.851</v>
      </c>
      <c r="K88" s="27" t="n">
        <f aca="false">Players!L201</f>
        <v>5.001</v>
      </c>
      <c r="L88" s="27" t="n">
        <f aca="false">Players!M201</f>
        <v>5.001</v>
      </c>
      <c r="M88" s="20" t="s">
        <v>2888</v>
      </c>
    </row>
    <row r="89" customFormat="false" ht="17.15" hidden="false" customHeight="false" outlineLevel="0" collapsed="false">
      <c r="A89" s="0" t="s">
        <v>2889</v>
      </c>
      <c r="B89" s="0" t="s">
        <v>1308</v>
      </c>
      <c r="C89" s="0" t="s">
        <v>77</v>
      </c>
      <c r="D89" s="27" t="str">
        <f aca="false">Players!E220</f>
        <v/>
      </c>
      <c r="E89" s="27" t="n">
        <f aca="false">Players!F220</f>
        <v>0</v>
      </c>
      <c r="F89" s="27" t="n">
        <f aca="false">Players!G220</f>
        <v>0</v>
      </c>
      <c r="G89" s="27" t="n">
        <f aca="false">Players!H220</f>
        <v>0</v>
      </c>
      <c r="H89" s="27" t="n">
        <f aca="false">Players!I220</f>
        <v>0</v>
      </c>
      <c r="I89" s="27" t="n">
        <f aca="false">Players!J220</f>
        <v>0</v>
      </c>
      <c r="J89" s="27" t="n">
        <f aca="false">Players!K220</f>
        <v>0</v>
      </c>
      <c r="K89" s="27" t="n">
        <f aca="false">Players!L220</f>
        <v>0</v>
      </c>
      <c r="L89" s="27" t="n">
        <f aca="false">Players!M220</f>
        <v>0</v>
      </c>
      <c r="M89" s="20" t="s">
        <v>2890</v>
      </c>
    </row>
    <row r="90" customFormat="false" ht="17.15" hidden="false" customHeight="false" outlineLevel="0" collapsed="false">
      <c r="A90" s="0" t="s">
        <v>2891</v>
      </c>
      <c r="B90" s="5" t="s">
        <v>1309</v>
      </c>
      <c r="C90" s="0" t="s">
        <v>77</v>
      </c>
      <c r="D90" s="27" t="n">
        <f aca="false">Players!E239</f>
        <v>0.2</v>
      </c>
      <c r="E90" s="27" t="n">
        <f aca="false">Players!F239</f>
        <v>0.5</v>
      </c>
      <c r="F90" s="27" t="n">
        <f aca="false">Players!G239</f>
        <v>1.3</v>
      </c>
      <c r="G90" s="27" t="n">
        <f aca="false">Players!H239</f>
        <v>2.407</v>
      </c>
      <c r="H90" s="27" t="n">
        <f aca="false">Players!I239</f>
        <v>4.31</v>
      </c>
      <c r="I90" s="27" t="n">
        <f aca="false">Players!J239</f>
        <v>4.31</v>
      </c>
      <c r="J90" s="27" t="n">
        <f aca="false">Players!K239</f>
        <v>4.31</v>
      </c>
      <c r="K90" s="27" t="n">
        <f aca="false">Players!L239</f>
        <v>4.31</v>
      </c>
      <c r="L90" s="27" t="n">
        <f aca="false">Players!M239</f>
        <v>4.31</v>
      </c>
      <c r="M90" s="20" t="s">
        <v>2892</v>
      </c>
    </row>
    <row r="91" customFormat="false" ht="17.15" hidden="false" customHeight="false" outlineLevel="0" collapsed="false">
      <c r="A91" s="0" t="s">
        <v>2893</v>
      </c>
      <c r="B91" s="5" t="s">
        <v>1310</v>
      </c>
      <c r="C91" s="0" t="s">
        <v>77</v>
      </c>
      <c r="D91" s="27" t="str">
        <f aca="false">Players!E258</f>
        <v/>
      </c>
      <c r="E91" s="27" t="n">
        <f aca="false">Players!F258</f>
        <v>0</v>
      </c>
      <c r="F91" s="27" t="n">
        <f aca="false">Players!G258</f>
        <v>0.4</v>
      </c>
      <c r="G91" s="27" t="n">
        <f aca="false">Players!H258</f>
        <v>1.9</v>
      </c>
      <c r="H91" s="27" t="n">
        <f aca="false">Players!I258</f>
        <v>1.996</v>
      </c>
      <c r="I91" s="27" t="n">
        <f aca="false">Players!J258</f>
        <v>1.996</v>
      </c>
      <c r="J91" s="27" t="n">
        <f aca="false">Players!K258</f>
        <v>2.196</v>
      </c>
      <c r="K91" s="27" t="n">
        <f aca="false">Players!L258</f>
        <v>2.196</v>
      </c>
      <c r="L91" s="27" t="n">
        <f aca="false">Players!M258</f>
        <v>2.196</v>
      </c>
      <c r="M91" s="20" t="s">
        <v>2894</v>
      </c>
    </row>
    <row r="92" customFormat="false" ht="17.15" hidden="false" customHeight="false" outlineLevel="0" collapsed="false">
      <c r="A92" s="0" t="s">
        <v>2895</v>
      </c>
      <c r="B92" s="5" t="s">
        <v>1311</v>
      </c>
      <c r="C92" s="0" t="s">
        <v>77</v>
      </c>
      <c r="D92" s="27" t="str">
        <f aca="false">Players!E277</f>
        <v/>
      </c>
      <c r="E92" s="27" t="n">
        <f aca="false">Players!F277</f>
        <v>8.33333333333333</v>
      </c>
      <c r="F92" s="27" t="n">
        <f aca="false">Players!G277</f>
        <v>11.6666666666667</v>
      </c>
      <c r="G92" s="27" t="n">
        <f aca="false">Players!H277</f>
        <v>13.6561711245072</v>
      </c>
      <c r="H92" s="27" t="n">
        <f aca="false">Players!I277</f>
        <v>15.9373851854162</v>
      </c>
      <c r="I92" s="27" t="n">
        <f aca="false">Players!J277</f>
        <v>18.5499065164136</v>
      </c>
      <c r="J92" s="27" t="n">
        <f aca="false">Players!K277</f>
        <v>21.5384615384615</v>
      </c>
      <c r="K92" s="27" t="n">
        <f aca="false">Players!L277</f>
        <v>23.6923076923077</v>
      </c>
      <c r="L92" s="27" t="n">
        <f aca="false">Players!M277</f>
        <v>26.0615384615385</v>
      </c>
      <c r="M92" s="20" t="s">
        <v>2896</v>
      </c>
    </row>
    <row r="93" customFormat="false" ht="17.15" hidden="false" customHeight="false" outlineLevel="0" collapsed="false">
      <c r="A93" s="0" t="s">
        <v>2897</v>
      </c>
      <c r="B93" s="5" t="s">
        <v>1312</v>
      </c>
      <c r="C93" s="0" t="s">
        <v>77</v>
      </c>
      <c r="D93" s="27" t="str">
        <f aca="false">Players!E296</f>
        <v/>
      </c>
      <c r="E93" s="27" t="n">
        <f aca="false">Players!F296</f>
        <v>1</v>
      </c>
      <c r="F93" s="27" t="n">
        <f aca="false">Players!G296</f>
        <v>1</v>
      </c>
      <c r="G93" s="27" t="n">
        <f aca="false">Players!H296</f>
        <v>1</v>
      </c>
      <c r="H93" s="27" t="n">
        <f aca="false">Players!I296</f>
        <v>1</v>
      </c>
      <c r="I93" s="27" t="n">
        <f aca="false">Players!J296</f>
        <v>1</v>
      </c>
      <c r="J93" s="27" t="n">
        <f aca="false">Players!K296</f>
        <v>1</v>
      </c>
      <c r="K93" s="27" t="n">
        <f aca="false">Players!L296</f>
        <v>1</v>
      </c>
      <c r="L93" s="27" t="n">
        <f aca="false">Players!M296</f>
        <v>1</v>
      </c>
      <c r="M93" s="20" t="s">
        <v>2898</v>
      </c>
    </row>
    <row r="94" customFormat="false" ht="17.15" hidden="false" customHeight="false" outlineLevel="0" collapsed="false">
      <c r="A94" s="8" t="s">
        <v>2899</v>
      </c>
    </row>
    <row r="95" customFormat="false" ht="17.15" hidden="false" customHeight="false" outlineLevel="0" collapsed="false">
      <c r="A95" s="0" t="s">
        <v>2900</v>
      </c>
      <c r="B95" s="0" t="s">
        <v>2901</v>
      </c>
      <c r="C95" s="0" t="s">
        <v>77</v>
      </c>
      <c r="D95" s="27" t="n">
        <f aca="false">Players!E30</f>
        <v>1.593775</v>
      </c>
      <c r="E95" s="27" t="n">
        <f aca="false">Players!F30</f>
        <v>3.729045</v>
      </c>
      <c r="F95" s="27" t="n">
        <f aca="false">Players!G30</f>
        <v>4.5</v>
      </c>
      <c r="G95" s="27" t="n">
        <f aca="false">Players!H30</f>
        <v>5.54</v>
      </c>
      <c r="H95" s="27" t="n">
        <f aca="false">Players!I30</f>
        <v>7.066</v>
      </c>
      <c r="I95" s="27" t="n">
        <f aca="false">Players!J30</f>
        <v>7.066</v>
      </c>
      <c r="J95" s="27" t="n">
        <f aca="false">Players!K30</f>
        <v>7.066</v>
      </c>
      <c r="K95" s="27" t="n">
        <f aca="false">Players!L30</f>
        <v>7.066</v>
      </c>
      <c r="L95" s="27" t="n">
        <f aca="false">Players!M30</f>
        <v>7.066</v>
      </c>
      <c r="M95" s="20" t="s">
        <v>2902</v>
      </c>
    </row>
    <row r="96" customFormat="false" ht="17.15" hidden="false" customHeight="false" outlineLevel="0" collapsed="false">
      <c r="A96" s="0" t="s">
        <v>2903</v>
      </c>
      <c r="B96" s="0" t="s">
        <v>2904</v>
      </c>
      <c r="C96" s="0" t="s">
        <v>77</v>
      </c>
      <c r="D96" s="27" t="n">
        <f aca="false">Players!E49</f>
        <v>1.89038669917378</v>
      </c>
      <c r="E96" s="27" t="n">
        <f aca="false">Players!F49</f>
        <v>4.3</v>
      </c>
      <c r="F96" s="27" t="n">
        <f aca="false">Players!G49</f>
        <v>5.59267912772586</v>
      </c>
      <c r="G96" s="27" t="n">
        <f aca="false">Players!H49</f>
        <v>5.59267912772586</v>
      </c>
      <c r="H96" s="27" t="n">
        <f aca="false">Players!I49</f>
        <v>5.59267912772586</v>
      </c>
      <c r="I96" s="27" t="n">
        <f aca="false">Players!J49</f>
        <v>5.59267912772586</v>
      </c>
      <c r="J96" s="27" t="n">
        <f aca="false">Players!K49</f>
        <v>5.59267912772586</v>
      </c>
      <c r="K96" s="27" t="n">
        <f aca="false">Players!L49</f>
        <v>5.59267912772586</v>
      </c>
      <c r="L96" s="27" t="n">
        <f aca="false">Players!M49</f>
        <v>5.59267912772586</v>
      </c>
      <c r="M96" s="20" t="s">
        <v>2905</v>
      </c>
    </row>
    <row r="97" customFormat="false" ht="17.15" hidden="false" customHeight="false" outlineLevel="0" collapsed="false">
      <c r="A97" s="0" t="s">
        <v>2906</v>
      </c>
      <c r="B97" s="0" t="s">
        <v>2907</v>
      </c>
      <c r="C97" s="0" t="s">
        <v>77</v>
      </c>
      <c r="D97" s="27" t="n">
        <f aca="false">Players!E68</f>
        <v>0.810284005979073</v>
      </c>
      <c r="E97" s="27" t="n">
        <f aca="false">Players!F68</f>
        <v>2.2</v>
      </c>
      <c r="F97" s="27" t="n">
        <f aca="false">Players!G68</f>
        <v>2.727</v>
      </c>
      <c r="G97" s="27" t="n">
        <f aca="false">Players!H68</f>
        <v>2.768</v>
      </c>
      <c r="H97" s="27" t="n">
        <f aca="false">Players!I68</f>
        <v>4.212</v>
      </c>
      <c r="I97" s="27" t="n">
        <f aca="false">Players!J68</f>
        <v>4.274</v>
      </c>
      <c r="J97" s="27" t="n">
        <f aca="false">Players!K68</f>
        <v>4.274</v>
      </c>
      <c r="K97" s="27" t="n">
        <f aca="false">Players!L68</f>
        <v>4.274</v>
      </c>
      <c r="L97" s="27" t="n">
        <f aca="false">Players!M68</f>
        <v>4.274</v>
      </c>
      <c r="M97" s="20" t="s">
        <v>2908</v>
      </c>
    </row>
    <row r="98" customFormat="false" ht="17.15" hidden="false" customHeight="false" outlineLevel="0" collapsed="false">
      <c r="A98" s="0" t="s">
        <v>2909</v>
      </c>
      <c r="B98" s="0" t="s">
        <v>2910</v>
      </c>
      <c r="C98" s="0" t="s">
        <v>77</v>
      </c>
      <c r="D98" s="27" t="n">
        <f aca="false">Players!E87</f>
        <v>0.968475</v>
      </c>
      <c r="E98" s="27" t="n">
        <f aca="false">Players!F87</f>
        <v>2.476595</v>
      </c>
      <c r="F98" s="27" t="n">
        <f aca="false">Players!G87</f>
        <v>3.152595</v>
      </c>
      <c r="G98" s="27" t="n">
        <f aca="false">Players!H87</f>
        <v>3.344595</v>
      </c>
      <c r="H98" s="27" t="n">
        <f aca="false">Players!I87</f>
        <v>6.130595</v>
      </c>
      <c r="I98" s="27" t="n">
        <f aca="false">Players!J87</f>
        <v>6.498595</v>
      </c>
      <c r="J98" s="27" t="n">
        <f aca="false">Players!K87</f>
        <v>6.498595</v>
      </c>
      <c r="K98" s="27" t="n">
        <f aca="false">Players!L87</f>
        <v>6.498595</v>
      </c>
      <c r="L98" s="27" t="n">
        <f aca="false">Players!M87</f>
        <v>6.498595</v>
      </c>
      <c r="M98" s="20" t="s">
        <v>2911</v>
      </c>
    </row>
    <row r="99" customFormat="false" ht="17.15" hidden="false" customHeight="false" outlineLevel="0" collapsed="false">
      <c r="A99" s="0" t="s">
        <v>2912</v>
      </c>
      <c r="B99" s="0" t="s">
        <v>2913</v>
      </c>
      <c r="C99" s="0" t="s">
        <v>77</v>
      </c>
      <c r="D99" s="27" t="n">
        <f aca="false">Players!E106</f>
        <v>0.386465</v>
      </c>
      <c r="E99" s="27" t="n">
        <f aca="false">Players!F106</f>
        <v>1.20287</v>
      </c>
      <c r="F99" s="27" t="n">
        <f aca="false">Players!G106</f>
        <v>2.749</v>
      </c>
      <c r="G99" s="27" t="n">
        <f aca="false">Players!H106</f>
        <v>2.91566666666667</v>
      </c>
      <c r="H99" s="27" t="n">
        <f aca="false">Players!I106</f>
        <v>8.48483333333333</v>
      </c>
      <c r="I99" s="27" t="n">
        <f aca="false">Players!J106</f>
        <v>8.48483333333333</v>
      </c>
      <c r="J99" s="27" t="n">
        <f aca="false">Players!K106</f>
        <v>8.48483333333333</v>
      </c>
      <c r="K99" s="27" t="n">
        <f aca="false">Players!L106</f>
        <v>8.48483333333333</v>
      </c>
      <c r="L99" s="27" t="n">
        <f aca="false">Players!M106</f>
        <v>8.48483333333333</v>
      </c>
      <c r="M99" s="20" t="s">
        <v>2914</v>
      </c>
    </row>
    <row r="100" customFormat="false" ht="17.15" hidden="false" customHeight="false" outlineLevel="0" collapsed="false">
      <c r="A100" s="0" t="s">
        <v>2915</v>
      </c>
      <c r="B100" s="0" t="s">
        <v>2916</v>
      </c>
      <c r="C100" s="0" t="s">
        <v>77</v>
      </c>
      <c r="D100" s="27" t="n">
        <f aca="false">Players!E125</f>
        <v>0.36</v>
      </c>
      <c r="E100" s="27" t="n">
        <f aca="false">Players!F125</f>
        <v>0.85</v>
      </c>
      <c r="F100" s="27" t="n">
        <f aca="false">Players!G125</f>
        <v>1.85</v>
      </c>
      <c r="G100" s="27" t="n">
        <f aca="false">Players!H125</f>
        <v>3.3875</v>
      </c>
      <c r="H100" s="27" t="n">
        <f aca="false">Players!I125</f>
        <v>4.925</v>
      </c>
      <c r="I100" s="27" t="n">
        <f aca="false">Players!J125</f>
        <v>6.4625</v>
      </c>
      <c r="J100" s="27" t="n">
        <f aca="false">Players!K125</f>
        <v>8</v>
      </c>
      <c r="K100" s="27" t="n">
        <f aca="false">Players!L125</f>
        <v>8</v>
      </c>
      <c r="L100" s="27" t="n">
        <f aca="false">Players!M125</f>
        <v>8</v>
      </c>
      <c r="M100" s="20" t="s">
        <v>2917</v>
      </c>
    </row>
    <row r="101" customFormat="false" ht="17.15" hidden="false" customHeight="false" outlineLevel="0" collapsed="false">
      <c r="A101" s="0" t="s">
        <v>2918</v>
      </c>
      <c r="B101" s="0" t="s">
        <v>2919</v>
      </c>
      <c r="C101" s="0" t="s">
        <v>77</v>
      </c>
      <c r="D101" s="27" t="str">
        <f aca="false">Players!E144</f>
        <v/>
      </c>
      <c r="E101" s="27" t="n">
        <f aca="false">Players!F144</f>
        <v>0.17</v>
      </c>
      <c r="F101" s="27" t="n">
        <f aca="false">Players!G144</f>
        <v>0.9</v>
      </c>
      <c r="G101" s="27" t="n">
        <f aca="false">Players!H144</f>
        <v>0.9</v>
      </c>
      <c r="H101" s="27" t="n">
        <f aca="false">Players!I144</f>
        <v>0.9</v>
      </c>
      <c r="I101" s="27" t="n">
        <f aca="false">Players!J144</f>
        <v>0.9</v>
      </c>
      <c r="J101" s="27" t="n">
        <f aca="false">Players!K144</f>
        <v>0.9</v>
      </c>
      <c r="K101" s="27" t="n">
        <f aca="false">Players!L144</f>
        <v>0.9</v>
      </c>
      <c r="L101" s="27" t="n">
        <f aca="false">Players!M144</f>
        <v>0.9</v>
      </c>
      <c r="M101" s="20" t="s">
        <v>2920</v>
      </c>
    </row>
    <row r="102" customFormat="false" ht="17.15" hidden="false" customHeight="false" outlineLevel="0" collapsed="false">
      <c r="A102" s="0" t="s">
        <v>2921</v>
      </c>
      <c r="B102" s="0" t="s">
        <v>2922</v>
      </c>
      <c r="C102" s="0" t="s">
        <v>77</v>
      </c>
      <c r="D102" s="27" t="str">
        <f aca="false">Players!E163</f>
        <v/>
      </c>
      <c r="E102" s="27" t="n">
        <f aca="false">Players!F163</f>
        <v>0.0055</v>
      </c>
      <c r="F102" s="27" t="n">
        <f aca="false">Players!G163</f>
        <v>0.014574</v>
      </c>
      <c r="G102" s="27" t="n">
        <f aca="false">Players!H163</f>
        <v>0.016548</v>
      </c>
      <c r="H102" s="27" t="n">
        <f aca="false">Players!I163</f>
        <v>0.016548</v>
      </c>
      <c r="I102" s="27" t="n">
        <f aca="false">Players!J163</f>
        <v>0.016548</v>
      </c>
      <c r="J102" s="27" t="n">
        <f aca="false">Players!K163</f>
        <v>0.016548</v>
      </c>
      <c r="K102" s="27" t="n">
        <f aca="false">Players!L163</f>
        <v>0.016548</v>
      </c>
      <c r="L102" s="27" t="n">
        <f aca="false">Players!M163</f>
        <v>0.016548</v>
      </c>
      <c r="M102" s="20" t="s">
        <v>2884</v>
      </c>
    </row>
    <row r="103" customFormat="false" ht="17.15" hidden="false" customHeight="false" outlineLevel="0" collapsed="false">
      <c r="A103" s="0" t="s">
        <v>2923</v>
      </c>
      <c r="B103" s="0" t="s">
        <v>2924</v>
      </c>
      <c r="C103" s="0" t="s">
        <v>77</v>
      </c>
      <c r="D103" s="27" t="str">
        <f aca="false">Players!E182</f>
        <v/>
      </c>
      <c r="E103" s="27" t="n">
        <f aca="false">Players!F182</f>
        <v>0.5698</v>
      </c>
      <c r="F103" s="27" t="n">
        <f aca="false">Players!G182</f>
        <v>2</v>
      </c>
      <c r="G103" s="27" t="n">
        <f aca="false">Players!H182</f>
        <v>2.585</v>
      </c>
      <c r="H103" s="27" t="n">
        <f aca="false">Players!I182</f>
        <v>2.585</v>
      </c>
      <c r="I103" s="27" t="n">
        <f aca="false">Players!J182</f>
        <v>2.585</v>
      </c>
      <c r="J103" s="27" t="n">
        <f aca="false">Players!K182</f>
        <v>2.585</v>
      </c>
      <c r="K103" s="27" t="n">
        <f aca="false">Players!L182</f>
        <v>2.585</v>
      </c>
      <c r="L103" s="27" t="n">
        <f aca="false">Players!M182</f>
        <v>2.585</v>
      </c>
      <c r="M103" s="20" t="s">
        <v>2886</v>
      </c>
    </row>
    <row r="104" customFormat="false" ht="17.15" hidden="false" customHeight="false" outlineLevel="0" collapsed="false">
      <c r="A104" s="0" t="s">
        <v>2925</v>
      </c>
      <c r="B104" s="0" t="s">
        <v>2926</v>
      </c>
      <c r="C104" s="0" t="s">
        <v>77</v>
      </c>
      <c r="D104" s="27" t="str">
        <f aca="false">Players!E201</f>
        <v/>
      </c>
      <c r="E104" s="27" t="n">
        <f aca="false">Players!F201</f>
        <v>0</v>
      </c>
      <c r="F104" s="27" t="n">
        <f aca="false">Players!G201</f>
        <v>0</v>
      </c>
      <c r="G104" s="27" t="n">
        <f aca="false">Players!H201</f>
        <v>0.308</v>
      </c>
      <c r="H104" s="27" t="n">
        <f aca="false">Players!I201</f>
        <v>1.553</v>
      </c>
      <c r="I104" s="27" t="n">
        <f aca="false">Players!J201</f>
        <v>2.702</v>
      </c>
      <c r="J104" s="27" t="n">
        <f aca="false">Players!K201</f>
        <v>3.851</v>
      </c>
      <c r="K104" s="27" t="n">
        <f aca="false">Players!L201</f>
        <v>5.001</v>
      </c>
      <c r="L104" s="27" t="n">
        <f aca="false">Players!M201</f>
        <v>5.001</v>
      </c>
      <c r="M104" s="20" t="s">
        <v>2888</v>
      </c>
    </row>
    <row r="105" customFormat="false" ht="17.15" hidden="false" customHeight="false" outlineLevel="0" collapsed="false">
      <c r="A105" s="0" t="s">
        <v>2927</v>
      </c>
      <c r="B105" s="0" t="s">
        <v>2928</v>
      </c>
      <c r="C105" s="0" t="s">
        <v>77</v>
      </c>
      <c r="D105" s="27" t="str">
        <f aca="false">Players!E220</f>
        <v/>
      </c>
      <c r="E105" s="27" t="n">
        <f aca="false">Players!F220</f>
        <v>0</v>
      </c>
      <c r="F105" s="27" t="n">
        <f aca="false">Players!G220</f>
        <v>0</v>
      </c>
      <c r="G105" s="27" t="n">
        <f aca="false">Players!H220</f>
        <v>0</v>
      </c>
      <c r="H105" s="27" t="n">
        <f aca="false">Players!I220</f>
        <v>0</v>
      </c>
      <c r="I105" s="27" t="n">
        <f aca="false">Players!J220</f>
        <v>0</v>
      </c>
      <c r="J105" s="27" t="n">
        <f aca="false">Players!K220</f>
        <v>0</v>
      </c>
      <c r="K105" s="27" t="n">
        <f aca="false">Players!L220</f>
        <v>0</v>
      </c>
      <c r="L105" s="27" t="n">
        <f aca="false">Players!M220</f>
        <v>0</v>
      </c>
      <c r="M105" s="20" t="s">
        <v>2890</v>
      </c>
    </row>
    <row r="106" customFormat="false" ht="17.15" hidden="false" customHeight="false" outlineLevel="0" collapsed="false">
      <c r="A106" s="0" t="s">
        <v>2929</v>
      </c>
      <c r="B106" s="5" t="s">
        <v>2930</v>
      </c>
      <c r="C106" s="0" t="s">
        <v>77</v>
      </c>
      <c r="D106" s="27" t="n">
        <f aca="false">Players!E239</f>
        <v>0.2</v>
      </c>
      <c r="E106" s="27" t="n">
        <f aca="false">Players!F239</f>
        <v>0.5</v>
      </c>
      <c r="F106" s="27" t="n">
        <f aca="false">Players!G239</f>
        <v>1.3</v>
      </c>
      <c r="G106" s="27" t="n">
        <f aca="false">Players!H239</f>
        <v>2.407</v>
      </c>
      <c r="H106" s="27" t="n">
        <f aca="false">Players!I239</f>
        <v>4.31</v>
      </c>
      <c r="I106" s="27" t="n">
        <f aca="false">Players!J239</f>
        <v>4.31</v>
      </c>
      <c r="J106" s="27" t="n">
        <f aca="false">Players!K239</f>
        <v>4.31</v>
      </c>
      <c r="K106" s="27" t="n">
        <f aca="false">Players!L239</f>
        <v>4.31</v>
      </c>
      <c r="L106" s="27" t="n">
        <f aca="false">Players!M239</f>
        <v>4.31</v>
      </c>
      <c r="M106" s="20" t="s">
        <v>2892</v>
      </c>
    </row>
    <row r="107" customFormat="false" ht="17.15" hidden="false" customHeight="false" outlineLevel="0" collapsed="false">
      <c r="A107" s="0" t="s">
        <v>2931</v>
      </c>
      <c r="B107" s="5" t="s">
        <v>2932</v>
      </c>
      <c r="C107" s="0" t="s">
        <v>77</v>
      </c>
      <c r="D107" s="27" t="str">
        <f aca="false">Players!E258</f>
        <v/>
      </c>
      <c r="E107" s="27" t="n">
        <f aca="false">Players!F258</f>
        <v>0</v>
      </c>
      <c r="F107" s="27" t="n">
        <f aca="false">Players!G258</f>
        <v>0.4</v>
      </c>
      <c r="G107" s="27" t="n">
        <f aca="false">Players!H258</f>
        <v>1.9</v>
      </c>
      <c r="H107" s="27" t="n">
        <f aca="false">Players!I258</f>
        <v>1.996</v>
      </c>
      <c r="I107" s="27" t="n">
        <f aca="false">Players!J258</f>
        <v>1.996</v>
      </c>
      <c r="J107" s="27" t="n">
        <f aca="false">Players!K258</f>
        <v>2.196</v>
      </c>
      <c r="K107" s="27" t="n">
        <f aca="false">Players!L258</f>
        <v>2.196</v>
      </c>
      <c r="L107" s="27" t="n">
        <f aca="false">Players!M258</f>
        <v>2.196</v>
      </c>
      <c r="M107" s="20" t="s">
        <v>2894</v>
      </c>
    </row>
    <row r="108" customFormat="false" ht="17.15" hidden="false" customHeight="false" outlineLevel="0" collapsed="false">
      <c r="A108" s="0" t="s">
        <v>2933</v>
      </c>
      <c r="B108" s="5" t="s">
        <v>2934</v>
      </c>
      <c r="C108" s="0" t="s">
        <v>77</v>
      </c>
      <c r="D108" s="27" t="str">
        <f aca="false">Players!E277</f>
        <v/>
      </c>
      <c r="E108" s="27" t="n">
        <f aca="false">Players!F277</f>
        <v>8.33333333333333</v>
      </c>
      <c r="F108" s="27" t="n">
        <f aca="false">Players!G277</f>
        <v>11.6666666666667</v>
      </c>
      <c r="G108" s="27" t="n">
        <f aca="false">Players!H277</f>
        <v>13.6561711245072</v>
      </c>
      <c r="H108" s="27" t="n">
        <f aca="false">Players!I277</f>
        <v>15.9373851854162</v>
      </c>
      <c r="I108" s="27" t="n">
        <f aca="false">Players!J277</f>
        <v>18.5499065164136</v>
      </c>
      <c r="J108" s="27" t="n">
        <f aca="false">Players!K277</f>
        <v>21.5384615384615</v>
      </c>
      <c r="K108" s="27" t="n">
        <f aca="false">Players!L277</f>
        <v>23.6923076923077</v>
      </c>
      <c r="L108" s="27" t="n">
        <f aca="false">Players!M277</f>
        <v>26.0615384615385</v>
      </c>
      <c r="M108" s="20" t="s">
        <v>2896</v>
      </c>
    </row>
    <row r="109" customFormat="false" ht="17.15" hidden="false" customHeight="false" outlineLevel="0" collapsed="false">
      <c r="A109" s="0" t="s">
        <v>2935</v>
      </c>
      <c r="B109" s="5" t="s">
        <v>2936</v>
      </c>
      <c r="C109" s="0" t="s">
        <v>77</v>
      </c>
      <c r="D109" s="27" t="str">
        <f aca="false">Players!E296</f>
        <v/>
      </c>
      <c r="E109" s="27" t="n">
        <f aca="false">Players!F296</f>
        <v>1</v>
      </c>
      <c r="F109" s="27" t="n">
        <f aca="false">Players!G296</f>
        <v>1</v>
      </c>
      <c r="G109" s="27" t="n">
        <f aca="false">Players!H296</f>
        <v>1</v>
      </c>
      <c r="H109" s="27" t="n">
        <f aca="false">Players!I296</f>
        <v>1</v>
      </c>
      <c r="I109" s="27" t="n">
        <f aca="false">Players!J296</f>
        <v>1</v>
      </c>
      <c r="J109" s="27" t="n">
        <f aca="false">Players!K296</f>
        <v>1</v>
      </c>
      <c r="K109" s="27" t="n">
        <f aca="false">Players!L296</f>
        <v>1</v>
      </c>
      <c r="L109" s="27" t="n">
        <f aca="false">Players!M296</f>
        <v>1</v>
      </c>
      <c r="M109" s="20" t="s">
        <v>2898</v>
      </c>
    </row>
    <row r="110" customFormat="false" ht="17.15" hidden="false" customHeight="false" outlineLevel="0" collapsed="false">
      <c r="A110" s="8" t="s">
        <v>2937</v>
      </c>
    </row>
    <row r="111" customFormat="false" ht="15" hidden="false" customHeight="false" outlineLevel="0" collapsed="false">
      <c r="A111" s="0" t="s">
        <v>2938</v>
      </c>
      <c r="B111" s="5" t="s">
        <v>2591</v>
      </c>
      <c r="C111" s="0" t="s">
        <v>390</v>
      </c>
      <c r="D111" s="27" t="n">
        <f aca="false">Spend!E8</f>
        <v>22.5302381301231</v>
      </c>
      <c r="E111" s="27" t="n">
        <f aca="false">Spend!F8</f>
        <v>120.526480331681</v>
      </c>
      <c r="F111" s="27" t="n">
        <f aca="false">Spend!G8</f>
        <v>203.123153153356</v>
      </c>
      <c r="G111" s="27" t="n">
        <f aca="false">Spend!H8</f>
        <v>411.611484987765</v>
      </c>
      <c r="H111" s="27" t="n">
        <f aca="false">Spend!I8</f>
        <v>513.718022432297</v>
      </c>
      <c r="I111" s="27" t="n">
        <f aca="false">Spend!J8</f>
        <v>527.249601573163</v>
      </c>
      <c r="J111" s="27" t="n">
        <f aca="false">Spend!K8</f>
        <v>535.645566922079</v>
      </c>
      <c r="K111" s="27" t="n">
        <f aca="false">Spend!L8</f>
        <v>469.800882586445</v>
      </c>
      <c r="L111" s="27" t="n">
        <f aca="false">Spend!M8</f>
        <v>320.483714184028</v>
      </c>
      <c r="M111" s="20" t="s">
        <v>2939</v>
      </c>
    </row>
    <row r="112" customFormat="false" ht="15" hidden="false" customHeight="false" outlineLevel="0" collapsed="false">
      <c r="A112" s="0" t="s">
        <v>2940</v>
      </c>
      <c r="B112" s="5" t="s">
        <v>2596</v>
      </c>
      <c r="C112" s="0" t="s">
        <v>390</v>
      </c>
      <c r="D112" s="27" t="n">
        <f aca="false">Spend!E9</f>
        <v>5.89453904567174</v>
      </c>
      <c r="E112" s="27" t="n">
        <f aca="false">Spend!F9</f>
        <v>31.5330907844514</v>
      </c>
      <c r="F112" s="27" t="n">
        <f aca="false">Spend!G9</f>
        <v>53.1426854180292</v>
      </c>
      <c r="G112" s="27" t="n">
        <f aca="false">Spend!H9</f>
        <v>107.689051304939</v>
      </c>
      <c r="H112" s="27" t="n">
        <f aca="false">Spend!I9</f>
        <v>134.402970985194</v>
      </c>
      <c r="I112" s="27" t="n">
        <f aca="false">Spend!J9</f>
        <v>137.943209713909</v>
      </c>
      <c r="J112" s="27" t="n">
        <f aca="false">Spend!K9</f>
        <v>140.139828555195</v>
      </c>
      <c r="K112" s="27" t="n">
        <f aca="false">Spend!L9</f>
        <v>122.913021606919</v>
      </c>
      <c r="L112" s="27" t="n">
        <f aca="false">Spend!M9</f>
        <v>83.8474833621004</v>
      </c>
      <c r="M112" s="20" t="s">
        <v>2941</v>
      </c>
    </row>
    <row r="113" customFormat="false" ht="15" hidden="false" customHeight="false" outlineLevel="0" collapsed="false">
      <c r="A113" s="0" t="s">
        <v>2942</v>
      </c>
      <c r="B113" s="5" t="s">
        <v>2600</v>
      </c>
      <c r="C113" s="0" t="s">
        <v>390</v>
      </c>
      <c r="D113" s="27" t="n">
        <f aca="false">Spend!E10</f>
        <v>7.64106913327818</v>
      </c>
      <c r="E113" s="27" t="n">
        <f aca="false">Spend!F10</f>
        <v>40.8762287946592</v>
      </c>
      <c r="F113" s="27" t="n">
        <f aca="false">Spend!G10</f>
        <v>68.8886662826304</v>
      </c>
      <c r="G113" s="27" t="n">
        <f aca="false">Spend!H10</f>
        <v>139.596918358254</v>
      </c>
      <c r="H113" s="27" t="n">
        <f aca="false">Spend!I10</f>
        <v>174.226073499326</v>
      </c>
      <c r="I113" s="27" t="n">
        <f aca="false">Spend!J10</f>
        <v>178.815271851363</v>
      </c>
      <c r="J113" s="27" t="n">
        <f aca="false">Spend!K10</f>
        <v>181.662740719697</v>
      </c>
      <c r="K113" s="27" t="n">
        <f aca="false">Spend!L10</f>
        <v>159.331694675635</v>
      </c>
      <c r="L113" s="27" t="n">
        <f aca="false">Spend!M10</f>
        <v>108.691182136056</v>
      </c>
      <c r="M113" s="20" t="s">
        <v>2943</v>
      </c>
    </row>
    <row r="114" customFormat="false" ht="15" hidden="false" customHeight="false" outlineLevel="0" collapsed="false">
      <c r="A114" s="0" t="s">
        <v>2944</v>
      </c>
      <c r="B114" s="5" t="s">
        <v>2945</v>
      </c>
      <c r="C114" s="0" t="s">
        <v>390</v>
      </c>
      <c r="D114" s="27" t="n">
        <f aca="false">Spend!E11</f>
        <v>2.3578156182687</v>
      </c>
      <c r="E114" s="27" t="n">
        <f aca="false">Spend!F11</f>
        <v>12.6132363137805</v>
      </c>
      <c r="F114" s="27" t="n">
        <f aca="false">Spend!G11</f>
        <v>21.2570741672117</v>
      </c>
      <c r="G114" s="27" t="n">
        <f aca="false">Spend!H11</f>
        <v>43.0756205219754</v>
      </c>
      <c r="H114" s="27" t="n">
        <f aca="false">Spend!I11</f>
        <v>53.7611883940776</v>
      </c>
      <c r="I114" s="27" t="n">
        <f aca="false">Spend!J11</f>
        <v>55.1772838855635</v>
      </c>
      <c r="J114" s="27" t="n">
        <f aca="false">Spend!K11</f>
        <v>56.055931422078</v>
      </c>
      <c r="K114" s="27" t="n">
        <f aca="false">Spend!L11</f>
        <v>49.1652086427675</v>
      </c>
      <c r="L114" s="27" t="n">
        <f aca="false">Spend!M11</f>
        <v>33.5389933448402</v>
      </c>
      <c r="M114" s="20" t="s">
        <v>2946</v>
      </c>
    </row>
    <row r="115" customFormat="false" ht="17.15" hidden="false" customHeight="false" outlineLevel="0" collapsed="false">
      <c r="A115" s="0" t="s">
        <v>2947</v>
      </c>
      <c r="B115" s="5" t="s">
        <v>2606</v>
      </c>
      <c r="C115" s="0" t="s">
        <v>390</v>
      </c>
      <c r="D115" s="27" t="n">
        <f aca="false">Spend!E12</f>
        <v>0.130989756570483</v>
      </c>
      <c r="E115" s="27" t="n">
        <f aca="false">Spend!F12</f>
        <v>0.700735350765586</v>
      </c>
      <c r="F115" s="27" t="n">
        <f aca="false">Spend!G12</f>
        <v>1.18094856484509</v>
      </c>
      <c r="G115" s="27" t="n">
        <f aca="false">Spend!H12</f>
        <v>2.39309002899863</v>
      </c>
      <c r="H115" s="27" t="n">
        <f aca="false">Spend!I12</f>
        <v>2.98673268855987</v>
      </c>
      <c r="I115" s="27" t="n">
        <f aca="false">Spend!J12</f>
        <v>3.06540466030908</v>
      </c>
      <c r="J115" s="27" t="n">
        <f aca="false">Spend!K12</f>
        <v>3.11421841233767</v>
      </c>
      <c r="K115" s="27" t="n">
        <f aca="false">Spend!L12</f>
        <v>2.73140048015375</v>
      </c>
      <c r="L115" s="27" t="n">
        <f aca="false">Spend!M12</f>
        <v>1.86327740804668</v>
      </c>
      <c r="M115" s="20" t="s">
        <v>2948</v>
      </c>
    </row>
    <row r="116" customFormat="false" ht="15" hidden="false" customHeight="false" outlineLevel="0" collapsed="false">
      <c r="A116" s="0" t="s">
        <v>2949</v>
      </c>
      <c r="B116" s="5" t="s">
        <v>2950</v>
      </c>
      <c r="C116" s="0" t="s">
        <v>390</v>
      </c>
      <c r="D116" s="27" t="n">
        <f aca="false">Spend!E13</f>
        <v>2.75078488798014</v>
      </c>
      <c r="E116" s="27" t="n">
        <f aca="false">Spend!F13</f>
        <v>14.7154423660773</v>
      </c>
      <c r="F116" s="27" t="n">
        <f aca="false">Spend!G13</f>
        <v>24.799919861747</v>
      </c>
      <c r="G116" s="27" t="n">
        <f aca="false">Spend!H13</f>
        <v>50.2548906089713</v>
      </c>
      <c r="H116" s="27" t="n">
        <f aca="false">Spend!I13</f>
        <v>62.7213864597572</v>
      </c>
      <c r="I116" s="27" t="n">
        <f aca="false">Spend!J13</f>
        <v>64.3734978664908</v>
      </c>
      <c r="J116" s="27" t="n">
        <f aca="false">Spend!K13</f>
        <v>65.398586659091</v>
      </c>
      <c r="K116" s="27" t="n">
        <f aca="false">Spend!L13</f>
        <v>57.3594100832287</v>
      </c>
      <c r="L116" s="27" t="n">
        <f aca="false">Spend!M13</f>
        <v>39.1288255689802</v>
      </c>
      <c r="M116" s="20" t="s">
        <v>2951</v>
      </c>
    </row>
    <row r="117" customFormat="false" ht="15" hidden="false" customHeight="false" outlineLevel="0" collapsed="false">
      <c r="A117" s="0" t="s">
        <v>2952</v>
      </c>
      <c r="B117" s="5" t="s">
        <v>2614</v>
      </c>
      <c r="C117" s="0" t="s">
        <v>390</v>
      </c>
      <c r="D117" s="27" t="n">
        <f aca="false">Spend!E14</f>
        <v>2.00850960074741</v>
      </c>
      <c r="E117" s="27" t="n">
        <f aca="false">Spend!F14</f>
        <v>10.744608711739</v>
      </c>
      <c r="F117" s="27" t="n">
        <f aca="false">Spend!G14</f>
        <v>18.1078779942914</v>
      </c>
      <c r="G117" s="27" t="n">
        <f aca="false">Spend!H14</f>
        <v>36.6940471113124</v>
      </c>
      <c r="H117" s="27" t="n">
        <f aca="false">Spend!I14</f>
        <v>45.7965678912513</v>
      </c>
      <c r="I117" s="27" t="n">
        <f aca="false">Spend!J14</f>
        <v>47.0028714580726</v>
      </c>
      <c r="J117" s="27" t="n">
        <f aca="false">Spend!K14</f>
        <v>47.7513489891776</v>
      </c>
      <c r="K117" s="27" t="n">
        <f aca="false">Spend!L14</f>
        <v>41.8814740290242</v>
      </c>
      <c r="L117" s="27" t="n">
        <f aca="false">Spend!M14</f>
        <v>28.570253590049</v>
      </c>
      <c r="M117" s="20" t="s">
        <v>2953</v>
      </c>
    </row>
    <row r="118" customFormat="false" ht="15" hidden="false" customHeight="false" outlineLevel="0" collapsed="false">
      <c r="A118" s="0" t="s">
        <v>2954</v>
      </c>
      <c r="B118" s="5" t="s">
        <v>2618</v>
      </c>
      <c r="C118" s="0" t="s">
        <v>390</v>
      </c>
      <c r="D118" s="27" t="n">
        <f aca="false">Spend!E15</f>
        <v>0.349306017521288</v>
      </c>
      <c r="E118" s="27" t="n">
        <f aca="false">Spend!F15</f>
        <v>1.86862760204156</v>
      </c>
      <c r="F118" s="27" t="n">
        <f aca="false">Spend!G15</f>
        <v>3.14919617292025</v>
      </c>
      <c r="G118" s="27" t="n">
        <f aca="false">Spend!H15</f>
        <v>6.38157341066303</v>
      </c>
      <c r="H118" s="27" t="n">
        <f aca="false">Spend!I15</f>
        <v>7.96462050282631</v>
      </c>
      <c r="I118" s="27" t="n">
        <f aca="false">Spend!J15</f>
        <v>8.17441242749089</v>
      </c>
      <c r="J118" s="27" t="n">
        <f aca="false">Spend!K15</f>
        <v>8.30458243290045</v>
      </c>
      <c r="K118" s="27" t="n">
        <f aca="false">Spend!L15</f>
        <v>7.28373461374333</v>
      </c>
      <c r="L118" s="27" t="n">
        <f aca="false">Spend!M15</f>
        <v>4.96873975479114</v>
      </c>
      <c r="M118" s="20" t="s">
        <v>2955</v>
      </c>
    </row>
    <row r="119" customFormat="false" ht="17.15" hidden="false" customHeight="false" outlineLevel="0" collapsed="false">
      <c r="A119" s="0" t="s">
        <v>2956</v>
      </c>
      <c r="B119" s="0" t="s">
        <v>2957</v>
      </c>
      <c r="C119" s="0" t="s">
        <v>390</v>
      </c>
      <c r="D119" s="27" t="n">
        <f aca="false">Spend!E16</f>
        <v>43.663252190161</v>
      </c>
      <c r="E119" s="27" t="n">
        <f aca="false">Spend!F16</f>
        <v>233.578450255195</v>
      </c>
      <c r="F119" s="27" t="n">
        <f aca="false">Spend!G16</f>
        <v>393.649521615031</v>
      </c>
      <c r="G119" s="27" t="n">
        <f aca="false">Spend!H16</f>
        <v>797.696676332878</v>
      </c>
      <c r="H119" s="27" t="n">
        <f aca="false">Spend!I16</f>
        <v>995.577562853289</v>
      </c>
      <c r="I119" s="27" t="n">
        <f aca="false">Spend!J16</f>
        <v>1021.80155343636</v>
      </c>
      <c r="J119" s="27" t="n">
        <f aca="false">Spend!K16</f>
        <v>1038.07280411256</v>
      </c>
      <c r="K119" s="27" t="n">
        <f aca="false">Spend!L16</f>
        <v>910.466826717916</v>
      </c>
      <c r="L119" s="27" t="n">
        <f aca="false">Spend!M16</f>
        <v>621.092469348892</v>
      </c>
      <c r="M119" s="20" t="s">
        <v>2958</v>
      </c>
    </row>
    <row r="120" customFormat="false" ht="15" hidden="false" customHeight="false" outlineLevel="0" collapsed="false">
      <c r="A120" s="0" t="s">
        <v>2959</v>
      </c>
      <c r="B120" s="5" t="s">
        <v>2960</v>
      </c>
      <c r="C120" s="0" t="s">
        <v>390</v>
      </c>
      <c r="D120" s="27" t="n">
        <f aca="false">Spend!E18</f>
        <v>4.13051127590411</v>
      </c>
      <c r="E120" s="27" t="n">
        <f aca="false">Spend!F18</f>
        <v>23.0752669518602</v>
      </c>
      <c r="F120" s="27" t="n">
        <f aca="false">Spend!G18</f>
        <v>31.9141972257009</v>
      </c>
      <c r="G120" s="27" t="n">
        <f aca="false">Spend!H18</f>
        <v>58.5409975113945</v>
      </c>
      <c r="H120" s="27" t="n">
        <f aca="false">Spend!I18</f>
        <v>68.6543966383419</v>
      </c>
      <c r="I120" s="27" t="n">
        <f aca="false">Spend!J18</f>
        <v>70.5418436675014</v>
      </c>
      <c r="J120" s="27" t="n">
        <f aca="false">Spend!K18</f>
        <v>71.665157698112</v>
      </c>
      <c r="K120" s="27" t="n">
        <f aca="false">Spend!L18</f>
        <v>62.8556575773315</v>
      </c>
      <c r="L120" s="27" t="n">
        <f aca="false">Spend!M18</f>
        <v>42.8781965818382</v>
      </c>
      <c r="M120" s="20" t="s">
        <v>2961</v>
      </c>
    </row>
    <row r="121" customFormat="false" ht="17.15" hidden="false" customHeight="false" outlineLevel="0" collapsed="false">
      <c r="A121" s="0" t="s">
        <v>2962</v>
      </c>
      <c r="B121" s="5" t="s">
        <v>2963</v>
      </c>
      <c r="C121" s="0" t="s">
        <v>390</v>
      </c>
      <c r="D121" s="27" t="n">
        <f aca="false">Spend!E19</f>
        <v>2.59169334958689</v>
      </c>
      <c r="E121" s="27" t="n">
        <f aca="false">Spend!F19</f>
        <v>14.4785988717555</v>
      </c>
      <c r="F121" s="27" t="n">
        <f aca="false">Spend!G19</f>
        <v>20.0245943376947</v>
      </c>
      <c r="G121" s="27" t="n">
        <f aca="false">Spend!H19</f>
        <v>36.7316062816593</v>
      </c>
      <c r="H121" s="27" t="n">
        <f aca="false">Spend!I19</f>
        <v>43.0772684789596</v>
      </c>
      <c r="I121" s="27" t="n">
        <f aca="false">Spend!J19</f>
        <v>44.261548967844</v>
      </c>
      <c r="J121" s="27" t="n">
        <f aca="false">Spend!K19</f>
        <v>44.9663734576389</v>
      </c>
      <c r="K121" s="27" t="n">
        <f aca="false">Spend!L19</f>
        <v>39.4388439700903</v>
      </c>
      <c r="L121" s="27" t="n">
        <f aca="false">Spend!M19</f>
        <v>26.903966482722</v>
      </c>
      <c r="M121" s="20" t="s">
        <v>2964</v>
      </c>
    </row>
    <row r="122" customFormat="false" ht="17.15" hidden="false" customHeight="false" outlineLevel="0" collapsed="false">
      <c r="A122" s="0" t="s">
        <v>2965</v>
      </c>
      <c r="B122" s="0" t="s">
        <v>238</v>
      </c>
      <c r="C122" s="0" t="s">
        <v>390</v>
      </c>
      <c r="D122" s="27" t="n">
        <f aca="false">Spend!E20</f>
        <v>1.21485625761885</v>
      </c>
      <c r="E122" s="27" t="n">
        <f aca="false">Spend!F20</f>
        <v>6.78684322113537</v>
      </c>
      <c r="F122" s="27" t="n">
        <f aca="false">Spend!G20</f>
        <v>9.38652859579439</v>
      </c>
      <c r="G122" s="27" t="n">
        <f aca="false">Spend!H20</f>
        <v>17.2179404445278</v>
      </c>
      <c r="H122" s="27" t="n">
        <f aca="false">Spend!I20</f>
        <v>20.1924695995123</v>
      </c>
      <c r="I122" s="27" t="n">
        <f aca="false">Spend!J20</f>
        <v>20.7476010786769</v>
      </c>
      <c r="J122" s="27" t="n">
        <f aca="false">Spend!K20</f>
        <v>21.0779875582682</v>
      </c>
      <c r="K122" s="27" t="n">
        <f aca="false">Spend!L20</f>
        <v>18.4869581109798</v>
      </c>
      <c r="L122" s="27" t="n">
        <f aca="false">Spend!M20</f>
        <v>12.6112342887759</v>
      </c>
      <c r="M122" s="20" t="s">
        <v>2966</v>
      </c>
    </row>
    <row r="123" customFormat="false" ht="15" hidden="false" customHeight="false" outlineLevel="0" collapsed="false">
      <c r="A123" s="0" t="s">
        <v>2967</v>
      </c>
      <c r="B123" s="5" t="s">
        <v>2968</v>
      </c>
      <c r="C123" s="0" t="s">
        <v>390</v>
      </c>
      <c r="D123" s="27" t="n">
        <f aca="false">Spend!E21</f>
        <v>3.07763585263443</v>
      </c>
      <c r="E123" s="27" t="n">
        <f aca="false">Spend!F21</f>
        <v>17.1933361602096</v>
      </c>
      <c r="F123" s="27" t="n">
        <f aca="false">Spend!G21</f>
        <v>23.7792057760125</v>
      </c>
      <c r="G123" s="27" t="n">
        <f aca="false">Spend!H21</f>
        <v>43.6187824594704</v>
      </c>
      <c r="H123" s="27" t="n">
        <f aca="false">Spend!I21</f>
        <v>51.1542563187645</v>
      </c>
      <c r="I123" s="27" t="n">
        <f aca="false">Spend!J21</f>
        <v>52.5605893993147</v>
      </c>
      <c r="J123" s="27" t="n">
        <f aca="false">Spend!K21</f>
        <v>53.3975684809462</v>
      </c>
      <c r="K123" s="27" t="n">
        <f aca="false">Spend!L21</f>
        <v>46.8336272144823</v>
      </c>
      <c r="L123" s="27" t="n">
        <f aca="false">Spend!M21</f>
        <v>31.9484601982324</v>
      </c>
      <c r="M123" s="20" t="s">
        <v>2969</v>
      </c>
    </row>
    <row r="124" customFormat="false" ht="15" hidden="false" customHeight="false" outlineLevel="0" collapsed="false">
      <c r="A124" s="0" t="s">
        <v>2970</v>
      </c>
      <c r="B124" s="5" t="s">
        <v>2971</v>
      </c>
      <c r="C124" s="0" t="s">
        <v>390</v>
      </c>
      <c r="D124" s="27" t="n">
        <f aca="false">Spend!E22</f>
        <v>2.75367418393607</v>
      </c>
      <c r="E124" s="27" t="n">
        <f aca="false">Spend!F22</f>
        <v>15.3835113012402</v>
      </c>
      <c r="F124" s="27" t="n">
        <f aca="false">Spend!G22</f>
        <v>21.2761314838006</v>
      </c>
      <c r="G124" s="27" t="n">
        <f aca="false">Spend!H22</f>
        <v>39.027331674263</v>
      </c>
      <c r="H124" s="27" t="n">
        <f aca="false">Spend!I22</f>
        <v>45.7695977588946</v>
      </c>
      <c r="I124" s="27" t="n">
        <f aca="false">Spend!J22</f>
        <v>47.0278957783342</v>
      </c>
      <c r="J124" s="27" t="n">
        <f aca="false">Spend!K22</f>
        <v>47.7767717987413</v>
      </c>
      <c r="K124" s="27" t="n">
        <f aca="false">Spend!L22</f>
        <v>41.903771718221</v>
      </c>
      <c r="L124" s="27" t="n">
        <f aca="false">Spend!M22</f>
        <v>28.5854643878921</v>
      </c>
      <c r="M124" s="20" t="s">
        <v>2972</v>
      </c>
    </row>
    <row r="125" customFormat="false" ht="15" hidden="false" customHeight="false" outlineLevel="0" collapsed="false">
      <c r="A125" s="0" t="s">
        <v>2973</v>
      </c>
      <c r="B125" s="5" t="s">
        <v>247</v>
      </c>
      <c r="C125" s="0" t="s">
        <v>390</v>
      </c>
      <c r="D125" s="27" t="n">
        <f aca="false">Spend!E23</f>
        <v>4.77843461330083</v>
      </c>
      <c r="E125" s="27" t="n">
        <f aca="false">Spend!F23</f>
        <v>26.6949166697991</v>
      </c>
      <c r="F125" s="27" t="n">
        <f aca="false">Spend!G23</f>
        <v>36.9203458101246</v>
      </c>
      <c r="G125" s="27" t="n">
        <f aca="false">Spend!H23</f>
        <v>67.7238990818093</v>
      </c>
      <c r="H125" s="27" t="n">
        <f aca="false">Spend!I23</f>
        <v>79.4237137580818</v>
      </c>
      <c r="I125" s="27" t="n">
        <f aca="false">Spend!J23</f>
        <v>81.6072309094624</v>
      </c>
      <c r="J125" s="27" t="n">
        <f aca="false">Spend!K23</f>
        <v>82.9067510625217</v>
      </c>
      <c r="K125" s="27" t="n">
        <f aca="false">Spend!L23</f>
        <v>72.7153685698541</v>
      </c>
      <c r="L125" s="27" t="n">
        <f aca="false">Spend!M23</f>
        <v>49.6041882025187</v>
      </c>
      <c r="M125" s="20" t="s">
        <v>2974</v>
      </c>
    </row>
    <row r="126" customFormat="false" ht="17.15" hidden="false" customHeight="false" outlineLevel="0" collapsed="false">
      <c r="A126" s="0" t="s">
        <v>2975</v>
      </c>
      <c r="B126" s="5" t="s">
        <v>2976</v>
      </c>
      <c r="C126" s="0" t="s">
        <v>390</v>
      </c>
      <c r="D126" s="27" t="n">
        <f aca="false">Spend!E24</f>
        <v>1.13386584044426</v>
      </c>
      <c r="E126" s="27" t="n">
        <f aca="false">Spend!F24</f>
        <v>6.33438700639301</v>
      </c>
      <c r="F126" s="27" t="n">
        <f aca="false">Spend!G24</f>
        <v>8.76076002274143</v>
      </c>
      <c r="G126" s="27" t="n">
        <f aca="false">Spend!H24</f>
        <v>16.0700777482259</v>
      </c>
      <c r="H126" s="27" t="n">
        <f aca="false">Spend!I24</f>
        <v>18.8463049595448</v>
      </c>
      <c r="I126" s="27" t="n">
        <f aca="false">Spend!J24</f>
        <v>19.3644276734317</v>
      </c>
      <c r="J126" s="27" t="n">
        <f aca="false">Spend!K24</f>
        <v>19.672788387717</v>
      </c>
      <c r="K126" s="27" t="n">
        <f aca="false">Spend!L24</f>
        <v>17.2544942369145</v>
      </c>
      <c r="L126" s="27" t="n">
        <f aca="false">Spend!M24</f>
        <v>11.7704853361909</v>
      </c>
      <c r="M126" s="20" t="s">
        <v>2977</v>
      </c>
    </row>
    <row r="127" customFormat="false" ht="17.15" hidden="false" customHeight="false" outlineLevel="0" collapsed="false">
      <c r="A127" s="0" t="s">
        <v>2978</v>
      </c>
      <c r="B127" s="5" t="s">
        <v>253</v>
      </c>
      <c r="C127" s="0" t="s">
        <v>390</v>
      </c>
      <c r="D127" s="27" t="n">
        <f aca="false">Spend!E25</f>
        <v>0.485942503047542</v>
      </c>
      <c r="E127" s="27" t="n">
        <f aca="false">Spend!F25</f>
        <v>2.71473728845415</v>
      </c>
      <c r="F127" s="27" t="n">
        <f aca="false">Spend!G25</f>
        <v>3.75461143831776</v>
      </c>
      <c r="G127" s="27" t="n">
        <f aca="false">Spend!H25</f>
        <v>6.88717617781112</v>
      </c>
      <c r="H127" s="27" t="n">
        <f aca="false">Spend!I25</f>
        <v>8.07698783980493</v>
      </c>
      <c r="I127" s="27" t="n">
        <f aca="false">Spend!J25</f>
        <v>8.29904043147075</v>
      </c>
      <c r="J127" s="27" t="n">
        <f aca="false">Spend!K25</f>
        <v>8.4311950233073</v>
      </c>
      <c r="K127" s="27" t="n">
        <f aca="false">Spend!L25</f>
        <v>7.39478324439194</v>
      </c>
      <c r="L127" s="27" t="n">
        <f aca="false">Spend!M25</f>
        <v>5.04449371551037</v>
      </c>
      <c r="M127" s="20" t="s">
        <v>2979</v>
      </c>
    </row>
    <row r="128" customFormat="false" ht="15" hidden="false" customHeight="false" outlineLevel="0" collapsed="false">
      <c r="A128" s="0" t="s">
        <v>2980</v>
      </c>
      <c r="B128" s="5" t="s">
        <v>256</v>
      </c>
      <c r="C128" s="0" t="s">
        <v>390</v>
      </c>
      <c r="D128" s="27" t="n">
        <f aca="false">Spend!E26</f>
        <v>0.323961668698361</v>
      </c>
      <c r="E128" s="27" t="n">
        <f aca="false">Spend!F26</f>
        <v>1.80982485896943</v>
      </c>
      <c r="F128" s="27" t="n">
        <f aca="false">Spend!G26</f>
        <v>2.50307429221184</v>
      </c>
      <c r="G128" s="27" t="n">
        <f aca="false">Spend!H26</f>
        <v>4.59145078520741</v>
      </c>
      <c r="H128" s="27" t="n">
        <f aca="false">Spend!I26</f>
        <v>5.38465855986995</v>
      </c>
      <c r="I128" s="27" t="n">
        <f aca="false">Spend!J26</f>
        <v>5.5326936209805</v>
      </c>
      <c r="J128" s="27" t="n">
        <f aca="false">Spend!K26</f>
        <v>5.62079668220486</v>
      </c>
      <c r="K128" s="27" t="n">
        <f aca="false">Spend!L26</f>
        <v>4.92985549626129</v>
      </c>
      <c r="L128" s="27" t="n">
        <f aca="false">Spend!M26</f>
        <v>3.36299581034025</v>
      </c>
      <c r="M128" s="20" t="s">
        <v>2981</v>
      </c>
    </row>
    <row r="129" customFormat="false" ht="15" hidden="false" customHeight="false" outlineLevel="0" collapsed="false">
      <c r="A129" s="0" t="s">
        <v>2982</v>
      </c>
      <c r="B129" s="5" t="s">
        <v>2983</v>
      </c>
      <c r="C129" s="0" t="s">
        <v>390</v>
      </c>
      <c r="D129" s="27" t="n">
        <f aca="false">Spend!E27</f>
        <v>0.0323961668698383</v>
      </c>
      <c r="E129" s="27" t="n">
        <f aca="false">Spend!F27</f>
        <v>0.180982485896955</v>
      </c>
      <c r="F129" s="27" t="n">
        <f aca="false">Spend!G27</f>
        <v>0.250307429221201</v>
      </c>
      <c r="G129" s="27" t="n">
        <f aca="false">Spend!H27</f>
        <v>0.459145078520772</v>
      </c>
      <c r="H129" s="27" t="n">
        <f aca="false">Spend!I27</f>
        <v>0.538465855987032</v>
      </c>
      <c r="I129" s="27" t="n">
        <f aca="false">Spend!J27</f>
        <v>0.553269362098087</v>
      </c>
      <c r="J129" s="27" t="n">
        <f aca="false">Spend!K27</f>
        <v>0.562079668220524</v>
      </c>
      <c r="K129" s="27" t="n">
        <f aca="false">Spend!L27</f>
        <v>0.492985549626162</v>
      </c>
      <c r="L129" s="27" t="n">
        <f aca="false">Spend!M27</f>
        <v>0.336299581034048</v>
      </c>
      <c r="M129" s="20" t="s">
        <v>2984</v>
      </c>
    </row>
    <row r="130" customFormat="false" ht="15" hidden="false" customHeight="false" outlineLevel="0" collapsed="false">
      <c r="A130" s="0" t="s">
        <v>2985</v>
      </c>
      <c r="B130" s="5" t="s">
        <v>2986</v>
      </c>
      <c r="C130" s="0" t="s">
        <v>390</v>
      </c>
      <c r="D130" s="27" t="n">
        <f aca="false">Spend!E28</f>
        <v>20.5229717120412</v>
      </c>
      <c r="E130" s="27" t="n">
        <f aca="false">Spend!F28</f>
        <v>114.652404815713</v>
      </c>
      <c r="F130" s="27" t="n">
        <f aca="false">Spend!G28</f>
        <v>158.56975641162</v>
      </c>
      <c r="G130" s="27" t="n">
        <f aca="false">Spend!H28</f>
        <v>290.86840724289</v>
      </c>
      <c r="H130" s="27" t="n">
        <f aca="false">Spend!I28</f>
        <v>341.118119767762</v>
      </c>
      <c r="I130" s="27" t="n">
        <f aca="false">Spend!J28</f>
        <v>350.496140889115</v>
      </c>
      <c r="J130" s="27" t="n">
        <f aca="false">Spend!K28</f>
        <v>356.077469817678</v>
      </c>
      <c r="K130" s="27" t="n">
        <f aca="false">Spend!L28</f>
        <v>312.306345688153</v>
      </c>
      <c r="L130" s="27" t="n">
        <f aca="false">Spend!M28</f>
        <v>213.045784585055</v>
      </c>
      <c r="M130" s="20" t="s">
        <v>2987</v>
      </c>
    </row>
    <row r="131" customFormat="false" ht="17.15" hidden="false" customHeight="false" outlineLevel="0" collapsed="false">
      <c r="A131" s="0" t="s">
        <v>2988</v>
      </c>
      <c r="B131" s="0" t="s">
        <v>2646</v>
      </c>
      <c r="C131" s="0" t="s">
        <v>390</v>
      </c>
      <c r="D131" s="27" t="n">
        <f aca="false">Spend!E29</f>
        <v>0.746407684681024</v>
      </c>
      <c r="E131" s="27" t="n">
        <f aca="false">Spend!F29</f>
        <v>4.16983647506557</v>
      </c>
      <c r="F131" s="27" t="n">
        <f aca="false">Spend!G29</f>
        <v>5.76708316925607</v>
      </c>
      <c r="G131" s="27" t="n">
        <f aca="false">Spend!H29</f>
        <v>10.5787026091179</v>
      </c>
      <c r="H131" s="27" t="n">
        <f aca="false">Spend!I29</f>
        <v>12.4062533219404</v>
      </c>
      <c r="I131" s="27" t="n">
        <f aca="false">Spend!J29</f>
        <v>12.7473261027391</v>
      </c>
      <c r="J131" s="27" t="n">
        <f aca="false">Spend!K29</f>
        <v>12.9503155558</v>
      </c>
      <c r="K131" s="27" t="n">
        <f aca="false">Spend!L29</f>
        <v>11.358387063386</v>
      </c>
      <c r="L131" s="27" t="n">
        <f aca="false">Spend!M29</f>
        <v>7.74834234702393</v>
      </c>
      <c r="M131" s="20" t="s">
        <v>2989</v>
      </c>
    </row>
    <row r="132" customFormat="false" ht="17.15" hidden="false" customHeight="false" outlineLevel="0" collapsed="false">
      <c r="A132" s="0" t="s">
        <v>2990</v>
      </c>
      <c r="B132" s="5" t="s">
        <v>2991</v>
      </c>
      <c r="C132" s="0" t="s">
        <v>390</v>
      </c>
      <c r="D132" s="27" t="n">
        <f aca="false">Spend!E30</f>
        <v>64.9326315868833</v>
      </c>
      <c r="E132" s="27" t="n">
        <f aca="false">Spend!F30</f>
        <v>352.400691545974</v>
      </c>
      <c r="F132" s="27" t="n">
        <f aca="false">Spend!G30</f>
        <v>557.986361195907</v>
      </c>
      <c r="G132" s="27" t="n">
        <f aca="false">Spend!H30</f>
        <v>1099.14378618489</v>
      </c>
      <c r="H132" s="27" t="n">
        <f aca="false">Spend!I30</f>
        <v>1349.10193594299</v>
      </c>
      <c r="I132" s="27" t="n">
        <f aca="false">Spend!J30</f>
        <v>1385.04502042822</v>
      </c>
      <c r="J132" s="27" t="n">
        <f aca="false">Spend!K30</f>
        <v>1407.10058948603</v>
      </c>
      <c r="K132" s="27" t="n">
        <f aca="false">Spend!L30</f>
        <v>1234.13155946946</v>
      </c>
      <c r="L132" s="27" t="n">
        <f aca="false">Spend!M30</f>
        <v>841.886596280971</v>
      </c>
      <c r="M132" s="20" t="s">
        <v>2992</v>
      </c>
    </row>
    <row r="133" customFormat="false" ht="17.15" hidden="false" customHeight="false" outlineLevel="0" collapsed="false">
      <c r="A133" s="8" t="s">
        <v>2993</v>
      </c>
    </row>
    <row r="134" customFormat="false" ht="15" hidden="false" customHeight="false" outlineLevel="0" collapsed="false">
      <c r="A134" s="0" t="s">
        <v>2994</v>
      </c>
      <c r="B134" s="5" t="s">
        <v>2960</v>
      </c>
      <c r="C134" s="0" t="s">
        <v>225</v>
      </c>
      <c r="D134" s="27" t="n">
        <f aca="false">Facility!E5</f>
        <v>2.55</v>
      </c>
      <c r="E134" s="27" t="n">
        <f aca="false">Facility!F5</f>
        <v>2.55</v>
      </c>
      <c r="F134" s="27" t="n">
        <f aca="false">Facility!G5</f>
        <v>2.55</v>
      </c>
      <c r="G134" s="27" t="n">
        <f aca="false">Facility!H5</f>
        <v>2.55</v>
      </c>
      <c r="H134" s="27" t="n">
        <f aca="false">Facility!I5</f>
        <v>2.55</v>
      </c>
      <c r="I134" s="27" t="n">
        <f aca="false">Facility!J5</f>
        <v>2.55</v>
      </c>
      <c r="J134" s="27" t="n">
        <f aca="false">Facility!K5</f>
        <v>2.55</v>
      </c>
      <c r="K134" s="27" t="n">
        <f aca="false">Facility!L5</f>
        <v>2.55</v>
      </c>
      <c r="L134" s="27" t="n">
        <f aca="false">Facility!M5</f>
        <v>2.55</v>
      </c>
      <c r="M134" s="20" t="s">
        <v>2995</v>
      </c>
    </row>
    <row r="135" customFormat="false" ht="17.15" hidden="false" customHeight="false" outlineLevel="0" collapsed="false">
      <c r="A135" s="0" t="s">
        <v>2996</v>
      </c>
      <c r="B135" s="5" t="s">
        <v>2963</v>
      </c>
      <c r="C135" s="0" t="s">
        <v>225</v>
      </c>
      <c r="D135" s="27" t="n">
        <f aca="false">Facility!E6</f>
        <v>1.6</v>
      </c>
      <c r="E135" s="27" t="n">
        <f aca="false">Facility!F6</f>
        <v>1.6</v>
      </c>
      <c r="F135" s="27" t="n">
        <f aca="false">Facility!G6</f>
        <v>1.6</v>
      </c>
      <c r="G135" s="27" t="n">
        <f aca="false">Facility!H6</f>
        <v>1.6</v>
      </c>
      <c r="H135" s="27" t="n">
        <f aca="false">Facility!I6</f>
        <v>1.6</v>
      </c>
      <c r="I135" s="27" t="n">
        <f aca="false">Facility!J6</f>
        <v>1.6</v>
      </c>
      <c r="J135" s="27" t="n">
        <f aca="false">Facility!K6</f>
        <v>1.6</v>
      </c>
      <c r="K135" s="27" t="n">
        <f aca="false">Facility!L6</f>
        <v>1.6</v>
      </c>
      <c r="L135" s="27" t="n">
        <f aca="false">Facility!M6</f>
        <v>1.6</v>
      </c>
      <c r="M135" s="20" t="s">
        <v>2997</v>
      </c>
    </row>
    <row r="136" customFormat="false" ht="17.15" hidden="false" customHeight="false" outlineLevel="0" collapsed="false">
      <c r="A136" s="0" t="s">
        <v>2998</v>
      </c>
      <c r="B136" s="0" t="s">
        <v>238</v>
      </c>
      <c r="C136" s="0" t="s">
        <v>225</v>
      </c>
      <c r="D136" s="27" t="n">
        <f aca="false">Facility!E7</f>
        <v>0.75</v>
      </c>
      <c r="E136" s="27" t="n">
        <f aca="false">Facility!F7</f>
        <v>0.75</v>
      </c>
      <c r="F136" s="27" t="n">
        <f aca="false">Facility!G7</f>
        <v>0.75</v>
      </c>
      <c r="G136" s="27" t="n">
        <f aca="false">Facility!H7</f>
        <v>0.75</v>
      </c>
      <c r="H136" s="27" t="n">
        <f aca="false">Facility!I7</f>
        <v>0.75</v>
      </c>
      <c r="I136" s="27" t="n">
        <f aca="false">Facility!J7</f>
        <v>0.75</v>
      </c>
      <c r="J136" s="27" t="n">
        <f aca="false">Facility!K7</f>
        <v>0.75</v>
      </c>
      <c r="K136" s="27" t="n">
        <f aca="false">Facility!L7</f>
        <v>0.75</v>
      </c>
      <c r="L136" s="27" t="n">
        <f aca="false">Facility!M7</f>
        <v>0.75</v>
      </c>
      <c r="M136" s="20" t="s">
        <v>2999</v>
      </c>
    </row>
    <row r="137" customFormat="false" ht="15" hidden="false" customHeight="false" outlineLevel="0" collapsed="false">
      <c r="A137" s="0" t="s">
        <v>3000</v>
      </c>
      <c r="B137" s="5" t="s">
        <v>2968</v>
      </c>
      <c r="C137" s="0" t="s">
        <v>225</v>
      </c>
      <c r="D137" s="27" t="n">
        <f aca="false">Facility!E8</f>
        <v>1.9</v>
      </c>
      <c r="E137" s="27" t="n">
        <f aca="false">Facility!F8</f>
        <v>1.9</v>
      </c>
      <c r="F137" s="27" t="n">
        <f aca="false">Facility!G8</f>
        <v>1.9</v>
      </c>
      <c r="G137" s="27" t="n">
        <f aca="false">Facility!H8</f>
        <v>1.9</v>
      </c>
      <c r="H137" s="27" t="n">
        <f aca="false">Facility!I8</f>
        <v>1.9</v>
      </c>
      <c r="I137" s="27" t="n">
        <f aca="false">Facility!J8</f>
        <v>1.9</v>
      </c>
      <c r="J137" s="27" t="n">
        <f aca="false">Facility!K8</f>
        <v>1.9</v>
      </c>
      <c r="K137" s="27" t="n">
        <f aca="false">Facility!L8</f>
        <v>1.9</v>
      </c>
      <c r="L137" s="27" t="n">
        <f aca="false">Facility!M8</f>
        <v>1.9</v>
      </c>
      <c r="M137" s="20" t="s">
        <v>3001</v>
      </c>
    </row>
    <row r="138" customFormat="false" ht="15" hidden="false" customHeight="false" outlineLevel="0" collapsed="false">
      <c r="A138" s="0" t="s">
        <v>3002</v>
      </c>
      <c r="B138" s="5" t="s">
        <v>2971</v>
      </c>
      <c r="C138" s="0" t="s">
        <v>225</v>
      </c>
      <c r="D138" s="27" t="n">
        <f aca="false">Facility!E9</f>
        <v>1.7</v>
      </c>
      <c r="E138" s="27" t="n">
        <f aca="false">Facility!F9</f>
        <v>1.7</v>
      </c>
      <c r="F138" s="27" t="n">
        <f aca="false">Facility!G9</f>
        <v>1.7</v>
      </c>
      <c r="G138" s="27" t="n">
        <f aca="false">Facility!H9</f>
        <v>1.7</v>
      </c>
      <c r="H138" s="27" t="n">
        <f aca="false">Facility!I9</f>
        <v>1.7</v>
      </c>
      <c r="I138" s="27" t="n">
        <f aca="false">Facility!J9</f>
        <v>1.7</v>
      </c>
      <c r="J138" s="27" t="n">
        <f aca="false">Facility!K9</f>
        <v>1.7</v>
      </c>
      <c r="K138" s="27" t="n">
        <f aca="false">Facility!L9</f>
        <v>1.7</v>
      </c>
      <c r="L138" s="27" t="n">
        <f aca="false">Facility!M9</f>
        <v>1.7</v>
      </c>
      <c r="M138" s="20" t="s">
        <v>3003</v>
      </c>
    </row>
    <row r="139" customFormat="false" ht="15" hidden="false" customHeight="false" outlineLevel="0" collapsed="false">
      <c r="A139" s="0" t="s">
        <v>3004</v>
      </c>
      <c r="B139" s="5" t="s">
        <v>247</v>
      </c>
      <c r="C139" s="0" t="s">
        <v>225</v>
      </c>
      <c r="D139" s="27" t="n">
        <f aca="false">Facility!E10</f>
        <v>2.95</v>
      </c>
      <c r="E139" s="27" t="n">
        <f aca="false">Facility!F10</f>
        <v>2.95</v>
      </c>
      <c r="F139" s="27" t="n">
        <f aca="false">Facility!G10</f>
        <v>2.95</v>
      </c>
      <c r="G139" s="27" t="n">
        <f aca="false">Facility!H10</f>
        <v>2.95</v>
      </c>
      <c r="H139" s="27" t="n">
        <f aca="false">Facility!I10</f>
        <v>2.95</v>
      </c>
      <c r="I139" s="27" t="n">
        <f aca="false">Facility!J10</f>
        <v>2.95</v>
      </c>
      <c r="J139" s="27" t="n">
        <f aca="false">Facility!K10</f>
        <v>2.95</v>
      </c>
      <c r="K139" s="27" t="n">
        <f aca="false">Facility!L10</f>
        <v>2.95</v>
      </c>
      <c r="L139" s="27" t="n">
        <f aca="false">Facility!M10</f>
        <v>2.95</v>
      </c>
      <c r="M139" s="20" t="s">
        <v>3005</v>
      </c>
    </row>
    <row r="140" customFormat="false" ht="17.15" hidden="false" customHeight="false" outlineLevel="0" collapsed="false">
      <c r="A140" s="0" t="s">
        <v>3006</v>
      </c>
      <c r="B140" s="5" t="s">
        <v>2976</v>
      </c>
      <c r="C140" s="0" t="s">
        <v>225</v>
      </c>
      <c r="D140" s="27" t="n">
        <f aca="false">Facility!E11</f>
        <v>0.7</v>
      </c>
      <c r="E140" s="27" t="n">
        <f aca="false">Facility!F11</f>
        <v>0.7</v>
      </c>
      <c r="F140" s="27" t="n">
        <f aca="false">Facility!G11</f>
        <v>0.7</v>
      </c>
      <c r="G140" s="27" t="n">
        <f aca="false">Facility!H11</f>
        <v>0.7</v>
      </c>
      <c r="H140" s="27" t="n">
        <f aca="false">Facility!I11</f>
        <v>0.7</v>
      </c>
      <c r="I140" s="27" t="n">
        <f aca="false">Facility!J11</f>
        <v>0.7</v>
      </c>
      <c r="J140" s="27" t="n">
        <f aca="false">Facility!K11</f>
        <v>0.7</v>
      </c>
      <c r="K140" s="27" t="n">
        <f aca="false">Facility!L11</f>
        <v>0.7</v>
      </c>
      <c r="L140" s="27" t="n">
        <f aca="false">Facility!M11</f>
        <v>0.7</v>
      </c>
      <c r="M140" s="20" t="s">
        <v>3007</v>
      </c>
    </row>
    <row r="141" customFormat="false" ht="17.15" hidden="false" customHeight="false" outlineLevel="0" collapsed="false">
      <c r="A141" s="0" t="s">
        <v>3008</v>
      </c>
      <c r="B141" s="5" t="s">
        <v>253</v>
      </c>
      <c r="C141" s="0" t="s">
        <v>225</v>
      </c>
      <c r="D141" s="27" t="n">
        <f aca="false">Facility!E12</f>
        <v>0.3</v>
      </c>
      <c r="E141" s="27" t="n">
        <f aca="false">Facility!F12</f>
        <v>0.3</v>
      </c>
      <c r="F141" s="27" t="n">
        <f aca="false">Facility!G12</f>
        <v>0.3</v>
      </c>
      <c r="G141" s="27" t="n">
        <f aca="false">Facility!H12</f>
        <v>0.3</v>
      </c>
      <c r="H141" s="27" t="n">
        <f aca="false">Facility!I12</f>
        <v>0.3</v>
      </c>
      <c r="I141" s="27" t="n">
        <f aca="false">Facility!J12</f>
        <v>0.3</v>
      </c>
      <c r="J141" s="27" t="n">
        <f aca="false">Facility!K12</f>
        <v>0.3</v>
      </c>
      <c r="K141" s="27" t="n">
        <f aca="false">Facility!L12</f>
        <v>0.3</v>
      </c>
      <c r="L141" s="27" t="n">
        <f aca="false">Facility!M12</f>
        <v>0.3</v>
      </c>
      <c r="M141" s="20" t="s">
        <v>3009</v>
      </c>
    </row>
    <row r="142" customFormat="false" ht="15" hidden="false" customHeight="false" outlineLevel="0" collapsed="false">
      <c r="A142" s="0" t="s">
        <v>3010</v>
      </c>
      <c r="B142" s="5" t="s">
        <v>256</v>
      </c>
      <c r="C142" s="0" t="s">
        <v>225</v>
      </c>
      <c r="D142" s="27" t="n">
        <f aca="false">Facility!E13</f>
        <v>0.2</v>
      </c>
      <c r="E142" s="27" t="n">
        <f aca="false">Facility!F13</f>
        <v>0.2</v>
      </c>
      <c r="F142" s="27" t="n">
        <f aca="false">Facility!G13</f>
        <v>0.2</v>
      </c>
      <c r="G142" s="27" t="n">
        <f aca="false">Facility!H13</f>
        <v>0.2</v>
      </c>
      <c r="H142" s="27" t="n">
        <f aca="false">Facility!I13</f>
        <v>0.2</v>
      </c>
      <c r="I142" s="27" t="n">
        <f aca="false">Facility!J13</f>
        <v>0.2</v>
      </c>
      <c r="J142" s="27" t="n">
        <f aca="false">Facility!K13</f>
        <v>0.2</v>
      </c>
      <c r="K142" s="27" t="n">
        <f aca="false">Facility!L13</f>
        <v>0.2</v>
      </c>
      <c r="L142" s="27" t="n">
        <f aca="false">Facility!M13</f>
        <v>0.2</v>
      </c>
      <c r="M142" s="20" t="s">
        <v>3011</v>
      </c>
    </row>
    <row r="143" customFormat="false" ht="17.15" hidden="false" customHeight="false" outlineLevel="0" collapsed="false">
      <c r="A143" s="0" t="s">
        <v>3012</v>
      </c>
      <c r="B143" s="5" t="s">
        <v>3013</v>
      </c>
      <c r="C143" s="0" t="s">
        <v>225</v>
      </c>
      <c r="D143" s="27" t="n">
        <f aca="false">Facility!E14</f>
        <v>0.0200000000000014</v>
      </c>
      <c r="E143" s="27" t="n">
        <f aca="false">Facility!F14</f>
        <v>0.0200000000000014</v>
      </c>
      <c r="F143" s="27" t="n">
        <f aca="false">Facility!G14</f>
        <v>0.0200000000000014</v>
      </c>
      <c r="G143" s="27" t="n">
        <f aca="false">Facility!H14</f>
        <v>0.0200000000000014</v>
      </c>
      <c r="H143" s="27" t="n">
        <f aca="false">Facility!I14</f>
        <v>0.0200000000000014</v>
      </c>
      <c r="I143" s="27" t="n">
        <f aca="false">Facility!J14</f>
        <v>0.0200000000000014</v>
      </c>
      <c r="J143" s="27" t="n">
        <f aca="false">Facility!K14</f>
        <v>0.0200000000000014</v>
      </c>
      <c r="K143" s="27" t="n">
        <f aca="false">Facility!L14</f>
        <v>0.0200000000000014</v>
      </c>
      <c r="L143" s="27" t="n">
        <f aca="false">Facility!M14</f>
        <v>0.0200000000000014</v>
      </c>
      <c r="M143" s="20" t="s">
        <v>3014</v>
      </c>
    </row>
    <row r="144" customFormat="false" ht="17.15" hidden="false" customHeight="false" outlineLevel="0" collapsed="false">
      <c r="A144" s="0" t="s">
        <v>3015</v>
      </c>
      <c r="B144" s="5" t="s">
        <v>3016</v>
      </c>
      <c r="C144" s="0" t="s">
        <v>225</v>
      </c>
      <c r="D144" s="27" t="n">
        <f aca="false">Facility!E16</f>
        <v>2.304</v>
      </c>
      <c r="E144" s="27" t="n">
        <f aca="false">Facility!F16</f>
        <v>2.304</v>
      </c>
      <c r="F144" s="27" t="n">
        <f aca="false">Facility!G16</f>
        <v>2.304</v>
      </c>
      <c r="G144" s="27" t="n">
        <f aca="false">Facility!H16</f>
        <v>2.304</v>
      </c>
      <c r="H144" s="27" t="n">
        <f aca="false">Facility!I16</f>
        <v>2.304</v>
      </c>
      <c r="I144" s="27" t="n">
        <f aca="false">Facility!J16</f>
        <v>2.304</v>
      </c>
      <c r="J144" s="27" t="n">
        <f aca="false">Facility!K16</f>
        <v>2.304</v>
      </c>
      <c r="K144" s="27" t="n">
        <f aca="false">Facility!L16</f>
        <v>2.304</v>
      </c>
      <c r="L144" s="27" t="n">
        <f aca="false">Facility!M16</f>
        <v>2.304</v>
      </c>
      <c r="M144" s="20" t="s">
        <v>3017</v>
      </c>
    </row>
    <row r="145" customFormat="false" ht="17.15" hidden="false" customHeight="false" outlineLevel="0" collapsed="false">
      <c r="A145" s="0" t="s">
        <v>3018</v>
      </c>
      <c r="B145" s="5" t="s">
        <v>3019</v>
      </c>
      <c r="C145" s="0" t="s">
        <v>77</v>
      </c>
      <c r="D145" s="27" t="n">
        <f aca="false">Facility!E38</f>
        <v>2.59169334958689</v>
      </c>
      <c r="E145" s="27" t="n">
        <f aca="false">Facility!F38</f>
        <v>14.4785988717555</v>
      </c>
      <c r="F145" s="27" t="n">
        <f aca="false">Facility!G38</f>
        <v>20.0245943376947</v>
      </c>
      <c r="G145" s="27" t="n">
        <f aca="false">Facility!H38</f>
        <v>36.7316062816593</v>
      </c>
      <c r="H145" s="27" t="n">
        <f aca="false">Facility!I38</f>
        <v>43.0772684789596</v>
      </c>
      <c r="I145" s="27" t="n">
        <f aca="false">Facility!J38</f>
        <v>44.261548967844</v>
      </c>
      <c r="J145" s="27" t="n">
        <f aca="false">Facility!K38</f>
        <v>44.9663734576389</v>
      </c>
      <c r="K145" s="27" t="n">
        <f aca="false">Facility!L38</f>
        <v>39.4388439700903</v>
      </c>
      <c r="L145" s="27" t="n">
        <f aca="false">Facility!M38</f>
        <v>26.903966482722</v>
      </c>
      <c r="M145" s="20" t="s">
        <v>3020</v>
      </c>
    </row>
    <row r="146" customFormat="false" ht="17.15" hidden="false" customHeight="false" outlineLevel="0" collapsed="false">
      <c r="A146" s="0" t="s">
        <v>3021</v>
      </c>
      <c r="B146" s="5" t="s">
        <v>3022</v>
      </c>
      <c r="C146" s="0" t="s">
        <v>77</v>
      </c>
      <c r="D146" s="27" t="n">
        <f aca="false">Facility!E39</f>
        <v>0.46650480292564</v>
      </c>
      <c r="E146" s="27" t="n">
        <f aca="false">Facility!F39</f>
        <v>2.60614779691598</v>
      </c>
      <c r="F146" s="27" t="n">
        <f aca="false">Facility!G39</f>
        <v>3.60442698078505</v>
      </c>
      <c r="G146" s="27" t="n">
        <f aca="false">Facility!H39</f>
        <v>6.61168913069867</v>
      </c>
      <c r="H146" s="27" t="n">
        <f aca="false">Facility!I39</f>
        <v>7.75390832621273</v>
      </c>
      <c r="I146" s="27" t="n">
        <f aca="false">Facility!J39</f>
        <v>7.96707881421192</v>
      </c>
      <c r="J146" s="27" t="n">
        <f aca="false">Facility!K39</f>
        <v>8.093947222375</v>
      </c>
      <c r="K146" s="27" t="n">
        <f aca="false">Facility!L39</f>
        <v>7.09899191461626</v>
      </c>
      <c r="L146" s="27" t="n">
        <f aca="false">Facility!M39</f>
        <v>4.84271396688996</v>
      </c>
      <c r="M146" s="20" t="s">
        <v>3023</v>
      </c>
    </row>
    <row r="147" customFormat="false" ht="17.15" hidden="false" customHeight="false" outlineLevel="0" collapsed="false">
      <c r="A147" s="8" t="s">
        <v>3024</v>
      </c>
    </row>
    <row r="148" customFormat="false" ht="15" hidden="false" customHeight="false" outlineLevel="0" collapsed="false">
      <c r="A148" s="6" t="s">
        <v>1322</v>
      </c>
      <c r="B148" s="6" t="s">
        <v>1332</v>
      </c>
      <c r="C148" s="6" t="s">
        <v>1610</v>
      </c>
      <c r="D148" s="6" t="s">
        <v>1697</v>
      </c>
      <c r="E148" s="6" t="s">
        <v>15</v>
      </c>
      <c r="F148" s="6"/>
      <c r="G148" s="6"/>
      <c r="H148" s="6"/>
      <c r="I148" s="6"/>
      <c r="J148" s="6"/>
      <c r="K148" s="6"/>
      <c r="L148" s="6"/>
      <c r="M148" s="6" t="s">
        <v>2654</v>
      </c>
    </row>
    <row r="149" customFormat="false" ht="17.15" hidden="false" customHeight="false" outlineLevel="0" collapsed="false">
      <c r="A149" s="0" t="s">
        <v>3025</v>
      </c>
      <c r="B149" s="0" t="s">
        <v>1301</v>
      </c>
      <c r="C149" s="0" t="n">
        <v>2024</v>
      </c>
      <c r="D149" s="36" t="str">
        <f aca="false">IF(Funding!W5="","",Funding!W5)</f>
        <v/>
      </c>
      <c r="E149" s="20" t="s">
        <v>3026</v>
      </c>
      <c r="M149" s="20" t="s">
        <v>3027</v>
      </c>
    </row>
    <row r="150" customFormat="false" ht="17.15" hidden="false" customHeight="false" outlineLevel="0" collapsed="false">
      <c r="A150" s="0" t="s">
        <v>3028</v>
      </c>
      <c r="B150" s="0" t="s">
        <v>1301</v>
      </c>
      <c r="C150" s="0" t="n">
        <v>2024</v>
      </c>
      <c r="D150" s="41" t="str">
        <f aca="false">IF(Funding!AC5="","",Funding!AC5)</f>
        <v/>
      </c>
      <c r="E150" s="20" t="s">
        <v>3029</v>
      </c>
      <c r="M150" s="20" t="s">
        <v>3030</v>
      </c>
    </row>
    <row r="151" customFormat="false" ht="17.15" hidden="false" customHeight="false" outlineLevel="0" collapsed="false">
      <c r="A151" s="0" t="s">
        <v>3031</v>
      </c>
      <c r="B151" s="0" t="s">
        <v>1301</v>
      </c>
      <c r="C151" s="0" t="n">
        <v>2024</v>
      </c>
      <c r="D151" s="41" t="str">
        <f aca="false">IF(Funding!AD5="","",Funding!AD5)</f>
        <v/>
      </c>
      <c r="E151" s="20" t="s">
        <v>3032</v>
      </c>
      <c r="M151" s="20" t="s">
        <v>3033</v>
      </c>
    </row>
    <row r="152" customFormat="false" ht="17.15" hidden="false" customHeight="false" outlineLevel="0" collapsed="false">
      <c r="A152" s="0" t="s">
        <v>3034</v>
      </c>
      <c r="B152" s="0" t="s">
        <v>1301</v>
      </c>
      <c r="C152" s="0" t="n">
        <v>2024</v>
      </c>
      <c r="D152" s="41" t="str">
        <f aca="false">IF(Funding!AE5="","",Funding!AE5)</f>
        <v/>
      </c>
      <c r="E152" s="20" t="s">
        <v>3035</v>
      </c>
      <c r="M152" s="20" t="s">
        <v>3036</v>
      </c>
    </row>
    <row r="153" customFormat="false" ht="17.15" hidden="false" customHeight="false" outlineLevel="0" collapsed="false">
      <c r="A153" s="0" t="s">
        <v>3037</v>
      </c>
      <c r="B153" s="0" t="s">
        <v>1301</v>
      </c>
      <c r="C153" s="0" t="n">
        <v>2024</v>
      </c>
      <c r="D153" s="41" t="str">
        <f aca="false">IF(Funding!AF5="","",Funding!AF5)</f>
        <v/>
      </c>
      <c r="E153" s="20" t="s">
        <v>3038</v>
      </c>
      <c r="M153" s="20" t="s">
        <v>3039</v>
      </c>
    </row>
    <row r="154" customFormat="false" ht="17.15" hidden="false" customHeight="false" outlineLevel="0" collapsed="false">
      <c r="A154" s="0" t="s">
        <v>3040</v>
      </c>
      <c r="B154" s="0" t="s">
        <v>1301</v>
      </c>
      <c r="C154" s="0" t="n">
        <v>2024</v>
      </c>
      <c r="D154" s="41" t="str">
        <f aca="false">IF(Funding!AG5="","",Funding!AG5)</f>
        <v/>
      </c>
      <c r="E154" s="20" t="s">
        <v>3041</v>
      </c>
      <c r="M154" s="20" t="s">
        <v>3042</v>
      </c>
    </row>
    <row r="155" customFormat="false" ht="17.15" hidden="false" customHeight="false" outlineLevel="0" collapsed="false">
      <c r="A155" s="0" t="s">
        <v>3043</v>
      </c>
      <c r="B155" s="0" t="s">
        <v>1301</v>
      </c>
      <c r="C155" s="0" t="n">
        <v>2024</v>
      </c>
      <c r="D155" s="36" t="n">
        <f aca="false">IF(Funding!AL5="","",Funding!AL5)</f>
        <v>24.395</v>
      </c>
      <c r="E155" s="20" t="s">
        <v>3044</v>
      </c>
      <c r="M155" s="20" t="s">
        <v>3045</v>
      </c>
    </row>
    <row r="156" customFormat="false" ht="17.15" hidden="false" customHeight="false" outlineLevel="0" collapsed="false">
      <c r="A156" s="0" t="s">
        <v>3046</v>
      </c>
      <c r="B156" s="0" t="s">
        <v>1301</v>
      </c>
      <c r="C156" s="0" t="n">
        <v>2024</v>
      </c>
      <c r="D156" s="41" t="str">
        <f aca="false">IF(Funding!AM5="","",Funding!AM5)</f>
        <v/>
      </c>
      <c r="E156" s="20" t="s">
        <v>3047</v>
      </c>
      <c r="M156" s="20" t="s">
        <v>3048</v>
      </c>
    </row>
    <row r="157" customFormat="false" ht="17.15" hidden="false" customHeight="false" outlineLevel="0" collapsed="false">
      <c r="A157" s="0" t="s">
        <v>3049</v>
      </c>
      <c r="B157" s="0" t="s">
        <v>1301</v>
      </c>
      <c r="C157" s="0" t="n">
        <v>2024</v>
      </c>
      <c r="D157" s="41" t="str">
        <f aca="false">IF(Funding!AN5="","",Funding!AN5)</f>
        <v/>
      </c>
      <c r="E157" s="20" t="s">
        <v>3050</v>
      </c>
      <c r="M157" s="20" t="s">
        <v>3051</v>
      </c>
    </row>
    <row r="158" customFormat="false" ht="17.15" hidden="false" customHeight="false" outlineLevel="0" collapsed="false">
      <c r="A158" s="0" t="s">
        <v>3052</v>
      </c>
      <c r="B158" s="0" t="s">
        <v>1301</v>
      </c>
      <c r="C158" s="0" t="n">
        <v>2024</v>
      </c>
      <c r="D158" s="41" t="str">
        <f aca="false">IF(Funding!AO5="","",Funding!AO5)</f>
        <v/>
      </c>
      <c r="E158" s="20" t="s">
        <v>3053</v>
      </c>
      <c r="M158" s="20" t="s">
        <v>3054</v>
      </c>
    </row>
    <row r="159" customFormat="false" ht="17.15" hidden="false" customHeight="false" outlineLevel="0" collapsed="false">
      <c r="A159" s="0" t="s">
        <v>3055</v>
      </c>
      <c r="B159" s="0" t="s">
        <v>1301</v>
      </c>
      <c r="C159" s="0" t="n">
        <v>2024</v>
      </c>
      <c r="D159" s="41" t="str">
        <f aca="false">IF(Funding!AP5="","",Funding!AP5)</f>
        <v/>
      </c>
      <c r="E159" s="20" t="s">
        <v>3056</v>
      </c>
      <c r="M159" s="20" t="s">
        <v>3057</v>
      </c>
    </row>
    <row r="160" customFormat="false" ht="17.15" hidden="false" customHeight="false" outlineLevel="0" collapsed="false">
      <c r="A160" s="0" t="s">
        <v>3058</v>
      </c>
      <c r="B160" s="0" t="s">
        <v>1301</v>
      </c>
      <c r="C160" s="0" t="n">
        <v>2024</v>
      </c>
      <c r="D160" s="41" t="str">
        <f aca="false">IF(Funding!AQ5="","",Funding!AQ5)</f>
        <v/>
      </c>
      <c r="E160" s="20" t="s">
        <v>3059</v>
      </c>
      <c r="M160" s="20" t="s">
        <v>3060</v>
      </c>
    </row>
    <row r="161" customFormat="false" ht="17.15" hidden="false" customHeight="false" outlineLevel="0" collapsed="false">
      <c r="A161" s="0" t="s">
        <v>3061</v>
      </c>
      <c r="B161" s="0" t="s">
        <v>1301</v>
      </c>
      <c r="C161" s="0" t="n">
        <v>2024</v>
      </c>
      <c r="D161" s="36" t="str">
        <f aca="false">IF(Funding!E5="","",Funding!E5)</f>
        <v/>
      </c>
      <c r="E161" s="20" t="s">
        <v>1737</v>
      </c>
      <c r="M161" s="20" t="s">
        <v>3062</v>
      </c>
    </row>
    <row r="162" customFormat="false" ht="17.15" hidden="false" customHeight="false" outlineLevel="0" collapsed="false">
      <c r="A162" s="0" t="s">
        <v>3063</v>
      </c>
      <c r="B162" s="0" t="s">
        <v>1301</v>
      </c>
      <c r="C162" s="0" t="n">
        <v>2024</v>
      </c>
      <c r="D162" s="36" t="str">
        <f aca="false">IF(Funding!I5="","",Funding!I5)</f>
        <v/>
      </c>
      <c r="E162" s="20" t="s">
        <v>1742</v>
      </c>
      <c r="M162" s="20" t="s">
        <v>3064</v>
      </c>
    </row>
    <row r="163" customFormat="false" ht="17.15" hidden="false" customHeight="false" outlineLevel="0" collapsed="false">
      <c r="A163" s="0" t="s">
        <v>3065</v>
      </c>
      <c r="B163" s="0" t="s">
        <v>1301</v>
      </c>
      <c r="C163" s="0" t="n">
        <v>2024</v>
      </c>
      <c r="D163" s="36" t="str">
        <f aca="false">IF(Funding!O5="","",Funding!O5)</f>
        <v/>
      </c>
      <c r="E163" s="20" t="s">
        <v>3066</v>
      </c>
      <c r="M163" s="20" t="s">
        <v>3067</v>
      </c>
    </row>
    <row r="164" customFormat="false" ht="17.15" hidden="false" customHeight="false" outlineLevel="0" collapsed="false">
      <c r="A164" s="0" t="s">
        <v>3068</v>
      </c>
      <c r="B164" s="0" t="s">
        <v>1301</v>
      </c>
      <c r="C164" s="0" t="n">
        <v>2024</v>
      </c>
      <c r="D164" s="36" t="n">
        <f aca="false">N(Funding!J5)+N(Funding!K5)+N(Funding!L5)+N(Funding!M5)</f>
        <v>24.395</v>
      </c>
      <c r="E164" s="20" t="s">
        <v>3069</v>
      </c>
      <c r="M164" s="20" t="s">
        <v>3070</v>
      </c>
    </row>
    <row r="165" customFormat="false" ht="17.15" hidden="false" customHeight="false" outlineLevel="0" collapsed="false">
      <c r="A165" s="0" t="s">
        <v>3071</v>
      </c>
      <c r="B165" s="0" t="s">
        <v>1301</v>
      </c>
      <c r="C165" s="0" t="n">
        <v>2024</v>
      </c>
      <c r="D165" s="36" t="str">
        <f aca="false">IF(Funding!R5="","",Funding!R5)</f>
        <v/>
      </c>
      <c r="E165" s="20" t="s">
        <v>3072</v>
      </c>
      <c r="M165" s="20" t="s">
        <v>3073</v>
      </c>
    </row>
    <row r="166" customFormat="false" ht="17.15" hidden="false" customHeight="false" outlineLevel="0" collapsed="false">
      <c r="A166" s="0" t="s">
        <v>3074</v>
      </c>
      <c r="B166" s="0" t="s">
        <v>1301</v>
      </c>
      <c r="C166" s="0" t="n">
        <v>2025</v>
      </c>
      <c r="D166" s="36" t="n">
        <f aca="false">IF(Funding!W6="","",Funding!W6)</f>
        <v>85.062</v>
      </c>
      <c r="E166" s="20" t="s">
        <v>3026</v>
      </c>
      <c r="M166" s="20" t="s">
        <v>3075</v>
      </c>
    </row>
    <row r="167" customFormat="false" ht="17.15" hidden="false" customHeight="false" outlineLevel="0" collapsed="false">
      <c r="A167" s="0" t="s">
        <v>3076</v>
      </c>
      <c r="B167" s="0" t="s">
        <v>1301</v>
      </c>
      <c r="C167" s="0" t="n">
        <v>2025</v>
      </c>
      <c r="D167" s="41" t="n">
        <f aca="false">IF(Funding!AC6="","",Funding!AC6)</f>
        <v>0.758870000705368</v>
      </c>
      <c r="E167" s="20" t="s">
        <v>3029</v>
      </c>
      <c r="M167" s="20" t="s">
        <v>3077</v>
      </c>
    </row>
    <row r="168" customFormat="false" ht="17.15" hidden="false" customHeight="false" outlineLevel="0" collapsed="false">
      <c r="A168" s="0" t="s">
        <v>3078</v>
      </c>
      <c r="B168" s="0" t="s">
        <v>1301</v>
      </c>
      <c r="C168" s="0" t="n">
        <v>2025</v>
      </c>
      <c r="D168" s="41" t="n">
        <f aca="false">IF(Funding!AD6="","",Funding!AD6)</f>
        <v>0.241129999294632</v>
      </c>
      <c r="E168" s="20" t="s">
        <v>3032</v>
      </c>
      <c r="M168" s="20" t="s">
        <v>3079</v>
      </c>
    </row>
    <row r="169" customFormat="false" ht="17.15" hidden="false" customHeight="false" outlineLevel="0" collapsed="false">
      <c r="A169" s="0" t="s">
        <v>3080</v>
      </c>
      <c r="B169" s="0" t="s">
        <v>1301</v>
      </c>
      <c r="C169" s="0" t="n">
        <v>2025</v>
      </c>
      <c r="D169" s="41" t="n">
        <f aca="false">IF(Funding!AE6="","",Funding!AE6)</f>
        <v>0</v>
      </c>
      <c r="E169" s="20" t="s">
        <v>3035</v>
      </c>
      <c r="M169" s="20" t="s">
        <v>3081</v>
      </c>
    </row>
    <row r="170" customFormat="false" ht="17.15" hidden="false" customHeight="false" outlineLevel="0" collapsed="false">
      <c r="A170" s="0" t="s">
        <v>3082</v>
      </c>
      <c r="B170" s="0" t="s">
        <v>1301</v>
      </c>
      <c r="C170" s="0" t="n">
        <v>2025</v>
      </c>
      <c r="D170" s="41" t="n">
        <f aca="false">IF(Funding!AF6="","",Funding!AF6)</f>
        <v>0</v>
      </c>
      <c r="E170" s="20" t="s">
        <v>3038</v>
      </c>
      <c r="M170" s="20" t="s">
        <v>3083</v>
      </c>
    </row>
    <row r="171" customFormat="false" ht="17.15" hidden="false" customHeight="false" outlineLevel="0" collapsed="false">
      <c r="A171" s="0" t="s">
        <v>3084</v>
      </c>
      <c r="B171" s="0" t="s">
        <v>1301</v>
      </c>
      <c r="C171" s="0" t="n">
        <v>2025</v>
      </c>
      <c r="D171" s="41" t="n">
        <f aca="false">IF(Funding!AG6="","",Funding!AG6)</f>
        <v>0</v>
      </c>
      <c r="E171" s="20" t="s">
        <v>3041</v>
      </c>
      <c r="M171" s="20" t="s">
        <v>3085</v>
      </c>
    </row>
    <row r="172" customFormat="false" ht="17.15" hidden="false" customHeight="false" outlineLevel="0" collapsed="false">
      <c r="A172" s="0" t="s">
        <v>3086</v>
      </c>
      <c r="B172" s="0" t="s">
        <v>1301</v>
      </c>
      <c r="C172" s="0" t="n">
        <v>2025</v>
      </c>
      <c r="D172" s="36" t="n">
        <f aca="false">IF(Funding!AL6="","",Funding!AL6)</f>
        <v>20.511</v>
      </c>
      <c r="E172" s="20" t="s">
        <v>3044</v>
      </c>
      <c r="M172" s="20" t="s">
        <v>3087</v>
      </c>
    </row>
    <row r="173" customFormat="false" ht="17.15" hidden="false" customHeight="false" outlineLevel="0" collapsed="false">
      <c r="A173" s="0" t="s">
        <v>3088</v>
      </c>
      <c r="B173" s="0" t="s">
        <v>1301</v>
      </c>
      <c r="C173" s="0" t="n">
        <v>2025</v>
      </c>
      <c r="D173" s="41" t="n">
        <f aca="false">IF(Funding!AM6="","",Funding!AM6)</f>
        <v>0.241129999294632</v>
      </c>
      <c r="E173" s="20" t="s">
        <v>3047</v>
      </c>
      <c r="M173" s="20" t="s">
        <v>3089</v>
      </c>
    </row>
    <row r="174" customFormat="false" ht="17.15" hidden="false" customHeight="false" outlineLevel="0" collapsed="false">
      <c r="A174" s="0" t="s">
        <v>3090</v>
      </c>
      <c r="B174" s="0" t="s">
        <v>1301</v>
      </c>
      <c r="C174" s="0" t="n">
        <v>2025</v>
      </c>
      <c r="D174" s="41" t="n">
        <f aca="false">IF(Funding!AN6="","",Funding!AN6)</f>
        <v>1.60073828501564</v>
      </c>
      <c r="E174" s="20" t="s">
        <v>3050</v>
      </c>
      <c r="M174" s="20" t="s">
        <v>3091</v>
      </c>
    </row>
    <row r="175" customFormat="false" ht="17.15" hidden="false" customHeight="false" outlineLevel="0" collapsed="false">
      <c r="A175" s="0" t="s">
        <v>3092</v>
      </c>
      <c r="B175" s="0" t="s">
        <v>1301</v>
      </c>
      <c r="C175" s="0" t="n">
        <v>2025</v>
      </c>
      <c r="D175" s="41" t="n">
        <f aca="false">IF(Funding!AO6="","",Funding!AO6)</f>
        <v>0</v>
      </c>
      <c r="E175" s="20" t="s">
        <v>3053</v>
      </c>
      <c r="M175" s="20" t="s">
        <v>3093</v>
      </c>
    </row>
    <row r="176" customFormat="false" ht="17.15" hidden="false" customHeight="false" outlineLevel="0" collapsed="false">
      <c r="A176" s="0" t="s">
        <v>3094</v>
      </c>
      <c r="B176" s="0" t="s">
        <v>1301</v>
      </c>
      <c r="C176" s="0" t="n">
        <v>2025</v>
      </c>
      <c r="D176" s="41" t="n">
        <f aca="false">IF(Funding!AP6="","",Funding!AP6)</f>
        <v>0</v>
      </c>
      <c r="E176" s="20" t="s">
        <v>3056</v>
      </c>
      <c r="M176" s="20" t="s">
        <v>3095</v>
      </c>
    </row>
    <row r="177" customFormat="false" ht="17.15" hidden="false" customHeight="false" outlineLevel="0" collapsed="false">
      <c r="A177" s="0" t="s">
        <v>3096</v>
      </c>
      <c r="B177" s="0" t="s">
        <v>1301</v>
      </c>
      <c r="C177" s="0" t="n">
        <v>2025</v>
      </c>
      <c r="D177" s="41" t="n">
        <f aca="false">IF(Funding!AQ6="","",Funding!AQ6)</f>
        <v>0.241129999294632</v>
      </c>
      <c r="E177" s="20" t="s">
        <v>3059</v>
      </c>
      <c r="M177" s="20" t="s">
        <v>3097</v>
      </c>
    </row>
    <row r="178" customFormat="false" ht="17.15" hidden="false" customHeight="false" outlineLevel="0" collapsed="false">
      <c r="A178" s="0" t="s">
        <v>3098</v>
      </c>
      <c r="B178" s="0" t="s">
        <v>1301</v>
      </c>
      <c r="C178" s="0" t="n">
        <v>2025</v>
      </c>
      <c r="D178" s="36" t="n">
        <f aca="false">IF(Funding!E6="","",Funding!E6)</f>
        <v>136.162</v>
      </c>
      <c r="E178" s="20" t="s">
        <v>1737</v>
      </c>
      <c r="M178" s="20" t="s">
        <v>3099</v>
      </c>
    </row>
    <row r="179" customFormat="false" ht="17.15" hidden="false" customHeight="false" outlineLevel="0" collapsed="false">
      <c r="A179" s="0" t="s">
        <v>3100</v>
      </c>
      <c r="B179" s="0" t="s">
        <v>1301</v>
      </c>
      <c r="C179" s="0" t="n">
        <v>2025</v>
      </c>
      <c r="D179" s="36" t="str">
        <f aca="false">IF(Funding!I6="","",Funding!I6)</f>
        <v/>
      </c>
      <c r="E179" s="20" t="s">
        <v>1742</v>
      </c>
      <c r="M179" s="20" t="s">
        <v>3101</v>
      </c>
    </row>
    <row r="180" customFormat="false" ht="17.15" hidden="false" customHeight="false" outlineLevel="0" collapsed="false">
      <c r="A180" s="0" t="s">
        <v>3102</v>
      </c>
      <c r="B180" s="0" t="s">
        <v>1301</v>
      </c>
      <c r="C180" s="0" t="n">
        <v>2025</v>
      </c>
      <c r="D180" s="36" t="n">
        <f aca="false">IF(Funding!O6="","",Funding!O6)</f>
        <v>92.7</v>
      </c>
      <c r="E180" s="20" t="s">
        <v>3066</v>
      </c>
      <c r="M180" s="20" t="s">
        <v>3103</v>
      </c>
    </row>
    <row r="181" customFormat="false" ht="17.15" hidden="false" customHeight="false" outlineLevel="0" collapsed="false">
      <c r="A181" s="0" t="s">
        <v>3104</v>
      </c>
      <c r="B181" s="0" t="s">
        <v>1301</v>
      </c>
      <c r="C181" s="0" t="n">
        <v>2025</v>
      </c>
      <c r="D181" s="36" t="n">
        <f aca="false">N(Funding!J6)+N(Funding!K6)+N(Funding!L6)+N(Funding!M6)</f>
        <v>0</v>
      </c>
      <c r="E181" s="20" t="s">
        <v>3069</v>
      </c>
      <c r="M181" s="20" t="s">
        <v>3105</v>
      </c>
    </row>
    <row r="182" customFormat="false" ht="17.15" hidden="false" customHeight="false" outlineLevel="0" collapsed="false">
      <c r="A182" s="0" t="s">
        <v>3106</v>
      </c>
      <c r="B182" s="0" t="s">
        <v>1301</v>
      </c>
      <c r="C182" s="0" t="n">
        <v>2025</v>
      </c>
      <c r="D182" s="36" t="str">
        <f aca="false">IF(Funding!R6="","",Funding!R6)</f>
        <v/>
      </c>
      <c r="E182" s="20" t="s">
        <v>3072</v>
      </c>
      <c r="M182" s="20" t="s">
        <v>3107</v>
      </c>
    </row>
    <row r="183" customFormat="false" ht="17.15" hidden="false" customHeight="false" outlineLevel="0" collapsed="false">
      <c r="A183" s="0" t="s">
        <v>3108</v>
      </c>
      <c r="B183" s="0" t="s">
        <v>1301</v>
      </c>
      <c r="C183" s="0" t="n">
        <v>2026</v>
      </c>
      <c r="D183" s="36" t="n">
        <f aca="false">IF(Funding!W7="","",Funding!W7)</f>
        <v>140.556</v>
      </c>
      <c r="E183" s="20" t="s">
        <v>3026</v>
      </c>
      <c r="M183" s="20" t="s">
        <v>3109</v>
      </c>
    </row>
    <row r="184" customFormat="false" ht="17.15" hidden="false" customHeight="false" outlineLevel="0" collapsed="false">
      <c r="A184" s="0" t="s">
        <v>3110</v>
      </c>
      <c r="B184" s="0" t="s">
        <v>1301</v>
      </c>
      <c r="C184" s="0" t="n">
        <v>2026</v>
      </c>
      <c r="D184" s="41" t="n">
        <f aca="false">IF(Funding!AC7="","",Funding!AC7)</f>
        <v>0.824923873758502</v>
      </c>
      <c r="E184" s="20" t="s">
        <v>3029</v>
      </c>
      <c r="M184" s="20" t="s">
        <v>3111</v>
      </c>
    </row>
    <row r="185" customFormat="false" ht="17.15" hidden="false" customHeight="false" outlineLevel="0" collapsed="false">
      <c r="A185" s="0" t="s">
        <v>3112</v>
      </c>
      <c r="B185" s="0" t="s">
        <v>1301</v>
      </c>
      <c r="C185" s="0" t="n">
        <v>2026</v>
      </c>
      <c r="D185" s="41" t="n">
        <f aca="false">IF(Funding!AD7="","",Funding!AD7)</f>
        <v>0.175076126241498</v>
      </c>
      <c r="E185" s="20" t="s">
        <v>3032</v>
      </c>
      <c r="M185" s="20" t="s">
        <v>3113</v>
      </c>
    </row>
    <row r="186" customFormat="false" ht="17.15" hidden="false" customHeight="false" outlineLevel="0" collapsed="false">
      <c r="A186" s="0" t="s">
        <v>3114</v>
      </c>
      <c r="B186" s="0" t="s">
        <v>1301</v>
      </c>
      <c r="C186" s="0" t="n">
        <v>2026</v>
      </c>
      <c r="D186" s="41" t="n">
        <f aca="false">IF(Funding!AE7="","",Funding!AE7)</f>
        <v>0</v>
      </c>
      <c r="E186" s="20" t="s">
        <v>3035</v>
      </c>
      <c r="M186" s="20" t="s">
        <v>3115</v>
      </c>
    </row>
    <row r="187" customFormat="false" ht="17.15" hidden="false" customHeight="false" outlineLevel="0" collapsed="false">
      <c r="A187" s="0" t="s">
        <v>3116</v>
      </c>
      <c r="B187" s="0" t="s">
        <v>1301</v>
      </c>
      <c r="C187" s="0" t="n">
        <v>2026</v>
      </c>
      <c r="D187" s="41" t="n">
        <f aca="false">IF(Funding!AF7="","",Funding!AF7)</f>
        <v>0</v>
      </c>
      <c r="E187" s="20" t="s">
        <v>3038</v>
      </c>
      <c r="M187" s="20" t="s">
        <v>3117</v>
      </c>
    </row>
    <row r="188" customFormat="false" ht="17.15" hidden="false" customHeight="false" outlineLevel="0" collapsed="false">
      <c r="A188" s="0" t="s">
        <v>3118</v>
      </c>
      <c r="B188" s="0" t="s">
        <v>1301</v>
      </c>
      <c r="C188" s="0" t="n">
        <v>2026</v>
      </c>
      <c r="D188" s="41" t="n">
        <f aca="false">IF(Funding!AG7="","",Funding!AG7)</f>
        <v>0</v>
      </c>
      <c r="E188" s="20" t="s">
        <v>3041</v>
      </c>
      <c r="M188" s="20" t="s">
        <v>3119</v>
      </c>
    </row>
    <row r="189" customFormat="false" ht="17.15" hidden="false" customHeight="false" outlineLevel="0" collapsed="false">
      <c r="A189" s="0" t="s">
        <v>3120</v>
      </c>
      <c r="B189" s="0" t="s">
        <v>1301</v>
      </c>
      <c r="C189" s="0" t="n">
        <v>2026</v>
      </c>
      <c r="D189" s="36" t="n">
        <f aca="false">IF(Funding!AL7="","",Funding!AL7)</f>
        <v>24.608</v>
      </c>
      <c r="E189" s="20" t="s">
        <v>3044</v>
      </c>
      <c r="M189" s="20" t="s">
        <v>3121</v>
      </c>
    </row>
    <row r="190" customFormat="false" ht="17.15" hidden="false" customHeight="false" outlineLevel="0" collapsed="false">
      <c r="A190" s="0" t="s">
        <v>3122</v>
      </c>
      <c r="B190" s="0" t="s">
        <v>1301</v>
      </c>
      <c r="C190" s="0" t="n">
        <v>2026</v>
      </c>
      <c r="D190" s="41" t="n">
        <f aca="false">IF(Funding!AM7="","",Funding!AM7)</f>
        <v>0.175076126241498</v>
      </c>
      <c r="E190" s="20" t="s">
        <v>3047</v>
      </c>
      <c r="M190" s="20" t="s">
        <v>3123</v>
      </c>
    </row>
    <row r="191" customFormat="false" ht="17.15" hidden="false" customHeight="false" outlineLevel="0" collapsed="false">
      <c r="A191" s="0" t="s">
        <v>3124</v>
      </c>
      <c r="B191" s="0" t="s">
        <v>1301</v>
      </c>
      <c r="C191" s="0" t="n">
        <v>2026</v>
      </c>
      <c r="D191" s="41" t="n">
        <f aca="false">IF(Funding!AN7="","",Funding!AN7)</f>
        <v>1.30150971854634</v>
      </c>
      <c r="E191" s="20" t="s">
        <v>3050</v>
      </c>
      <c r="M191" s="20" t="s">
        <v>3125</v>
      </c>
    </row>
    <row r="192" customFormat="false" ht="17.15" hidden="false" customHeight="false" outlineLevel="0" collapsed="false">
      <c r="A192" s="0" t="s">
        <v>3126</v>
      </c>
      <c r="B192" s="0" t="s">
        <v>1301</v>
      </c>
      <c r="C192" s="0" t="n">
        <v>2026</v>
      </c>
      <c r="D192" s="41" t="n">
        <f aca="false">IF(Funding!AO7="","",Funding!AO7)</f>
        <v>0</v>
      </c>
      <c r="E192" s="20" t="s">
        <v>3053</v>
      </c>
      <c r="M192" s="20" t="s">
        <v>3127</v>
      </c>
    </row>
    <row r="193" customFormat="false" ht="17.15" hidden="false" customHeight="false" outlineLevel="0" collapsed="false">
      <c r="A193" s="0" t="s">
        <v>3128</v>
      </c>
      <c r="B193" s="0" t="s">
        <v>1301</v>
      </c>
      <c r="C193" s="0" t="n">
        <v>2026</v>
      </c>
      <c r="D193" s="41" t="n">
        <f aca="false">IF(Funding!AP7="","",Funding!AP7)</f>
        <v>0</v>
      </c>
      <c r="E193" s="20" t="s">
        <v>3056</v>
      </c>
      <c r="M193" s="20" t="s">
        <v>3129</v>
      </c>
    </row>
    <row r="194" customFormat="false" ht="17.15" hidden="false" customHeight="false" outlineLevel="0" collapsed="false">
      <c r="A194" s="0" t="s">
        <v>3130</v>
      </c>
      <c r="B194" s="0" t="s">
        <v>1301</v>
      </c>
      <c r="C194" s="0" t="n">
        <v>2026</v>
      </c>
      <c r="D194" s="41" t="n">
        <f aca="false">IF(Funding!AQ7="","",Funding!AQ7)</f>
        <v>0.175076126241498</v>
      </c>
      <c r="E194" s="20" t="s">
        <v>3059</v>
      </c>
      <c r="M194" s="20" t="s">
        <v>3131</v>
      </c>
    </row>
    <row r="195" customFormat="false" ht="17.15" hidden="false" customHeight="false" outlineLevel="0" collapsed="false">
      <c r="A195" s="0" t="s">
        <v>3132</v>
      </c>
      <c r="B195" s="0" t="s">
        <v>1301</v>
      </c>
      <c r="C195" s="0" t="n">
        <v>2026</v>
      </c>
      <c r="D195" s="36" t="n">
        <f aca="false">IF(Funding!E7="","",Funding!E7)</f>
        <v>182.935</v>
      </c>
      <c r="E195" s="20" t="s">
        <v>1737</v>
      </c>
      <c r="M195" s="20" t="s">
        <v>3133</v>
      </c>
    </row>
    <row r="196" customFormat="false" ht="17.15" hidden="false" customHeight="false" outlineLevel="0" collapsed="false">
      <c r="A196" s="0" t="s">
        <v>3134</v>
      </c>
      <c r="B196" s="0" t="s">
        <v>1301</v>
      </c>
      <c r="C196" s="0" t="n">
        <v>2026</v>
      </c>
      <c r="D196" s="36" t="str">
        <f aca="false">IF(Funding!I7="","",Funding!I7)</f>
        <v/>
      </c>
      <c r="E196" s="20" t="s">
        <v>1742</v>
      </c>
      <c r="M196" s="20" t="s">
        <v>3135</v>
      </c>
    </row>
    <row r="197" customFormat="false" ht="17.15" hidden="false" customHeight="false" outlineLevel="0" collapsed="false">
      <c r="A197" s="0" t="s">
        <v>3136</v>
      </c>
      <c r="B197" s="0" t="s">
        <v>1301</v>
      </c>
      <c r="C197" s="0" t="n">
        <v>2026</v>
      </c>
      <c r="D197" s="36" t="n">
        <f aca="false">IF(Funding!O7="","",Funding!O7)</f>
        <v>329.1</v>
      </c>
      <c r="E197" s="20" t="s">
        <v>3066</v>
      </c>
      <c r="M197" s="20" t="s">
        <v>3137</v>
      </c>
    </row>
    <row r="198" customFormat="false" ht="17.15" hidden="false" customHeight="false" outlineLevel="0" collapsed="false">
      <c r="A198" s="0" t="s">
        <v>3138</v>
      </c>
      <c r="B198" s="0" t="s">
        <v>1301</v>
      </c>
      <c r="C198" s="0" t="n">
        <v>2026</v>
      </c>
      <c r="D198" s="36" t="n">
        <f aca="false">N(Funding!J7)+N(Funding!K7)+N(Funding!L7)+N(Funding!M7)</f>
        <v>0</v>
      </c>
      <c r="E198" s="20" t="s">
        <v>3069</v>
      </c>
      <c r="M198" s="20" t="s">
        <v>3139</v>
      </c>
    </row>
    <row r="199" customFormat="false" ht="17.15" hidden="false" customHeight="false" outlineLevel="0" collapsed="false">
      <c r="A199" s="0" t="s">
        <v>3140</v>
      </c>
      <c r="B199" s="0" t="s">
        <v>1301</v>
      </c>
      <c r="C199" s="0" t="n">
        <v>2026</v>
      </c>
      <c r="D199" s="36" t="str">
        <f aca="false">IF(Funding!R7="","",Funding!R7)</f>
        <v/>
      </c>
      <c r="E199" s="20" t="s">
        <v>3072</v>
      </c>
      <c r="M199" s="20" t="s">
        <v>3141</v>
      </c>
    </row>
    <row r="200" customFormat="false" ht="17.15" hidden="false" customHeight="false" outlineLevel="0" collapsed="false">
      <c r="A200" s="0" t="s">
        <v>3142</v>
      </c>
      <c r="B200" s="0" t="s">
        <v>1302</v>
      </c>
      <c r="C200" s="0" t="n">
        <v>2024</v>
      </c>
      <c r="D200" s="36" t="str">
        <f aca="false">IF(Funding!W8="","",Funding!W8)</f>
        <v/>
      </c>
      <c r="E200" s="20" t="s">
        <v>3026</v>
      </c>
      <c r="M200" s="20" t="s">
        <v>3143</v>
      </c>
    </row>
    <row r="201" customFormat="false" ht="17.15" hidden="false" customHeight="false" outlineLevel="0" collapsed="false">
      <c r="A201" s="0" t="s">
        <v>3144</v>
      </c>
      <c r="B201" s="0" t="s">
        <v>1302</v>
      </c>
      <c r="C201" s="0" t="n">
        <v>2024</v>
      </c>
      <c r="D201" s="41" t="str">
        <f aca="false">IF(Funding!AC8="","",Funding!AC8)</f>
        <v/>
      </c>
      <c r="E201" s="20" t="s">
        <v>3029</v>
      </c>
      <c r="M201" s="20" t="s">
        <v>3145</v>
      </c>
    </row>
    <row r="202" customFormat="false" ht="17.15" hidden="false" customHeight="false" outlineLevel="0" collapsed="false">
      <c r="A202" s="0" t="s">
        <v>3146</v>
      </c>
      <c r="B202" s="0" t="s">
        <v>1302</v>
      </c>
      <c r="C202" s="0" t="n">
        <v>2024</v>
      </c>
      <c r="D202" s="41" t="str">
        <f aca="false">IF(Funding!AD8="","",Funding!AD8)</f>
        <v/>
      </c>
      <c r="E202" s="20" t="s">
        <v>3032</v>
      </c>
      <c r="M202" s="20" t="s">
        <v>3147</v>
      </c>
    </row>
    <row r="203" customFormat="false" ht="17.15" hidden="false" customHeight="false" outlineLevel="0" collapsed="false">
      <c r="A203" s="0" t="s">
        <v>3148</v>
      </c>
      <c r="B203" s="0" t="s">
        <v>1302</v>
      </c>
      <c r="C203" s="0" t="n">
        <v>2024</v>
      </c>
      <c r="D203" s="41" t="str">
        <f aca="false">IF(Funding!AE8="","",Funding!AE8)</f>
        <v/>
      </c>
      <c r="E203" s="20" t="s">
        <v>3035</v>
      </c>
      <c r="M203" s="20" t="s">
        <v>3149</v>
      </c>
    </row>
    <row r="204" customFormat="false" ht="17.15" hidden="false" customHeight="false" outlineLevel="0" collapsed="false">
      <c r="A204" s="0" t="s">
        <v>3150</v>
      </c>
      <c r="B204" s="0" t="s">
        <v>1302</v>
      </c>
      <c r="C204" s="0" t="n">
        <v>2024</v>
      </c>
      <c r="D204" s="41" t="str">
        <f aca="false">IF(Funding!AF8="","",Funding!AF8)</f>
        <v/>
      </c>
      <c r="E204" s="20" t="s">
        <v>3038</v>
      </c>
      <c r="M204" s="20" t="s">
        <v>3151</v>
      </c>
    </row>
    <row r="205" customFormat="false" ht="17.15" hidden="false" customHeight="false" outlineLevel="0" collapsed="false">
      <c r="A205" s="0" t="s">
        <v>3152</v>
      </c>
      <c r="B205" s="0" t="s">
        <v>1302</v>
      </c>
      <c r="C205" s="0" t="n">
        <v>2024</v>
      </c>
      <c r="D205" s="41" t="str">
        <f aca="false">IF(Funding!AG8="","",Funding!AG8)</f>
        <v/>
      </c>
      <c r="E205" s="20" t="s">
        <v>3041</v>
      </c>
      <c r="M205" s="20" t="s">
        <v>3153</v>
      </c>
    </row>
    <row r="206" customFormat="false" ht="17.15" hidden="false" customHeight="false" outlineLevel="0" collapsed="false">
      <c r="A206" s="0" t="s">
        <v>3154</v>
      </c>
      <c r="B206" s="0" t="s">
        <v>1302</v>
      </c>
      <c r="C206" s="0" t="n">
        <v>2024</v>
      </c>
      <c r="D206" s="36" t="n">
        <f aca="false">IF(Funding!AL8="","",Funding!AL8)</f>
        <v>0</v>
      </c>
      <c r="E206" s="20" t="s">
        <v>3044</v>
      </c>
      <c r="M206" s="20" t="s">
        <v>3155</v>
      </c>
    </row>
    <row r="207" customFormat="false" ht="17.15" hidden="false" customHeight="false" outlineLevel="0" collapsed="false">
      <c r="A207" s="0" t="s">
        <v>3156</v>
      </c>
      <c r="B207" s="0" t="s">
        <v>1302</v>
      </c>
      <c r="C207" s="0" t="n">
        <v>2024</v>
      </c>
      <c r="D207" s="41" t="str">
        <f aca="false">IF(Funding!AM8="","",Funding!AM8)</f>
        <v/>
      </c>
      <c r="E207" s="20" t="s">
        <v>3047</v>
      </c>
      <c r="M207" s="20" t="s">
        <v>3157</v>
      </c>
    </row>
    <row r="208" customFormat="false" ht="17.15" hidden="false" customHeight="false" outlineLevel="0" collapsed="false">
      <c r="A208" s="0" t="s">
        <v>3158</v>
      </c>
      <c r="B208" s="0" t="s">
        <v>1302</v>
      </c>
      <c r="C208" s="0" t="n">
        <v>2024</v>
      </c>
      <c r="D208" s="41" t="str">
        <f aca="false">IF(Funding!AN8="","",Funding!AN8)</f>
        <v/>
      </c>
      <c r="E208" s="20" t="s">
        <v>3050</v>
      </c>
      <c r="M208" s="20" t="s">
        <v>3159</v>
      </c>
    </row>
    <row r="209" customFormat="false" ht="17.15" hidden="false" customHeight="false" outlineLevel="0" collapsed="false">
      <c r="A209" s="0" t="s">
        <v>3160</v>
      </c>
      <c r="B209" s="0" t="s">
        <v>1302</v>
      </c>
      <c r="C209" s="0" t="n">
        <v>2024</v>
      </c>
      <c r="D209" s="41" t="str">
        <f aca="false">IF(Funding!AO8="","",Funding!AO8)</f>
        <v/>
      </c>
      <c r="E209" s="20" t="s">
        <v>3053</v>
      </c>
      <c r="M209" s="20" t="s">
        <v>3161</v>
      </c>
    </row>
    <row r="210" customFormat="false" ht="17.15" hidden="false" customHeight="false" outlineLevel="0" collapsed="false">
      <c r="A210" s="0" t="s">
        <v>3162</v>
      </c>
      <c r="B210" s="0" t="s">
        <v>1302</v>
      </c>
      <c r="C210" s="0" t="n">
        <v>2024</v>
      </c>
      <c r="D210" s="41" t="str">
        <f aca="false">IF(Funding!AP8="","",Funding!AP8)</f>
        <v/>
      </c>
      <c r="E210" s="20" t="s">
        <v>3056</v>
      </c>
      <c r="M210" s="20" t="s">
        <v>3163</v>
      </c>
    </row>
    <row r="211" customFormat="false" ht="17.15" hidden="false" customHeight="false" outlineLevel="0" collapsed="false">
      <c r="A211" s="0" t="s">
        <v>3164</v>
      </c>
      <c r="B211" s="0" t="s">
        <v>1302</v>
      </c>
      <c r="C211" s="0" t="n">
        <v>2024</v>
      </c>
      <c r="D211" s="41" t="str">
        <f aca="false">IF(Funding!AQ8="","",Funding!AQ8)</f>
        <v/>
      </c>
      <c r="E211" s="20" t="s">
        <v>3059</v>
      </c>
      <c r="M211" s="20" t="s">
        <v>3165</v>
      </c>
    </row>
    <row r="212" customFormat="false" ht="17.15" hidden="false" customHeight="false" outlineLevel="0" collapsed="false">
      <c r="A212" s="0" t="s">
        <v>3166</v>
      </c>
      <c r="B212" s="0" t="s">
        <v>1302</v>
      </c>
      <c r="C212" s="0" t="n">
        <v>2024</v>
      </c>
      <c r="D212" s="36" t="str">
        <f aca="false">IF(Funding!E8="","",Funding!E8)</f>
        <v/>
      </c>
      <c r="E212" s="20" t="s">
        <v>1737</v>
      </c>
      <c r="M212" s="20" t="s">
        <v>3167</v>
      </c>
    </row>
    <row r="213" customFormat="false" ht="17.15" hidden="false" customHeight="false" outlineLevel="0" collapsed="false">
      <c r="A213" s="0" t="s">
        <v>3168</v>
      </c>
      <c r="B213" s="0" t="s">
        <v>1302</v>
      </c>
      <c r="C213" s="0" t="n">
        <v>2024</v>
      </c>
      <c r="D213" s="36" t="str">
        <f aca="false">IF(Funding!I8="","",Funding!I8)</f>
        <v/>
      </c>
      <c r="E213" s="20" t="s">
        <v>1742</v>
      </c>
      <c r="M213" s="20" t="s">
        <v>3169</v>
      </c>
    </row>
    <row r="214" customFormat="false" ht="17.15" hidden="false" customHeight="false" outlineLevel="0" collapsed="false">
      <c r="A214" s="0" t="s">
        <v>3170</v>
      </c>
      <c r="B214" s="0" t="s">
        <v>1302</v>
      </c>
      <c r="C214" s="0" t="n">
        <v>2024</v>
      </c>
      <c r="D214" s="36" t="str">
        <f aca="false">IF(Funding!O8="","",Funding!O8)</f>
        <v/>
      </c>
      <c r="E214" s="20" t="s">
        <v>3066</v>
      </c>
      <c r="M214" s="20" t="s">
        <v>3171</v>
      </c>
    </row>
    <row r="215" customFormat="false" ht="17.15" hidden="false" customHeight="false" outlineLevel="0" collapsed="false">
      <c r="A215" s="0" t="s">
        <v>3172</v>
      </c>
      <c r="B215" s="0" t="s">
        <v>1302</v>
      </c>
      <c r="C215" s="0" t="n">
        <v>2024</v>
      </c>
      <c r="D215" s="36" t="n">
        <f aca="false">N(Funding!J8)+N(Funding!K8)+N(Funding!L8)+N(Funding!M8)</f>
        <v>0</v>
      </c>
      <c r="E215" s="20" t="s">
        <v>3069</v>
      </c>
      <c r="M215" s="20" t="s">
        <v>3173</v>
      </c>
    </row>
    <row r="216" customFormat="false" ht="17.15" hidden="false" customHeight="false" outlineLevel="0" collapsed="false">
      <c r="A216" s="0" t="s">
        <v>3174</v>
      </c>
      <c r="B216" s="0" t="s">
        <v>1302</v>
      </c>
      <c r="C216" s="0" t="n">
        <v>2024</v>
      </c>
      <c r="D216" s="36" t="str">
        <f aca="false">IF(Funding!R8="","",Funding!R8)</f>
        <v/>
      </c>
      <c r="E216" s="20" t="s">
        <v>3072</v>
      </c>
      <c r="M216" s="20" t="s">
        <v>3175</v>
      </c>
    </row>
    <row r="217" customFormat="false" ht="17.15" hidden="false" customHeight="false" outlineLevel="0" collapsed="false">
      <c r="A217" s="0" t="s">
        <v>3176</v>
      </c>
      <c r="B217" s="0" t="s">
        <v>1302</v>
      </c>
      <c r="C217" s="0" t="n">
        <v>2025</v>
      </c>
      <c r="D217" s="36" t="n">
        <f aca="false">IF(Funding!W9="","",Funding!W9)</f>
        <v>91.447</v>
      </c>
      <c r="E217" s="20" t="s">
        <v>3026</v>
      </c>
      <c r="M217" s="20" t="s">
        <v>3177</v>
      </c>
    </row>
    <row r="218" customFormat="false" ht="17.15" hidden="false" customHeight="false" outlineLevel="0" collapsed="false">
      <c r="A218" s="0" t="s">
        <v>3178</v>
      </c>
      <c r="B218" s="0" t="s">
        <v>1302</v>
      </c>
      <c r="C218" s="0" t="n">
        <v>2025</v>
      </c>
      <c r="D218" s="41" t="n">
        <f aca="false">IF(Funding!AC9="","",Funding!AC9)</f>
        <v>1</v>
      </c>
      <c r="E218" s="20" t="s">
        <v>3029</v>
      </c>
      <c r="M218" s="20" t="s">
        <v>3179</v>
      </c>
    </row>
    <row r="219" customFormat="false" ht="17.15" hidden="false" customHeight="false" outlineLevel="0" collapsed="false">
      <c r="A219" s="0" t="s">
        <v>3180</v>
      </c>
      <c r="B219" s="0" t="s">
        <v>1302</v>
      </c>
      <c r="C219" s="0" t="n">
        <v>2025</v>
      </c>
      <c r="D219" s="41" t="n">
        <f aca="false">IF(Funding!AD9="","",Funding!AD9)</f>
        <v>0</v>
      </c>
      <c r="E219" s="20" t="s">
        <v>3032</v>
      </c>
      <c r="M219" s="20" t="s">
        <v>3181</v>
      </c>
    </row>
    <row r="220" customFormat="false" ht="17.15" hidden="false" customHeight="false" outlineLevel="0" collapsed="false">
      <c r="A220" s="0" t="s">
        <v>3182</v>
      </c>
      <c r="B220" s="0" t="s">
        <v>1302</v>
      </c>
      <c r="C220" s="0" t="n">
        <v>2025</v>
      </c>
      <c r="D220" s="41" t="n">
        <f aca="false">IF(Funding!AE9="","",Funding!AE9)</f>
        <v>0</v>
      </c>
      <c r="E220" s="20" t="s">
        <v>3035</v>
      </c>
      <c r="M220" s="20" t="s">
        <v>3183</v>
      </c>
    </row>
    <row r="221" customFormat="false" ht="17.15" hidden="false" customHeight="false" outlineLevel="0" collapsed="false">
      <c r="A221" s="0" t="s">
        <v>3184</v>
      </c>
      <c r="B221" s="0" t="s">
        <v>1302</v>
      </c>
      <c r="C221" s="0" t="n">
        <v>2025</v>
      </c>
      <c r="D221" s="41" t="n">
        <f aca="false">IF(Funding!AF9="","",Funding!AF9)</f>
        <v>0</v>
      </c>
      <c r="E221" s="20" t="s">
        <v>3038</v>
      </c>
      <c r="M221" s="20" t="s">
        <v>3185</v>
      </c>
    </row>
    <row r="222" customFormat="false" ht="17.15" hidden="false" customHeight="false" outlineLevel="0" collapsed="false">
      <c r="A222" s="0" t="s">
        <v>3186</v>
      </c>
      <c r="B222" s="0" t="s">
        <v>1302</v>
      </c>
      <c r="C222" s="0" t="n">
        <v>2025</v>
      </c>
      <c r="D222" s="41" t="n">
        <f aca="false">IF(Funding!AG9="","",Funding!AG9)</f>
        <v>0</v>
      </c>
      <c r="E222" s="20" t="s">
        <v>3041</v>
      </c>
      <c r="M222" s="20" t="s">
        <v>3187</v>
      </c>
    </row>
    <row r="223" customFormat="false" ht="17.15" hidden="false" customHeight="false" outlineLevel="0" collapsed="false">
      <c r="A223" s="0" t="s">
        <v>3188</v>
      </c>
      <c r="B223" s="0" t="s">
        <v>1302</v>
      </c>
      <c r="C223" s="0" t="n">
        <v>2025</v>
      </c>
      <c r="D223" s="36" t="n">
        <f aca="false">IF(Funding!AL9="","",Funding!AL9)</f>
        <v>64.564</v>
      </c>
      <c r="E223" s="20" t="s">
        <v>3044</v>
      </c>
      <c r="M223" s="20" t="s">
        <v>3189</v>
      </c>
    </row>
    <row r="224" customFormat="false" ht="17.15" hidden="false" customHeight="false" outlineLevel="0" collapsed="false">
      <c r="A224" s="0" t="s">
        <v>3190</v>
      </c>
      <c r="B224" s="0" t="s">
        <v>1302</v>
      </c>
      <c r="C224" s="0" t="n">
        <v>2025</v>
      </c>
      <c r="D224" s="41" t="n">
        <f aca="false">IF(Funding!AM9="","",Funding!AM9)</f>
        <v>0.706026441545376</v>
      </c>
      <c r="E224" s="20" t="s">
        <v>3047</v>
      </c>
      <c r="M224" s="20" t="s">
        <v>3191</v>
      </c>
    </row>
    <row r="225" customFormat="false" ht="17.15" hidden="false" customHeight="false" outlineLevel="0" collapsed="false">
      <c r="A225" s="0" t="s">
        <v>3192</v>
      </c>
      <c r="B225" s="0" t="s">
        <v>1302</v>
      </c>
      <c r="C225" s="0" t="n">
        <v>2025</v>
      </c>
      <c r="D225" s="41" t="n">
        <f aca="false">IF(Funding!AN9="","",Funding!AN9)</f>
        <v>1.80118538607062</v>
      </c>
      <c r="E225" s="20" t="s">
        <v>3050</v>
      </c>
      <c r="M225" s="20" t="s">
        <v>3193</v>
      </c>
    </row>
    <row r="226" customFormat="false" ht="17.15" hidden="false" customHeight="false" outlineLevel="0" collapsed="false">
      <c r="A226" s="0" t="s">
        <v>3194</v>
      </c>
      <c r="B226" s="0" t="s">
        <v>1302</v>
      </c>
      <c r="C226" s="0" t="n">
        <v>2025</v>
      </c>
      <c r="D226" s="41" t="n">
        <f aca="false">IF(Funding!AO9="","",Funding!AO9)</f>
        <v>0.706026441545376</v>
      </c>
      <c r="E226" s="20" t="s">
        <v>3053</v>
      </c>
      <c r="M226" s="20" t="s">
        <v>3195</v>
      </c>
    </row>
    <row r="227" customFormat="false" ht="17.15" hidden="false" customHeight="false" outlineLevel="0" collapsed="false">
      <c r="A227" s="0" t="s">
        <v>3196</v>
      </c>
      <c r="B227" s="0" t="s">
        <v>1302</v>
      </c>
      <c r="C227" s="0" t="n">
        <v>2025</v>
      </c>
      <c r="D227" s="41" t="n">
        <f aca="false">IF(Funding!AP9="","",Funding!AP9)</f>
        <v>0</v>
      </c>
      <c r="E227" s="20" t="s">
        <v>3056</v>
      </c>
      <c r="M227" s="20" t="s">
        <v>3197</v>
      </c>
    </row>
    <row r="228" customFormat="false" ht="17.15" hidden="false" customHeight="false" outlineLevel="0" collapsed="false">
      <c r="A228" s="0" t="s">
        <v>3198</v>
      </c>
      <c r="B228" s="0" t="s">
        <v>1302</v>
      </c>
      <c r="C228" s="0" t="n">
        <v>2025</v>
      </c>
      <c r="D228" s="41" t="n">
        <f aca="false">IF(Funding!AQ9="","",Funding!AQ9)</f>
        <v>0</v>
      </c>
      <c r="E228" s="20" t="s">
        <v>3059</v>
      </c>
      <c r="M228" s="20" t="s">
        <v>3199</v>
      </c>
    </row>
    <row r="229" customFormat="false" ht="17.15" hidden="false" customHeight="false" outlineLevel="0" collapsed="false">
      <c r="A229" s="0" t="s">
        <v>3200</v>
      </c>
      <c r="B229" s="0" t="s">
        <v>1302</v>
      </c>
      <c r="C229" s="0" t="n">
        <v>2025</v>
      </c>
      <c r="D229" s="36" t="n">
        <f aca="false">IF(Funding!E9="","",Funding!E9)</f>
        <v>164.713</v>
      </c>
      <c r="E229" s="20" t="s">
        <v>1737</v>
      </c>
      <c r="M229" s="20" t="s">
        <v>3201</v>
      </c>
    </row>
    <row r="230" customFormat="false" ht="17.15" hidden="false" customHeight="false" outlineLevel="0" collapsed="false">
      <c r="A230" s="0" t="s">
        <v>3202</v>
      </c>
      <c r="B230" s="0" t="s">
        <v>1302</v>
      </c>
      <c r="C230" s="0" t="n">
        <v>2025</v>
      </c>
      <c r="D230" s="36" t="n">
        <f aca="false">IF(Funding!I9="","",Funding!I9)</f>
        <v>73.266</v>
      </c>
      <c r="E230" s="20" t="s">
        <v>1742</v>
      </c>
      <c r="M230" s="20" t="s">
        <v>3203</v>
      </c>
    </row>
    <row r="231" customFormat="false" ht="17.15" hidden="false" customHeight="false" outlineLevel="0" collapsed="false">
      <c r="A231" s="0" t="s">
        <v>3204</v>
      </c>
      <c r="B231" s="0" t="s">
        <v>1302</v>
      </c>
      <c r="C231" s="0" t="n">
        <v>2025</v>
      </c>
      <c r="D231" s="36" t="str">
        <f aca="false">IF(Funding!O9="","",Funding!O9)</f>
        <v/>
      </c>
      <c r="E231" s="20" t="s">
        <v>3066</v>
      </c>
      <c r="M231" s="20" t="s">
        <v>3205</v>
      </c>
    </row>
    <row r="232" customFormat="false" ht="17.15" hidden="false" customHeight="false" outlineLevel="0" collapsed="false">
      <c r="A232" s="0" t="s">
        <v>3206</v>
      </c>
      <c r="B232" s="0" t="s">
        <v>1302</v>
      </c>
      <c r="C232" s="0" t="n">
        <v>2025</v>
      </c>
      <c r="D232" s="36" t="n">
        <f aca="false">N(Funding!J9)+N(Funding!K9)+N(Funding!L9)+N(Funding!M9)</f>
        <v>64.564</v>
      </c>
      <c r="E232" s="20" t="s">
        <v>3069</v>
      </c>
      <c r="M232" s="20" t="s">
        <v>3207</v>
      </c>
    </row>
    <row r="233" customFormat="false" ht="17.15" hidden="false" customHeight="false" outlineLevel="0" collapsed="false">
      <c r="A233" s="0" t="s">
        <v>3208</v>
      </c>
      <c r="B233" s="0" t="s">
        <v>1302</v>
      </c>
      <c r="C233" s="0" t="n">
        <v>2025</v>
      </c>
      <c r="D233" s="36" t="str">
        <f aca="false">IF(Funding!R9="","",Funding!R9)</f>
        <v/>
      </c>
      <c r="E233" s="20" t="s">
        <v>3072</v>
      </c>
      <c r="M233" s="20" t="s">
        <v>3209</v>
      </c>
    </row>
    <row r="234" customFormat="false" ht="17.15" hidden="false" customHeight="false" outlineLevel="0" collapsed="false">
      <c r="A234" s="0" t="s">
        <v>3210</v>
      </c>
      <c r="B234" s="0" t="s">
        <v>1302</v>
      </c>
      <c r="C234" s="0" t="n">
        <v>2026</v>
      </c>
      <c r="D234" s="36" t="n">
        <f aca="false">IF(Funding!W10="","",Funding!W10)</f>
        <v>80.598</v>
      </c>
      <c r="E234" s="20" t="s">
        <v>3026</v>
      </c>
      <c r="M234" s="20" t="s">
        <v>3211</v>
      </c>
    </row>
    <row r="235" customFormat="false" ht="17.15" hidden="false" customHeight="false" outlineLevel="0" collapsed="false">
      <c r="A235" s="0" t="s">
        <v>3212</v>
      </c>
      <c r="B235" s="0" t="s">
        <v>1302</v>
      </c>
      <c r="C235" s="0" t="n">
        <v>2026</v>
      </c>
      <c r="D235" s="41" t="n">
        <f aca="false">IF(Funding!AC10="","",Funding!AC10)</f>
        <v>1</v>
      </c>
      <c r="E235" s="20" t="s">
        <v>3029</v>
      </c>
      <c r="M235" s="20" t="s">
        <v>3213</v>
      </c>
    </row>
    <row r="236" customFormat="false" ht="17.15" hidden="false" customHeight="false" outlineLevel="0" collapsed="false">
      <c r="A236" s="0" t="s">
        <v>3214</v>
      </c>
      <c r="B236" s="0" t="s">
        <v>1302</v>
      </c>
      <c r="C236" s="0" t="n">
        <v>2026</v>
      </c>
      <c r="D236" s="41" t="n">
        <f aca="false">IF(Funding!AD10="","",Funding!AD10)</f>
        <v>0</v>
      </c>
      <c r="E236" s="20" t="s">
        <v>3032</v>
      </c>
      <c r="M236" s="20" t="s">
        <v>3215</v>
      </c>
    </row>
    <row r="237" customFormat="false" ht="17.15" hidden="false" customHeight="false" outlineLevel="0" collapsed="false">
      <c r="A237" s="0" t="s">
        <v>3216</v>
      </c>
      <c r="B237" s="0" t="s">
        <v>1302</v>
      </c>
      <c r="C237" s="0" t="n">
        <v>2026</v>
      </c>
      <c r="D237" s="41" t="n">
        <f aca="false">IF(Funding!AE10="","",Funding!AE10)</f>
        <v>0</v>
      </c>
      <c r="E237" s="20" t="s">
        <v>3035</v>
      </c>
      <c r="M237" s="20" t="s">
        <v>3217</v>
      </c>
    </row>
    <row r="238" customFormat="false" ht="17.15" hidden="false" customHeight="false" outlineLevel="0" collapsed="false">
      <c r="A238" s="0" t="s">
        <v>3218</v>
      </c>
      <c r="B238" s="0" t="s">
        <v>1302</v>
      </c>
      <c r="C238" s="0" t="n">
        <v>2026</v>
      </c>
      <c r="D238" s="41" t="n">
        <f aca="false">IF(Funding!AF10="","",Funding!AF10)</f>
        <v>0</v>
      </c>
      <c r="E238" s="20" t="s">
        <v>3038</v>
      </c>
      <c r="M238" s="20" t="s">
        <v>3219</v>
      </c>
    </row>
    <row r="239" customFormat="false" ht="17.15" hidden="false" customHeight="false" outlineLevel="0" collapsed="false">
      <c r="A239" s="0" t="s">
        <v>3220</v>
      </c>
      <c r="B239" s="0" t="s">
        <v>1302</v>
      </c>
      <c r="C239" s="0" t="n">
        <v>2026</v>
      </c>
      <c r="D239" s="41" t="n">
        <f aca="false">IF(Funding!AG10="","",Funding!AG10)</f>
        <v>0</v>
      </c>
      <c r="E239" s="20" t="s">
        <v>3041</v>
      </c>
      <c r="M239" s="20" t="s">
        <v>3221</v>
      </c>
    </row>
    <row r="240" customFormat="false" ht="17.15" hidden="false" customHeight="false" outlineLevel="0" collapsed="false">
      <c r="A240" s="0" t="s">
        <v>3222</v>
      </c>
      <c r="B240" s="0" t="s">
        <v>1302</v>
      </c>
      <c r="C240" s="0" t="n">
        <v>2026</v>
      </c>
      <c r="D240" s="36" t="n">
        <f aca="false">IF(Funding!AL10="","",Funding!AL10)</f>
        <v>84.75</v>
      </c>
      <c r="E240" s="20" t="s">
        <v>3044</v>
      </c>
      <c r="M240" s="20" t="s">
        <v>3223</v>
      </c>
    </row>
    <row r="241" customFormat="false" ht="17.15" hidden="false" customHeight="false" outlineLevel="0" collapsed="false">
      <c r="A241" s="0" t="s">
        <v>3224</v>
      </c>
      <c r="B241" s="0" t="s">
        <v>1302</v>
      </c>
      <c r="C241" s="0" t="n">
        <v>2026</v>
      </c>
      <c r="D241" s="41" t="n">
        <f aca="false">IF(Funding!AM10="","",Funding!AM10)</f>
        <v>1.05151492592868</v>
      </c>
      <c r="E241" s="20" t="s">
        <v>3047</v>
      </c>
      <c r="M241" s="20" t="s">
        <v>3225</v>
      </c>
    </row>
    <row r="242" customFormat="false" ht="17.15" hidden="false" customHeight="false" outlineLevel="0" collapsed="false">
      <c r="A242" s="0" t="s">
        <v>3226</v>
      </c>
      <c r="B242" s="0" t="s">
        <v>1302</v>
      </c>
      <c r="C242" s="0" t="n">
        <v>2026</v>
      </c>
      <c r="D242" s="41" t="n">
        <f aca="false">IF(Funding!AN10="","",Funding!AN10)</f>
        <v>1.05286731680687</v>
      </c>
      <c r="E242" s="20" t="s">
        <v>3050</v>
      </c>
      <c r="M242" s="20" t="s">
        <v>3227</v>
      </c>
    </row>
    <row r="243" customFormat="false" ht="17.15" hidden="false" customHeight="false" outlineLevel="0" collapsed="false">
      <c r="A243" s="0" t="s">
        <v>3228</v>
      </c>
      <c r="B243" s="0" t="s">
        <v>1302</v>
      </c>
      <c r="C243" s="0" t="n">
        <v>2026</v>
      </c>
      <c r="D243" s="41" t="n">
        <f aca="false">IF(Funding!AO10="","",Funding!AO10)</f>
        <v>0</v>
      </c>
      <c r="E243" s="20" t="s">
        <v>3053</v>
      </c>
      <c r="M243" s="20" t="s">
        <v>3229</v>
      </c>
    </row>
    <row r="244" customFormat="false" ht="17.15" hidden="false" customHeight="false" outlineLevel="0" collapsed="false">
      <c r="A244" s="0" t="s">
        <v>3230</v>
      </c>
      <c r="B244" s="0" t="s">
        <v>1302</v>
      </c>
      <c r="C244" s="0" t="n">
        <v>2026</v>
      </c>
      <c r="D244" s="41" t="n">
        <f aca="false">IF(Funding!AP10="","",Funding!AP10)</f>
        <v>1.05151492592868</v>
      </c>
      <c r="E244" s="20" t="s">
        <v>3056</v>
      </c>
      <c r="M244" s="20" t="s">
        <v>3231</v>
      </c>
    </row>
    <row r="245" customFormat="false" ht="17.15" hidden="false" customHeight="false" outlineLevel="0" collapsed="false">
      <c r="A245" s="0" t="s">
        <v>3232</v>
      </c>
      <c r="B245" s="0" t="s">
        <v>1302</v>
      </c>
      <c r="C245" s="0" t="n">
        <v>2026</v>
      </c>
      <c r="D245" s="41" t="n">
        <f aca="false">IF(Funding!AQ10="","",Funding!AQ10)</f>
        <v>0</v>
      </c>
      <c r="E245" s="20" t="s">
        <v>3059</v>
      </c>
      <c r="M245" s="20" t="s">
        <v>3233</v>
      </c>
    </row>
    <row r="246" customFormat="false" ht="17.15" hidden="false" customHeight="false" outlineLevel="0" collapsed="false">
      <c r="A246" s="0" t="s">
        <v>3234</v>
      </c>
      <c r="B246" s="0" t="s">
        <v>1302</v>
      </c>
      <c r="C246" s="0" t="n">
        <v>2026</v>
      </c>
      <c r="D246" s="36" t="n">
        <f aca="false">IF(Funding!E10="","",Funding!E10)</f>
        <v>84.859</v>
      </c>
      <c r="E246" s="20" t="s">
        <v>1737</v>
      </c>
      <c r="M246" s="20" t="s">
        <v>3235</v>
      </c>
    </row>
    <row r="247" customFormat="false" ht="17.15" hidden="false" customHeight="false" outlineLevel="0" collapsed="false">
      <c r="A247" s="0" t="s">
        <v>3236</v>
      </c>
      <c r="B247" s="0" t="s">
        <v>1302</v>
      </c>
      <c r="C247" s="0" t="n">
        <v>2026</v>
      </c>
      <c r="D247" s="36" t="n">
        <f aca="false">IF(Funding!I10="","",Funding!I10)</f>
        <v>4.261</v>
      </c>
      <c r="E247" s="20" t="s">
        <v>1742</v>
      </c>
      <c r="M247" s="20" t="s">
        <v>3237</v>
      </c>
    </row>
    <row r="248" customFormat="false" ht="17.15" hidden="false" customHeight="false" outlineLevel="0" collapsed="false">
      <c r="A248" s="0" t="s">
        <v>3238</v>
      </c>
      <c r="B248" s="0" t="s">
        <v>1302</v>
      </c>
      <c r="C248" s="0" t="n">
        <v>2026</v>
      </c>
      <c r="D248" s="36" t="n">
        <f aca="false">IF(Funding!O10="","",Funding!O10)</f>
        <v>85.2</v>
      </c>
      <c r="E248" s="20" t="s">
        <v>3066</v>
      </c>
      <c r="M248" s="20" t="s">
        <v>3239</v>
      </c>
    </row>
    <row r="249" customFormat="false" ht="17.15" hidden="false" customHeight="false" outlineLevel="0" collapsed="false">
      <c r="A249" s="0" t="s">
        <v>3240</v>
      </c>
      <c r="B249" s="0" t="s">
        <v>1302</v>
      </c>
      <c r="C249" s="0" t="n">
        <v>2026</v>
      </c>
      <c r="D249" s="36" t="n">
        <f aca="false">N(Funding!J10)+N(Funding!K10)+N(Funding!L10)+N(Funding!M10)</f>
        <v>0</v>
      </c>
      <c r="E249" s="20" t="s">
        <v>3069</v>
      </c>
      <c r="M249" s="20" t="s">
        <v>3241</v>
      </c>
    </row>
    <row r="250" customFormat="false" ht="17.15" hidden="false" customHeight="false" outlineLevel="0" collapsed="false">
      <c r="A250" s="0" t="s">
        <v>3242</v>
      </c>
      <c r="B250" s="0" t="s">
        <v>1302</v>
      </c>
      <c r="C250" s="0" t="n">
        <v>2026</v>
      </c>
      <c r="D250" s="36" t="n">
        <f aca="false">IF(Funding!R10="","",Funding!R10)</f>
        <v>84.75</v>
      </c>
      <c r="E250" s="20" t="s">
        <v>3072</v>
      </c>
      <c r="M250" s="20" t="s">
        <v>3243</v>
      </c>
    </row>
    <row r="251" customFormat="false" ht="17.15" hidden="false" customHeight="false" outlineLevel="0" collapsed="false">
      <c r="A251" s="0" t="s">
        <v>3244</v>
      </c>
      <c r="B251" s="0" t="s">
        <v>1303</v>
      </c>
      <c r="C251" s="0" t="n">
        <v>2024</v>
      </c>
      <c r="D251" s="36" t="str">
        <f aca="false">IF(Funding!W11="","",Funding!W11)</f>
        <v/>
      </c>
      <c r="E251" s="20" t="s">
        <v>3026</v>
      </c>
      <c r="M251" s="20" t="s">
        <v>3245</v>
      </c>
    </row>
    <row r="252" customFormat="false" ht="17.15" hidden="false" customHeight="false" outlineLevel="0" collapsed="false">
      <c r="A252" s="0" t="s">
        <v>3246</v>
      </c>
      <c r="B252" s="0" t="s">
        <v>1303</v>
      </c>
      <c r="C252" s="0" t="n">
        <v>2024</v>
      </c>
      <c r="D252" s="41" t="str">
        <f aca="false">IF(Funding!AC11="","",Funding!AC11)</f>
        <v/>
      </c>
      <c r="E252" s="20" t="s">
        <v>3029</v>
      </c>
      <c r="M252" s="20" t="s">
        <v>3247</v>
      </c>
    </row>
    <row r="253" customFormat="false" ht="17.15" hidden="false" customHeight="false" outlineLevel="0" collapsed="false">
      <c r="A253" s="0" t="s">
        <v>3248</v>
      </c>
      <c r="B253" s="0" t="s">
        <v>1303</v>
      </c>
      <c r="C253" s="0" t="n">
        <v>2024</v>
      </c>
      <c r="D253" s="41" t="str">
        <f aca="false">IF(Funding!AD11="","",Funding!AD11)</f>
        <v/>
      </c>
      <c r="E253" s="20" t="s">
        <v>3032</v>
      </c>
      <c r="M253" s="20" t="s">
        <v>3249</v>
      </c>
    </row>
    <row r="254" customFormat="false" ht="17.15" hidden="false" customHeight="false" outlineLevel="0" collapsed="false">
      <c r="A254" s="0" t="s">
        <v>3250</v>
      </c>
      <c r="B254" s="0" t="s">
        <v>1303</v>
      </c>
      <c r="C254" s="0" t="n">
        <v>2024</v>
      </c>
      <c r="D254" s="41" t="str">
        <f aca="false">IF(Funding!AE11="","",Funding!AE11)</f>
        <v/>
      </c>
      <c r="E254" s="20" t="s">
        <v>3035</v>
      </c>
      <c r="M254" s="20" t="s">
        <v>3251</v>
      </c>
    </row>
    <row r="255" customFormat="false" ht="17.15" hidden="false" customHeight="false" outlineLevel="0" collapsed="false">
      <c r="A255" s="0" t="s">
        <v>3252</v>
      </c>
      <c r="B255" s="0" t="s">
        <v>1303</v>
      </c>
      <c r="C255" s="0" t="n">
        <v>2024</v>
      </c>
      <c r="D255" s="41" t="str">
        <f aca="false">IF(Funding!AF11="","",Funding!AF11)</f>
        <v/>
      </c>
      <c r="E255" s="20" t="s">
        <v>3038</v>
      </c>
      <c r="M255" s="20" t="s">
        <v>3253</v>
      </c>
    </row>
    <row r="256" customFormat="false" ht="17.15" hidden="false" customHeight="false" outlineLevel="0" collapsed="false">
      <c r="A256" s="0" t="s">
        <v>3254</v>
      </c>
      <c r="B256" s="0" t="s">
        <v>1303</v>
      </c>
      <c r="C256" s="0" t="n">
        <v>2024</v>
      </c>
      <c r="D256" s="41" t="str">
        <f aca="false">IF(Funding!AG11="","",Funding!AG11)</f>
        <v/>
      </c>
      <c r="E256" s="20" t="s">
        <v>3041</v>
      </c>
      <c r="M256" s="20" t="s">
        <v>3255</v>
      </c>
    </row>
    <row r="257" customFormat="false" ht="17.15" hidden="false" customHeight="false" outlineLevel="0" collapsed="false">
      <c r="A257" s="0" t="s">
        <v>3256</v>
      </c>
      <c r="B257" s="0" t="s">
        <v>1303</v>
      </c>
      <c r="C257" s="0" t="n">
        <v>2024</v>
      </c>
      <c r="D257" s="36" t="n">
        <f aca="false">IF(Funding!AL11="","",Funding!AL11)</f>
        <v>0</v>
      </c>
      <c r="E257" s="20" t="s">
        <v>3044</v>
      </c>
      <c r="M257" s="20" t="s">
        <v>3257</v>
      </c>
    </row>
    <row r="258" customFormat="false" ht="17.15" hidden="false" customHeight="false" outlineLevel="0" collapsed="false">
      <c r="A258" s="0" t="s">
        <v>3258</v>
      </c>
      <c r="B258" s="0" t="s">
        <v>1303</v>
      </c>
      <c r="C258" s="0" t="n">
        <v>2024</v>
      </c>
      <c r="D258" s="41" t="str">
        <f aca="false">IF(Funding!AM11="","",Funding!AM11)</f>
        <v/>
      </c>
      <c r="E258" s="20" t="s">
        <v>3047</v>
      </c>
      <c r="M258" s="20" t="s">
        <v>3259</v>
      </c>
    </row>
    <row r="259" customFormat="false" ht="17.15" hidden="false" customHeight="false" outlineLevel="0" collapsed="false">
      <c r="A259" s="0" t="s">
        <v>3260</v>
      </c>
      <c r="B259" s="0" t="s">
        <v>1303</v>
      </c>
      <c r="C259" s="0" t="n">
        <v>2024</v>
      </c>
      <c r="D259" s="41" t="str">
        <f aca="false">IF(Funding!AN11="","",Funding!AN11)</f>
        <v/>
      </c>
      <c r="E259" s="20" t="s">
        <v>3050</v>
      </c>
      <c r="M259" s="20" t="s">
        <v>3261</v>
      </c>
    </row>
    <row r="260" customFormat="false" ht="17.15" hidden="false" customHeight="false" outlineLevel="0" collapsed="false">
      <c r="A260" s="0" t="s">
        <v>3262</v>
      </c>
      <c r="B260" s="0" t="s">
        <v>1303</v>
      </c>
      <c r="C260" s="0" t="n">
        <v>2024</v>
      </c>
      <c r="D260" s="41" t="str">
        <f aca="false">IF(Funding!AO11="","",Funding!AO11)</f>
        <v/>
      </c>
      <c r="E260" s="20" t="s">
        <v>3053</v>
      </c>
      <c r="M260" s="20" t="s">
        <v>3263</v>
      </c>
    </row>
    <row r="261" customFormat="false" ht="17.15" hidden="false" customHeight="false" outlineLevel="0" collapsed="false">
      <c r="A261" s="0" t="s">
        <v>3264</v>
      </c>
      <c r="B261" s="0" t="s">
        <v>1303</v>
      </c>
      <c r="C261" s="0" t="n">
        <v>2024</v>
      </c>
      <c r="D261" s="41" t="str">
        <f aca="false">IF(Funding!AP11="","",Funding!AP11)</f>
        <v/>
      </c>
      <c r="E261" s="20" t="s">
        <v>3056</v>
      </c>
      <c r="M261" s="20" t="s">
        <v>3265</v>
      </c>
    </row>
    <row r="262" customFormat="false" ht="17.15" hidden="false" customHeight="false" outlineLevel="0" collapsed="false">
      <c r="A262" s="0" t="s">
        <v>3266</v>
      </c>
      <c r="B262" s="0" t="s">
        <v>1303</v>
      </c>
      <c r="C262" s="0" t="n">
        <v>2024</v>
      </c>
      <c r="D262" s="41" t="str">
        <f aca="false">IF(Funding!AQ11="","",Funding!AQ11)</f>
        <v/>
      </c>
      <c r="E262" s="20" t="s">
        <v>3059</v>
      </c>
      <c r="M262" s="20" t="s">
        <v>3267</v>
      </c>
    </row>
    <row r="263" customFormat="false" ht="17.15" hidden="false" customHeight="false" outlineLevel="0" collapsed="false">
      <c r="A263" s="0" t="s">
        <v>3268</v>
      </c>
      <c r="B263" s="0" t="s">
        <v>1303</v>
      </c>
      <c r="C263" s="0" t="n">
        <v>2024</v>
      </c>
      <c r="D263" s="36" t="str">
        <f aca="false">IF(Funding!E11="","",Funding!E11)</f>
        <v/>
      </c>
      <c r="E263" s="20" t="s">
        <v>1737</v>
      </c>
      <c r="M263" s="20" t="s">
        <v>3269</v>
      </c>
    </row>
    <row r="264" customFormat="false" ht="17.15" hidden="false" customHeight="false" outlineLevel="0" collapsed="false">
      <c r="A264" s="0" t="s">
        <v>3270</v>
      </c>
      <c r="B264" s="0" t="s">
        <v>1303</v>
      </c>
      <c r="C264" s="0" t="n">
        <v>2024</v>
      </c>
      <c r="D264" s="36" t="str">
        <f aca="false">IF(Funding!I11="","",Funding!I11)</f>
        <v/>
      </c>
      <c r="E264" s="20" t="s">
        <v>1742</v>
      </c>
      <c r="M264" s="20" t="s">
        <v>3271</v>
      </c>
    </row>
    <row r="265" customFormat="false" ht="17.15" hidden="false" customHeight="false" outlineLevel="0" collapsed="false">
      <c r="A265" s="0" t="s">
        <v>3272</v>
      </c>
      <c r="B265" s="0" t="s">
        <v>1303</v>
      </c>
      <c r="C265" s="0" t="n">
        <v>2024</v>
      </c>
      <c r="D265" s="36" t="str">
        <f aca="false">IF(Funding!O11="","",Funding!O11)</f>
        <v/>
      </c>
      <c r="E265" s="20" t="s">
        <v>3066</v>
      </c>
      <c r="M265" s="20" t="s">
        <v>3273</v>
      </c>
    </row>
    <row r="266" customFormat="false" ht="17.15" hidden="false" customHeight="false" outlineLevel="0" collapsed="false">
      <c r="A266" s="0" t="s">
        <v>3274</v>
      </c>
      <c r="B266" s="0" t="s">
        <v>1303</v>
      </c>
      <c r="C266" s="0" t="n">
        <v>2024</v>
      </c>
      <c r="D266" s="36" t="n">
        <f aca="false">N(Funding!J11)+N(Funding!K11)+N(Funding!L11)+N(Funding!M11)</f>
        <v>0</v>
      </c>
      <c r="E266" s="20" t="s">
        <v>3069</v>
      </c>
      <c r="M266" s="20" t="s">
        <v>3275</v>
      </c>
    </row>
    <row r="267" customFormat="false" ht="17.15" hidden="false" customHeight="false" outlineLevel="0" collapsed="false">
      <c r="A267" s="0" t="s">
        <v>3276</v>
      </c>
      <c r="B267" s="0" t="s">
        <v>1303</v>
      </c>
      <c r="C267" s="0" t="n">
        <v>2024</v>
      </c>
      <c r="D267" s="36" t="str">
        <f aca="false">IF(Funding!R11="","",Funding!R11)</f>
        <v/>
      </c>
      <c r="E267" s="20" t="s">
        <v>3072</v>
      </c>
      <c r="M267" s="20" t="s">
        <v>3277</v>
      </c>
    </row>
    <row r="268" customFormat="false" ht="17.15" hidden="false" customHeight="false" outlineLevel="0" collapsed="false">
      <c r="A268" s="0" t="s">
        <v>3278</v>
      </c>
      <c r="B268" s="0" t="s">
        <v>1303</v>
      </c>
      <c r="C268" s="0" t="n">
        <v>2025</v>
      </c>
      <c r="D268" s="36" t="n">
        <f aca="false">IF(Funding!W12="","",Funding!W12)</f>
        <v>131.231</v>
      </c>
      <c r="E268" s="20" t="s">
        <v>3026</v>
      </c>
      <c r="M268" s="20" t="s">
        <v>3279</v>
      </c>
    </row>
    <row r="269" customFormat="false" ht="17.15" hidden="false" customHeight="false" outlineLevel="0" collapsed="false">
      <c r="A269" s="0" t="s">
        <v>3280</v>
      </c>
      <c r="B269" s="0" t="s">
        <v>1303</v>
      </c>
      <c r="C269" s="0" t="n">
        <v>2025</v>
      </c>
      <c r="D269" s="41" t="n">
        <f aca="false">IF(Funding!AC12="","",Funding!AC12)</f>
        <v>0.977817741234922</v>
      </c>
      <c r="E269" s="20" t="s">
        <v>3029</v>
      </c>
      <c r="M269" s="20" t="s">
        <v>3281</v>
      </c>
    </row>
    <row r="270" customFormat="false" ht="17.15" hidden="false" customHeight="false" outlineLevel="0" collapsed="false">
      <c r="A270" s="0" t="s">
        <v>3282</v>
      </c>
      <c r="B270" s="0" t="s">
        <v>1303</v>
      </c>
      <c r="C270" s="0" t="n">
        <v>2025</v>
      </c>
      <c r="D270" s="41" t="n">
        <f aca="false">IF(Funding!AD12="","",Funding!AD12)</f>
        <v>0.0221822587650784</v>
      </c>
      <c r="E270" s="20" t="s">
        <v>3032</v>
      </c>
      <c r="M270" s="20" t="s">
        <v>3283</v>
      </c>
    </row>
    <row r="271" customFormat="false" ht="17.15" hidden="false" customHeight="false" outlineLevel="0" collapsed="false">
      <c r="A271" s="0" t="s">
        <v>3284</v>
      </c>
      <c r="B271" s="0" t="s">
        <v>1303</v>
      </c>
      <c r="C271" s="0" t="n">
        <v>2025</v>
      </c>
      <c r="D271" s="41" t="n">
        <f aca="false">IF(Funding!AE12="","",Funding!AE12)</f>
        <v>0</v>
      </c>
      <c r="E271" s="20" t="s">
        <v>3035</v>
      </c>
      <c r="M271" s="20" t="s">
        <v>3285</v>
      </c>
    </row>
    <row r="272" customFormat="false" ht="17.15" hidden="false" customHeight="false" outlineLevel="0" collapsed="false">
      <c r="A272" s="0" t="s">
        <v>3286</v>
      </c>
      <c r="B272" s="0" t="s">
        <v>1303</v>
      </c>
      <c r="C272" s="0" t="n">
        <v>2025</v>
      </c>
      <c r="D272" s="41" t="n">
        <f aca="false">IF(Funding!AF12="","",Funding!AF12)</f>
        <v>0</v>
      </c>
      <c r="E272" s="20" t="s">
        <v>3038</v>
      </c>
      <c r="M272" s="20" t="s">
        <v>3287</v>
      </c>
    </row>
    <row r="273" customFormat="false" ht="17.15" hidden="false" customHeight="false" outlineLevel="0" collapsed="false">
      <c r="A273" s="0" t="s">
        <v>3288</v>
      </c>
      <c r="B273" s="0" t="s">
        <v>1303</v>
      </c>
      <c r="C273" s="0" t="n">
        <v>2025</v>
      </c>
      <c r="D273" s="41" t="n">
        <f aca="false">IF(Funding!AG12="","",Funding!AG12)</f>
        <v>0</v>
      </c>
      <c r="E273" s="20" t="s">
        <v>3041</v>
      </c>
      <c r="M273" s="20" t="s">
        <v>3289</v>
      </c>
    </row>
    <row r="274" customFormat="false" ht="17.15" hidden="false" customHeight="false" outlineLevel="0" collapsed="false">
      <c r="A274" s="0" t="s">
        <v>3290</v>
      </c>
      <c r="B274" s="0" t="s">
        <v>1303</v>
      </c>
      <c r="C274" s="0" t="n">
        <v>2025</v>
      </c>
      <c r="D274" s="36" t="n">
        <f aca="false">IF(Funding!AL12="","",Funding!AL12)</f>
        <v>17.911</v>
      </c>
      <c r="E274" s="20" t="s">
        <v>3044</v>
      </c>
      <c r="M274" s="20" t="s">
        <v>3291</v>
      </c>
    </row>
    <row r="275" customFormat="false" ht="17.15" hidden="false" customHeight="false" outlineLevel="0" collapsed="false">
      <c r="A275" s="0" t="s">
        <v>3292</v>
      </c>
      <c r="B275" s="0" t="s">
        <v>1303</v>
      </c>
      <c r="C275" s="0" t="n">
        <v>2025</v>
      </c>
      <c r="D275" s="41" t="n">
        <f aca="false">IF(Funding!AM12="","",Funding!AM12)</f>
        <v>0.136484519663799</v>
      </c>
      <c r="E275" s="20" t="s">
        <v>3047</v>
      </c>
      <c r="M275" s="20" t="s">
        <v>3293</v>
      </c>
    </row>
    <row r="276" customFormat="false" ht="17.15" hidden="false" customHeight="false" outlineLevel="0" collapsed="false">
      <c r="A276" s="0" t="s">
        <v>3294</v>
      </c>
      <c r="B276" s="0" t="s">
        <v>1303</v>
      </c>
      <c r="C276" s="0" t="n">
        <v>2025</v>
      </c>
      <c r="D276" s="41" t="n">
        <f aca="false">IF(Funding!AN12="","",Funding!AN12)</f>
        <v>1.06311770846827</v>
      </c>
      <c r="E276" s="20" t="s">
        <v>3050</v>
      </c>
      <c r="M276" s="20" t="s">
        <v>3295</v>
      </c>
    </row>
    <row r="277" customFormat="false" ht="17.15" hidden="false" customHeight="false" outlineLevel="0" collapsed="false">
      <c r="A277" s="0" t="s">
        <v>3296</v>
      </c>
      <c r="B277" s="0" t="s">
        <v>1303</v>
      </c>
      <c r="C277" s="0" t="n">
        <v>2025</v>
      </c>
      <c r="D277" s="41" t="n">
        <f aca="false">IF(Funding!AO12="","",Funding!AO12)</f>
        <v>0.114302260898721</v>
      </c>
      <c r="E277" s="20" t="s">
        <v>3053</v>
      </c>
      <c r="M277" s="20" t="s">
        <v>3297</v>
      </c>
    </row>
    <row r="278" customFormat="false" ht="17.15" hidden="false" customHeight="false" outlineLevel="0" collapsed="false">
      <c r="A278" s="0" t="s">
        <v>3298</v>
      </c>
      <c r="B278" s="0" t="s">
        <v>1303</v>
      </c>
      <c r="C278" s="0" t="n">
        <v>2025</v>
      </c>
      <c r="D278" s="41" t="n">
        <f aca="false">IF(Funding!AP12="","",Funding!AP12)</f>
        <v>0</v>
      </c>
      <c r="E278" s="20" t="s">
        <v>3056</v>
      </c>
      <c r="M278" s="20" t="s">
        <v>3299</v>
      </c>
    </row>
    <row r="279" customFormat="false" ht="17.15" hidden="false" customHeight="false" outlineLevel="0" collapsed="false">
      <c r="A279" s="0" t="s">
        <v>3300</v>
      </c>
      <c r="B279" s="0" t="s">
        <v>1303</v>
      </c>
      <c r="C279" s="0" t="n">
        <v>2025</v>
      </c>
      <c r="D279" s="41" t="n">
        <f aca="false">IF(Funding!AQ12="","",Funding!AQ12)</f>
        <v>0.0221822587650784</v>
      </c>
      <c r="E279" s="20" t="s">
        <v>3059</v>
      </c>
      <c r="M279" s="20" t="s">
        <v>3301</v>
      </c>
    </row>
    <row r="280" customFormat="false" ht="17.15" hidden="false" customHeight="false" outlineLevel="0" collapsed="false">
      <c r="A280" s="0" t="s">
        <v>3302</v>
      </c>
      <c r="B280" s="0" t="s">
        <v>1303</v>
      </c>
      <c r="C280" s="0" t="n">
        <v>2025</v>
      </c>
      <c r="D280" s="36" t="n">
        <f aca="false">IF(Funding!E12="","",Funding!E12)</f>
        <v>139.514</v>
      </c>
      <c r="E280" s="20" t="s">
        <v>1737</v>
      </c>
      <c r="M280" s="20" t="s">
        <v>3303</v>
      </c>
    </row>
    <row r="281" customFormat="false" ht="17.15" hidden="false" customHeight="false" outlineLevel="0" collapsed="false">
      <c r="A281" s="0" t="s">
        <v>3304</v>
      </c>
      <c r="B281" s="0" t="s">
        <v>1303</v>
      </c>
      <c r="C281" s="0" t="n">
        <v>2025</v>
      </c>
      <c r="D281" s="36" t="n">
        <f aca="false">IF(Funding!I12="","",Funding!I12)</f>
        <v>11.194</v>
      </c>
      <c r="E281" s="20" t="s">
        <v>1742</v>
      </c>
      <c r="M281" s="20" t="s">
        <v>3305</v>
      </c>
    </row>
    <row r="282" customFormat="false" ht="17.15" hidden="false" customHeight="false" outlineLevel="0" collapsed="false">
      <c r="A282" s="0" t="s">
        <v>3306</v>
      </c>
      <c r="B282" s="0" t="s">
        <v>1303</v>
      </c>
      <c r="C282" s="0" t="n">
        <v>2025</v>
      </c>
      <c r="D282" s="36" t="n">
        <f aca="false">IF(Funding!O12="","",Funding!O12)</f>
        <v>96.4</v>
      </c>
      <c r="E282" s="20" t="s">
        <v>3066</v>
      </c>
      <c r="M282" s="20" t="s">
        <v>3307</v>
      </c>
    </row>
    <row r="283" customFormat="false" ht="17.15" hidden="false" customHeight="false" outlineLevel="0" collapsed="false">
      <c r="A283" s="0" t="s">
        <v>3308</v>
      </c>
      <c r="B283" s="0" t="s">
        <v>1303</v>
      </c>
      <c r="C283" s="0" t="n">
        <v>2025</v>
      </c>
      <c r="D283" s="36" t="n">
        <f aca="false">N(Funding!J12)+N(Funding!K12)+N(Funding!L12)+N(Funding!M12)</f>
        <v>15</v>
      </c>
      <c r="E283" s="20" t="s">
        <v>3069</v>
      </c>
      <c r="M283" s="20" t="s">
        <v>3309</v>
      </c>
    </row>
    <row r="284" customFormat="false" ht="17.15" hidden="false" customHeight="false" outlineLevel="0" collapsed="false">
      <c r="A284" s="0" t="s">
        <v>3310</v>
      </c>
      <c r="B284" s="0" t="s">
        <v>1303</v>
      </c>
      <c r="C284" s="0" t="n">
        <v>2025</v>
      </c>
      <c r="D284" s="36" t="str">
        <f aca="false">IF(Funding!R12="","",Funding!R12)</f>
        <v/>
      </c>
      <c r="E284" s="20" t="s">
        <v>3072</v>
      </c>
      <c r="M284" s="20" t="s">
        <v>3311</v>
      </c>
    </row>
    <row r="285" customFormat="false" ht="17.15" hidden="false" customHeight="false" outlineLevel="0" collapsed="false">
      <c r="A285" s="0" t="s">
        <v>3312</v>
      </c>
      <c r="B285" s="0" t="s">
        <v>1303</v>
      </c>
      <c r="C285" s="0" t="n">
        <v>2026</v>
      </c>
      <c r="D285" s="36" t="n">
        <f aca="false">IF(Funding!W13="","",Funding!W13)</f>
        <v>98.438</v>
      </c>
      <c r="E285" s="20" t="s">
        <v>3026</v>
      </c>
      <c r="M285" s="20" t="s">
        <v>3313</v>
      </c>
    </row>
    <row r="286" customFormat="false" ht="17.15" hidden="false" customHeight="false" outlineLevel="0" collapsed="false">
      <c r="A286" s="0" t="s">
        <v>3314</v>
      </c>
      <c r="B286" s="0" t="s">
        <v>1303</v>
      </c>
      <c r="C286" s="0" t="n">
        <v>2026</v>
      </c>
      <c r="D286" s="41" t="n">
        <f aca="false">IF(Funding!AC13="","",Funding!AC13)</f>
        <v>0.725522664011865</v>
      </c>
      <c r="E286" s="20" t="s">
        <v>3029</v>
      </c>
      <c r="M286" s="20" t="s">
        <v>3315</v>
      </c>
    </row>
    <row r="287" customFormat="false" ht="17.15" hidden="false" customHeight="false" outlineLevel="0" collapsed="false">
      <c r="A287" s="0" t="s">
        <v>3316</v>
      </c>
      <c r="B287" s="0" t="s">
        <v>1303</v>
      </c>
      <c r="C287" s="0" t="n">
        <v>2026</v>
      </c>
      <c r="D287" s="41" t="n">
        <f aca="false">IF(Funding!AD13="","",Funding!AD13)</f>
        <v>0.02161766797375</v>
      </c>
      <c r="E287" s="20" t="s">
        <v>3032</v>
      </c>
      <c r="M287" s="20" t="s">
        <v>3317</v>
      </c>
    </row>
    <row r="288" customFormat="false" ht="17.15" hidden="false" customHeight="false" outlineLevel="0" collapsed="false">
      <c r="A288" s="0" t="s">
        <v>3318</v>
      </c>
      <c r="B288" s="0" t="s">
        <v>1303</v>
      </c>
      <c r="C288" s="0" t="n">
        <v>2026</v>
      </c>
      <c r="D288" s="41" t="n">
        <f aca="false">IF(Funding!AE13="","",Funding!AE13)</f>
        <v>0</v>
      </c>
      <c r="E288" s="20" t="s">
        <v>3035</v>
      </c>
      <c r="M288" s="20" t="s">
        <v>3319</v>
      </c>
    </row>
    <row r="289" customFormat="false" ht="17.15" hidden="false" customHeight="false" outlineLevel="0" collapsed="false">
      <c r="A289" s="0" t="s">
        <v>3320</v>
      </c>
      <c r="B289" s="0" t="s">
        <v>1303</v>
      </c>
      <c r="C289" s="0" t="n">
        <v>2026</v>
      </c>
      <c r="D289" s="41" t="n">
        <f aca="false">IF(Funding!AF13="","",Funding!AF13)</f>
        <v>0.252859668014385</v>
      </c>
      <c r="E289" s="20" t="s">
        <v>3038</v>
      </c>
      <c r="M289" s="20" t="s">
        <v>3321</v>
      </c>
    </row>
    <row r="290" customFormat="false" ht="17.15" hidden="false" customHeight="false" outlineLevel="0" collapsed="false">
      <c r="A290" s="0" t="s">
        <v>3322</v>
      </c>
      <c r="B290" s="0" t="s">
        <v>1303</v>
      </c>
      <c r="C290" s="0" t="n">
        <v>2026</v>
      </c>
      <c r="D290" s="41" t="n">
        <f aca="false">IF(Funding!AG13="","",Funding!AG13)</f>
        <v>0</v>
      </c>
      <c r="E290" s="20" t="s">
        <v>3041</v>
      </c>
      <c r="M290" s="20" t="s">
        <v>3323</v>
      </c>
    </row>
    <row r="291" customFormat="false" ht="17.15" hidden="false" customHeight="false" outlineLevel="0" collapsed="false">
      <c r="A291" s="0" t="s">
        <v>3324</v>
      </c>
      <c r="B291" s="0" t="s">
        <v>1303</v>
      </c>
      <c r="C291" s="0" t="n">
        <v>2026</v>
      </c>
      <c r="D291" s="36" t="n">
        <f aca="false">IF(Funding!AL13="","",Funding!AL13)</f>
        <v>55.928</v>
      </c>
      <c r="E291" s="20" t="s">
        <v>3044</v>
      </c>
      <c r="M291" s="20" t="s">
        <v>3325</v>
      </c>
    </row>
    <row r="292" customFormat="false" ht="17.15" hidden="false" customHeight="false" outlineLevel="0" collapsed="false">
      <c r="A292" s="0" t="s">
        <v>3326</v>
      </c>
      <c r="B292" s="0" t="s">
        <v>1303</v>
      </c>
      <c r="C292" s="0" t="n">
        <v>2026</v>
      </c>
      <c r="D292" s="41" t="n">
        <f aca="false">IF(Funding!AM13="","",Funding!AM13)</f>
        <v>0.568154574452955</v>
      </c>
      <c r="E292" s="20" t="s">
        <v>3047</v>
      </c>
      <c r="M292" s="20" t="s">
        <v>3327</v>
      </c>
    </row>
    <row r="293" customFormat="false" ht="17.15" hidden="false" customHeight="false" outlineLevel="0" collapsed="false">
      <c r="A293" s="0" t="s">
        <v>3328</v>
      </c>
      <c r="B293" s="0" t="s">
        <v>1303</v>
      </c>
      <c r="C293" s="0" t="n">
        <v>2026</v>
      </c>
      <c r="D293" s="41" t="n">
        <f aca="false">IF(Funding!AN13="","",Funding!AN13)</f>
        <v>0.725522664011865</v>
      </c>
      <c r="E293" s="20" t="s">
        <v>3050</v>
      </c>
      <c r="M293" s="20" t="s">
        <v>3329</v>
      </c>
    </row>
    <row r="294" customFormat="false" ht="17.15" hidden="false" customHeight="false" outlineLevel="0" collapsed="false">
      <c r="A294" s="0" t="s">
        <v>3330</v>
      </c>
      <c r="B294" s="0" t="s">
        <v>1303</v>
      </c>
      <c r="C294" s="0" t="n">
        <v>2026</v>
      </c>
      <c r="D294" s="41" t="n">
        <f aca="false">IF(Funding!AO13="","",Funding!AO13)</f>
        <v>0.546536906479205</v>
      </c>
      <c r="E294" s="20" t="s">
        <v>3053</v>
      </c>
      <c r="M294" s="20" t="s">
        <v>3331</v>
      </c>
    </row>
    <row r="295" customFormat="false" ht="17.15" hidden="false" customHeight="false" outlineLevel="0" collapsed="false">
      <c r="A295" s="0" t="s">
        <v>3332</v>
      </c>
      <c r="B295" s="0" t="s">
        <v>1303</v>
      </c>
      <c r="C295" s="0" t="n">
        <v>2026</v>
      </c>
      <c r="D295" s="41" t="n">
        <f aca="false">IF(Funding!AP13="","",Funding!AP13)</f>
        <v>0</v>
      </c>
      <c r="E295" s="20" t="s">
        <v>3056</v>
      </c>
      <c r="M295" s="20" t="s">
        <v>3333</v>
      </c>
    </row>
    <row r="296" customFormat="false" ht="17.15" hidden="false" customHeight="false" outlineLevel="0" collapsed="false">
      <c r="A296" s="0" t="s">
        <v>3334</v>
      </c>
      <c r="B296" s="0" t="s">
        <v>1303</v>
      </c>
      <c r="C296" s="0" t="n">
        <v>2026</v>
      </c>
      <c r="D296" s="41" t="n">
        <f aca="false">IF(Funding!AQ13="","",Funding!AQ13)</f>
        <v>0.02161766797375</v>
      </c>
      <c r="E296" s="20" t="s">
        <v>3059</v>
      </c>
      <c r="M296" s="20" t="s">
        <v>3335</v>
      </c>
    </row>
    <row r="297" customFormat="false" ht="17.15" hidden="false" customHeight="false" outlineLevel="0" collapsed="false">
      <c r="A297" s="0" t="s">
        <v>3336</v>
      </c>
      <c r="B297" s="0" t="s">
        <v>1303</v>
      </c>
      <c r="C297" s="0" t="n">
        <v>2026</v>
      </c>
      <c r="D297" s="36" t="n">
        <f aca="false">IF(Funding!E13="","",Funding!E13)</f>
        <v>71.419</v>
      </c>
      <c r="E297" s="20" t="s">
        <v>1737</v>
      </c>
      <c r="M297" s="20" t="s">
        <v>3337</v>
      </c>
    </row>
    <row r="298" customFormat="false" ht="17.15" hidden="false" customHeight="false" outlineLevel="0" collapsed="false">
      <c r="A298" s="0" t="s">
        <v>3338</v>
      </c>
      <c r="B298" s="0" t="s">
        <v>1303</v>
      </c>
      <c r="C298" s="0" t="n">
        <v>2026</v>
      </c>
      <c r="D298" s="36" t="n">
        <f aca="false">IF(Funding!I13="","",Funding!I13)</f>
        <v>-24.891</v>
      </c>
      <c r="E298" s="20" t="s">
        <v>1742</v>
      </c>
      <c r="M298" s="20" t="s">
        <v>3339</v>
      </c>
    </row>
    <row r="299" customFormat="false" ht="17.15" hidden="false" customHeight="false" outlineLevel="0" collapsed="false">
      <c r="A299" s="0" t="s">
        <v>3340</v>
      </c>
      <c r="B299" s="0" t="s">
        <v>1303</v>
      </c>
      <c r="C299" s="0" t="n">
        <v>2026</v>
      </c>
      <c r="D299" s="36" t="n">
        <f aca="false">IF(Funding!O13="","",Funding!O13)</f>
        <v>137.214</v>
      </c>
      <c r="E299" s="20" t="s">
        <v>3066</v>
      </c>
      <c r="M299" s="20" t="s">
        <v>3341</v>
      </c>
    </row>
    <row r="300" customFormat="false" ht="17.15" hidden="false" customHeight="false" outlineLevel="0" collapsed="false">
      <c r="A300" s="0" t="s">
        <v>3342</v>
      </c>
      <c r="B300" s="0" t="s">
        <v>1303</v>
      </c>
      <c r="C300" s="0" t="n">
        <v>2026</v>
      </c>
      <c r="D300" s="36" t="n">
        <f aca="false">N(Funding!J13)+N(Funding!K13)+N(Funding!L13)+N(Funding!M13)</f>
        <v>53.8</v>
      </c>
      <c r="E300" s="20" t="s">
        <v>3069</v>
      </c>
      <c r="M300" s="20" t="s">
        <v>3343</v>
      </c>
    </row>
    <row r="301" customFormat="false" ht="17.15" hidden="false" customHeight="false" outlineLevel="0" collapsed="false">
      <c r="A301" s="0" t="s">
        <v>3344</v>
      </c>
      <c r="B301" s="0" t="s">
        <v>1303</v>
      </c>
      <c r="C301" s="0" t="n">
        <v>2026</v>
      </c>
      <c r="D301" s="36" t="str">
        <f aca="false">IF(Funding!R13="","",Funding!R13)</f>
        <v/>
      </c>
      <c r="E301" s="20" t="s">
        <v>3072</v>
      </c>
      <c r="M301" s="20" t="s">
        <v>3345</v>
      </c>
    </row>
    <row r="302" customFormat="false" ht="15" hidden="false" customHeight="false" outlineLevel="0" collapsed="false">
      <c r="A302" s="0" t="s">
        <v>3346</v>
      </c>
      <c r="B302" s="0" t="s">
        <v>1038</v>
      </c>
      <c r="C302" s="0" t="n">
        <v>2024</v>
      </c>
      <c r="D302" s="36" t="str">
        <f aca="false">IF(Funding!W14="","",Funding!W14)</f>
        <v/>
      </c>
      <c r="E302" s="20" t="s">
        <v>3026</v>
      </c>
      <c r="M302" s="20" t="s">
        <v>3347</v>
      </c>
    </row>
    <row r="303" customFormat="false" ht="15" hidden="false" customHeight="false" outlineLevel="0" collapsed="false">
      <c r="A303" s="0" t="s">
        <v>3348</v>
      </c>
      <c r="B303" s="0" t="s">
        <v>1038</v>
      </c>
      <c r="C303" s="0" t="n">
        <v>2024</v>
      </c>
      <c r="D303" s="41" t="str">
        <f aca="false">IF(Funding!AC14="","",Funding!AC14)</f>
        <v/>
      </c>
      <c r="E303" s="20" t="s">
        <v>3029</v>
      </c>
      <c r="M303" s="20" t="s">
        <v>3349</v>
      </c>
    </row>
    <row r="304" customFormat="false" ht="15" hidden="false" customHeight="false" outlineLevel="0" collapsed="false">
      <c r="A304" s="0" t="s">
        <v>3350</v>
      </c>
      <c r="B304" s="0" t="s">
        <v>1038</v>
      </c>
      <c r="C304" s="0" t="n">
        <v>2024</v>
      </c>
      <c r="D304" s="41" t="str">
        <f aca="false">IF(Funding!AD14="","",Funding!AD14)</f>
        <v/>
      </c>
      <c r="E304" s="20" t="s">
        <v>3032</v>
      </c>
      <c r="M304" s="20" t="s">
        <v>3351</v>
      </c>
    </row>
    <row r="305" customFormat="false" ht="15" hidden="false" customHeight="false" outlineLevel="0" collapsed="false">
      <c r="A305" s="0" t="s">
        <v>3352</v>
      </c>
      <c r="B305" s="0" t="s">
        <v>1038</v>
      </c>
      <c r="C305" s="0" t="n">
        <v>2024</v>
      </c>
      <c r="D305" s="41" t="str">
        <f aca="false">IF(Funding!AE14="","",Funding!AE14)</f>
        <v/>
      </c>
      <c r="E305" s="20" t="s">
        <v>3035</v>
      </c>
      <c r="M305" s="20" t="s">
        <v>3353</v>
      </c>
    </row>
    <row r="306" customFormat="false" ht="15" hidden="false" customHeight="false" outlineLevel="0" collapsed="false">
      <c r="A306" s="0" t="s">
        <v>3354</v>
      </c>
      <c r="B306" s="0" t="s">
        <v>1038</v>
      </c>
      <c r="C306" s="0" t="n">
        <v>2024</v>
      </c>
      <c r="D306" s="41" t="str">
        <f aca="false">IF(Funding!AF14="","",Funding!AF14)</f>
        <v/>
      </c>
      <c r="E306" s="20" t="s">
        <v>3038</v>
      </c>
      <c r="M306" s="20" t="s">
        <v>3355</v>
      </c>
    </row>
    <row r="307" customFormat="false" ht="15" hidden="false" customHeight="false" outlineLevel="0" collapsed="false">
      <c r="A307" s="0" t="s">
        <v>3356</v>
      </c>
      <c r="B307" s="0" t="s">
        <v>1038</v>
      </c>
      <c r="C307" s="0" t="n">
        <v>2024</v>
      </c>
      <c r="D307" s="41" t="str">
        <f aca="false">IF(Funding!AG14="","",Funding!AG14)</f>
        <v/>
      </c>
      <c r="E307" s="20" t="s">
        <v>3041</v>
      </c>
      <c r="M307" s="20" t="s">
        <v>3357</v>
      </c>
    </row>
    <row r="308" customFormat="false" ht="15" hidden="false" customHeight="false" outlineLevel="0" collapsed="false">
      <c r="A308" s="0" t="s">
        <v>3358</v>
      </c>
      <c r="B308" s="0" t="s">
        <v>1038</v>
      </c>
      <c r="C308" s="0" t="n">
        <v>2024</v>
      </c>
      <c r="D308" s="36" t="n">
        <f aca="false">IF(Funding!AL14="","",Funding!AL14)</f>
        <v>0</v>
      </c>
      <c r="E308" s="20" t="s">
        <v>3044</v>
      </c>
      <c r="M308" s="20" t="s">
        <v>3359</v>
      </c>
    </row>
    <row r="309" customFormat="false" ht="15" hidden="false" customHeight="false" outlineLevel="0" collapsed="false">
      <c r="A309" s="0" t="s">
        <v>3360</v>
      </c>
      <c r="B309" s="0" t="s">
        <v>1038</v>
      </c>
      <c r="C309" s="0" t="n">
        <v>2024</v>
      </c>
      <c r="D309" s="41" t="str">
        <f aca="false">IF(Funding!AM14="","",Funding!AM14)</f>
        <v/>
      </c>
      <c r="E309" s="20" t="s">
        <v>3047</v>
      </c>
      <c r="M309" s="20" t="s">
        <v>3361</v>
      </c>
    </row>
    <row r="310" customFormat="false" ht="15" hidden="false" customHeight="false" outlineLevel="0" collapsed="false">
      <c r="A310" s="0" t="s">
        <v>3362</v>
      </c>
      <c r="B310" s="0" t="s">
        <v>1038</v>
      </c>
      <c r="C310" s="0" t="n">
        <v>2024</v>
      </c>
      <c r="D310" s="41" t="str">
        <f aca="false">IF(Funding!AN14="","",Funding!AN14)</f>
        <v/>
      </c>
      <c r="E310" s="20" t="s">
        <v>3050</v>
      </c>
      <c r="M310" s="20" t="s">
        <v>3363</v>
      </c>
    </row>
    <row r="311" customFormat="false" ht="15" hidden="false" customHeight="false" outlineLevel="0" collapsed="false">
      <c r="A311" s="0" t="s">
        <v>3364</v>
      </c>
      <c r="B311" s="0" t="s">
        <v>1038</v>
      </c>
      <c r="C311" s="0" t="n">
        <v>2024</v>
      </c>
      <c r="D311" s="41" t="str">
        <f aca="false">IF(Funding!AO14="","",Funding!AO14)</f>
        <v/>
      </c>
      <c r="E311" s="20" t="s">
        <v>3053</v>
      </c>
      <c r="M311" s="20" t="s">
        <v>3365</v>
      </c>
    </row>
    <row r="312" customFormat="false" ht="15" hidden="false" customHeight="false" outlineLevel="0" collapsed="false">
      <c r="A312" s="0" t="s">
        <v>3366</v>
      </c>
      <c r="B312" s="0" t="s">
        <v>1038</v>
      </c>
      <c r="C312" s="0" t="n">
        <v>2024</v>
      </c>
      <c r="D312" s="41" t="str">
        <f aca="false">IF(Funding!AP14="","",Funding!AP14)</f>
        <v/>
      </c>
      <c r="E312" s="20" t="s">
        <v>3056</v>
      </c>
      <c r="M312" s="20" t="s">
        <v>3367</v>
      </c>
    </row>
    <row r="313" customFormat="false" ht="15" hidden="false" customHeight="false" outlineLevel="0" collapsed="false">
      <c r="A313" s="0" t="s">
        <v>3368</v>
      </c>
      <c r="B313" s="0" t="s">
        <v>1038</v>
      </c>
      <c r="C313" s="0" t="n">
        <v>2024</v>
      </c>
      <c r="D313" s="41" t="str">
        <f aca="false">IF(Funding!AQ14="","",Funding!AQ14)</f>
        <v/>
      </c>
      <c r="E313" s="20" t="s">
        <v>3059</v>
      </c>
      <c r="M313" s="20" t="s">
        <v>3369</v>
      </c>
    </row>
    <row r="314" customFormat="false" ht="15" hidden="false" customHeight="false" outlineLevel="0" collapsed="false">
      <c r="A314" s="0" t="s">
        <v>3370</v>
      </c>
      <c r="B314" s="0" t="s">
        <v>1038</v>
      </c>
      <c r="C314" s="0" t="n">
        <v>2024</v>
      </c>
      <c r="D314" s="36" t="str">
        <f aca="false">IF(Funding!E14="","",Funding!E14)</f>
        <v/>
      </c>
      <c r="E314" s="20" t="s">
        <v>1737</v>
      </c>
      <c r="M314" s="20" t="s">
        <v>3371</v>
      </c>
    </row>
    <row r="315" customFormat="false" ht="15" hidden="false" customHeight="false" outlineLevel="0" collapsed="false">
      <c r="A315" s="0" t="s">
        <v>3372</v>
      </c>
      <c r="B315" s="0" t="s">
        <v>1038</v>
      </c>
      <c r="C315" s="0" t="n">
        <v>2024</v>
      </c>
      <c r="D315" s="36" t="str">
        <f aca="false">IF(Funding!I14="","",Funding!I14)</f>
        <v/>
      </c>
      <c r="E315" s="20" t="s">
        <v>1742</v>
      </c>
      <c r="M315" s="20" t="s">
        <v>3373</v>
      </c>
    </row>
    <row r="316" customFormat="false" ht="15" hidden="false" customHeight="false" outlineLevel="0" collapsed="false">
      <c r="A316" s="0" t="s">
        <v>3374</v>
      </c>
      <c r="B316" s="0" t="s">
        <v>1038</v>
      </c>
      <c r="C316" s="0" t="n">
        <v>2024</v>
      </c>
      <c r="D316" s="36" t="str">
        <f aca="false">IF(Funding!O14="","",Funding!O14)</f>
        <v/>
      </c>
      <c r="E316" s="20" t="s">
        <v>3066</v>
      </c>
      <c r="M316" s="20" t="s">
        <v>3375</v>
      </c>
    </row>
    <row r="317" customFormat="false" ht="15" hidden="false" customHeight="false" outlineLevel="0" collapsed="false">
      <c r="A317" s="0" t="s">
        <v>3376</v>
      </c>
      <c r="B317" s="0" t="s">
        <v>1038</v>
      </c>
      <c r="C317" s="0" t="n">
        <v>2024</v>
      </c>
      <c r="D317" s="36" t="n">
        <f aca="false">N(Funding!J14)+N(Funding!K14)+N(Funding!L14)+N(Funding!M14)</f>
        <v>0</v>
      </c>
      <c r="E317" s="20" t="s">
        <v>3069</v>
      </c>
      <c r="M317" s="20" t="s">
        <v>3377</v>
      </c>
    </row>
    <row r="318" customFormat="false" ht="15" hidden="false" customHeight="false" outlineLevel="0" collapsed="false">
      <c r="A318" s="0" t="s">
        <v>3378</v>
      </c>
      <c r="B318" s="0" t="s">
        <v>1038</v>
      </c>
      <c r="C318" s="0" t="n">
        <v>2024</v>
      </c>
      <c r="D318" s="36" t="str">
        <f aca="false">IF(Funding!R14="","",Funding!R14)</f>
        <v/>
      </c>
      <c r="E318" s="20" t="s">
        <v>3072</v>
      </c>
      <c r="M318" s="20" t="s">
        <v>3379</v>
      </c>
    </row>
    <row r="319" customFormat="false" ht="15" hidden="false" customHeight="false" outlineLevel="0" collapsed="false">
      <c r="A319" s="0" t="s">
        <v>3380</v>
      </c>
      <c r="B319" s="0" t="s">
        <v>1038</v>
      </c>
      <c r="C319" s="0" t="n">
        <v>2025</v>
      </c>
      <c r="D319" s="36" t="n">
        <f aca="false">IF(Funding!W15="","",Funding!W15)</f>
        <v>72.215</v>
      </c>
      <c r="E319" s="20" t="s">
        <v>3026</v>
      </c>
      <c r="M319" s="20" t="s">
        <v>3381</v>
      </c>
    </row>
    <row r="320" customFormat="false" ht="15" hidden="false" customHeight="false" outlineLevel="0" collapsed="false">
      <c r="A320" s="0" t="s">
        <v>3382</v>
      </c>
      <c r="B320" s="0" t="s">
        <v>1038</v>
      </c>
      <c r="C320" s="0" t="n">
        <v>2025</v>
      </c>
      <c r="D320" s="41" t="n">
        <f aca="false">IF(Funding!AC15="","",Funding!AC15)</f>
        <v>1</v>
      </c>
      <c r="E320" s="20" t="s">
        <v>3029</v>
      </c>
      <c r="M320" s="20" t="s">
        <v>3383</v>
      </c>
    </row>
    <row r="321" customFormat="false" ht="15" hidden="false" customHeight="false" outlineLevel="0" collapsed="false">
      <c r="A321" s="0" t="s">
        <v>3384</v>
      </c>
      <c r="B321" s="0" t="s">
        <v>1038</v>
      </c>
      <c r="C321" s="0" t="n">
        <v>2025</v>
      </c>
      <c r="D321" s="41" t="n">
        <f aca="false">IF(Funding!AD15="","",Funding!AD15)</f>
        <v>0</v>
      </c>
      <c r="E321" s="20" t="s">
        <v>3032</v>
      </c>
      <c r="M321" s="20" t="s">
        <v>3385</v>
      </c>
    </row>
    <row r="322" customFormat="false" ht="15" hidden="false" customHeight="false" outlineLevel="0" collapsed="false">
      <c r="A322" s="0" t="s">
        <v>3386</v>
      </c>
      <c r="B322" s="0" t="s">
        <v>1038</v>
      </c>
      <c r="C322" s="0" t="n">
        <v>2025</v>
      </c>
      <c r="D322" s="41" t="n">
        <f aca="false">IF(Funding!AE15="","",Funding!AE15)</f>
        <v>0</v>
      </c>
      <c r="E322" s="20" t="s">
        <v>3035</v>
      </c>
      <c r="M322" s="20" t="s">
        <v>3387</v>
      </c>
    </row>
    <row r="323" customFormat="false" ht="15" hidden="false" customHeight="false" outlineLevel="0" collapsed="false">
      <c r="A323" s="0" t="s">
        <v>3388</v>
      </c>
      <c r="B323" s="0" t="s">
        <v>1038</v>
      </c>
      <c r="C323" s="0" t="n">
        <v>2025</v>
      </c>
      <c r="D323" s="41" t="n">
        <f aca="false">IF(Funding!AF15="","",Funding!AF15)</f>
        <v>0</v>
      </c>
      <c r="E323" s="20" t="s">
        <v>3038</v>
      </c>
      <c r="M323" s="20" t="s">
        <v>3389</v>
      </c>
    </row>
    <row r="324" customFormat="false" ht="15" hidden="false" customHeight="false" outlineLevel="0" collapsed="false">
      <c r="A324" s="0" t="s">
        <v>3390</v>
      </c>
      <c r="B324" s="0" t="s">
        <v>1038</v>
      </c>
      <c r="C324" s="0" t="n">
        <v>2025</v>
      </c>
      <c r="D324" s="41" t="n">
        <f aca="false">IF(Funding!AG15="","",Funding!AG15)</f>
        <v>0</v>
      </c>
      <c r="E324" s="20" t="s">
        <v>3041</v>
      </c>
      <c r="M324" s="20" t="s">
        <v>3391</v>
      </c>
    </row>
    <row r="325" customFormat="false" ht="15" hidden="false" customHeight="false" outlineLevel="0" collapsed="false">
      <c r="A325" s="0" t="s">
        <v>3392</v>
      </c>
      <c r="B325" s="0" t="s">
        <v>1038</v>
      </c>
      <c r="C325" s="0" t="n">
        <v>2025</v>
      </c>
      <c r="D325" s="36" t="n">
        <f aca="false">IF(Funding!AL15="","",Funding!AL15)</f>
        <v>57.3</v>
      </c>
      <c r="E325" s="20" t="s">
        <v>3044</v>
      </c>
      <c r="M325" s="20" t="s">
        <v>3393</v>
      </c>
    </row>
    <row r="326" customFormat="false" ht="15" hidden="false" customHeight="false" outlineLevel="0" collapsed="false">
      <c r="A326" s="0" t="s">
        <v>3394</v>
      </c>
      <c r="B326" s="0" t="s">
        <v>1038</v>
      </c>
      <c r="C326" s="0" t="n">
        <v>2025</v>
      </c>
      <c r="D326" s="41" t="n">
        <f aca="false">IF(Funding!AM15="","",Funding!AM15)</f>
        <v>0.793463961780793</v>
      </c>
      <c r="E326" s="20" t="s">
        <v>3047</v>
      </c>
      <c r="M326" s="20" t="s">
        <v>3395</v>
      </c>
    </row>
    <row r="327" customFormat="false" ht="15" hidden="false" customHeight="false" outlineLevel="0" collapsed="false">
      <c r="A327" s="0" t="s">
        <v>3396</v>
      </c>
      <c r="B327" s="0" t="s">
        <v>1038</v>
      </c>
      <c r="C327" s="0" t="n">
        <v>2025</v>
      </c>
      <c r="D327" s="41" t="n">
        <f aca="false">IF(Funding!AN15="","",Funding!AN15)</f>
        <v>1.6035449698816</v>
      </c>
      <c r="E327" s="20" t="s">
        <v>3050</v>
      </c>
      <c r="M327" s="20" t="s">
        <v>3397</v>
      </c>
    </row>
    <row r="328" customFormat="false" ht="15" hidden="false" customHeight="false" outlineLevel="0" collapsed="false">
      <c r="A328" s="0" t="s">
        <v>3398</v>
      </c>
      <c r="B328" s="0" t="s">
        <v>1038</v>
      </c>
      <c r="C328" s="0" t="n">
        <v>2025</v>
      </c>
      <c r="D328" s="41" t="n">
        <f aca="false">IF(Funding!AO15="","",Funding!AO15)</f>
        <v>0.415426158000415</v>
      </c>
      <c r="E328" s="20" t="s">
        <v>3053</v>
      </c>
      <c r="M328" s="20" t="s">
        <v>3399</v>
      </c>
    </row>
    <row r="329" customFormat="false" ht="15" hidden="false" customHeight="false" outlineLevel="0" collapsed="false">
      <c r="A329" s="0" t="s">
        <v>3400</v>
      </c>
      <c r="B329" s="0" t="s">
        <v>1038</v>
      </c>
      <c r="C329" s="0" t="n">
        <v>2025</v>
      </c>
      <c r="D329" s="41" t="n">
        <f aca="false">IF(Funding!AP15="","",Funding!AP15)</f>
        <v>0</v>
      </c>
      <c r="E329" s="20" t="s">
        <v>3056</v>
      </c>
      <c r="M329" s="20" t="s">
        <v>3401</v>
      </c>
    </row>
    <row r="330" customFormat="false" ht="15" hidden="false" customHeight="false" outlineLevel="0" collapsed="false">
      <c r="A330" s="0" t="s">
        <v>3402</v>
      </c>
      <c r="B330" s="0" t="s">
        <v>1038</v>
      </c>
      <c r="C330" s="0" t="n">
        <v>2025</v>
      </c>
      <c r="D330" s="41" t="n">
        <f aca="false">IF(Funding!AQ15="","",Funding!AQ15)</f>
        <v>0.378037803780378</v>
      </c>
      <c r="E330" s="20" t="s">
        <v>3059</v>
      </c>
      <c r="M330" s="20" t="s">
        <v>3403</v>
      </c>
    </row>
    <row r="331" customFormat="false" ht="15" hidden="false" customHeight="false" outlineLevel="0" collapsed="false">
      <c r="A331" s="0" t="s">
        <v>3404</v>
      </c>
      <c r="B331" s="0" t="s">
        <v>1038</v>
      </c>
      <c r="C331" s="0" t="n">
        <v>2025</v>
      </c>
      <c r="D331" s="36" t="n">
        <f aca="false">IF(Funding!E15="","",Funding!E15)</f>
        <v>115.8</v>
      </c>
      <c r="E331" s="20" t="s">
        <v>1737</v>
      </c>
      <c r="M331" s="20" t="s">
        <v>3405</v>
      </c>
    </row>
    <row r="332" customFormat="false" ht="15" hidden="false" customHeight="false" outlineLevel="0" collapsed="false">
      <c r="A332" s="0" t="s">
        <v>3406</v>
      </c>
      <c r="B332" s="0" t="s">
        <v>1038</v>
      </c>
      <c r="C332" s="0" t="n">
        <v>2025</v>
      </c>
      <c r="D332" s="36" t="n">
        <f aca="false">IF(Funding!I15="","",Funding!I15)</f>
        <v>43.585</v>
      </c>
      <c r="E332" s="20" t="s">
        <v>1742</v>
      </c>
      <c r="M332" s="20" t="s">
        <v>3407</v>
      </c>
    </row>
    <row r="333" customFormat="false" ht="15" hidden="false" customHeight="false" outlineLevel="0" collapsed="false">
      <c r="A333" s="0" t="s">
        <v>3408</v>
      </c>
      <c r="B333" s="0" t="s">
        <v>1038</v>
      </c>
      <c r="C333" s="0" t="n">
        <v>2025</v>
      </c>
      <c r="D333" s="36" t="str">
        <f aca="false">IF(Funding!O15="","",Funding!O15)</f>
        <v/>
      </c>
      <c r="E333" s="20" t="s">
        <v>3066</v>
      </c>
      <c r="M333" s="20" t="s">
        <v>3409</v>
      </c>
    </row>
    <row r="334" customFormat="false" ht="15" hidden="false" customHeight="false" outlineLevel="0" collapsed="false">
      <c r="A334" s="0" t="s">
        <v>3410</v>
      </c>
      <c r="B334" s="0" t="s">
        <v>1038</v>
      </c>
      <c r="C334" s="0" t="n">
        <v>2025</v>
      </c>
      <c r="D334" s="36" t="n">
        <f aca="false">N(Funding!J15)+N(Funding!K15)+N(Funding!L15)+N(Funding!M15)</f>
        <v>30</v>
      </c>
      <c r="E334" s="20" t="s">
        <v>3069</v>
      </c>
      <c r="M334" s="20" t="s">
        <v>3411</v>
      </c>
    </row>
    <row r="335" customFormat="false" ht="15" hidden="false" customHeight="false" outlineLevel="0" collapsed="false">
      <c r="A335" s="0" t="s">
        <v>3412</v>
      </c>
      <c r="B335" s="0" t="s">
        <v>1038</v>
      </c>
      <c r="C335" s="0" t="n">
        <v>2025</v>
      </c>
      <c r="D335" s="36" t="str">
        <f aca="false">IF(Funding!R15="","",Funding!R15)</f>
        <v/>
      </c>
      <c r="E335" s="20" t="s">
        <v>3072</v>
      </c>
      <c r="M335" s="20" t="s">
        <v>3413</v>
      </c>
    </row>
    <row r="336" customFormat="false" ht="15" hidden="false" customHeight="false" outlineLevel="0" collapsed="false">
      <c r="A336" s="0" t="s">
        <v>3414</v>
      </c>
      <c r="B336" s="0" t="s">
        <v>1038</v>
      </c>
      <c r="C336" s="0" t="n">
        <v>2026</v>
      </c>
      <c r="D336" s="36" t="n">
        <f aca="false">IF(Funding!W16="","",Funding!W16)</f>
        <v>85.824</v>
      </c>
      <c r="E336" s="20" t="s">
        <v>3026</v>
      </c>
      <c r="M336" s="20" t="s">
        <v>3415</v>
      </c>
    </row>
    <row r="337" customFormat="false" ht="15" hidden="false" customHeight="false" outlineLevel="0" collapsed="false">
      <c r="A337" s="0" t="s">
        <v>3416</v>
      </c>
      <c r="B337" s="0" t="s">
        <v>1038</v>
      </c>
      <c r="C337" s="0" t="n">
        <v>2026</v>
      </c>
      <c r="D337" s="41" t="n">
        <f aca="false">IF(Funding!AC16="","",Funding!AC16)</f>
        <v>0.96773629753915</v>
      </c>
      <c r="E337" s="20" t="s">
        <v>3029</v>
      </c>
      <c r="M337" s="20" t="s">
        <v>3417</v>
      </c>
    </row>
    <row r="338" customFormat="false" ht="15" hidden="false" customHeight="false" outlineLevel="0" collapsed="false">
      <c r="A338" s="0" t="s">
        <v>3418</v>
      </c>
      <c r="B338" s="0" t="s">
        <v>1038</v>
      </c>
      <c r="C338" s="0" t="n">
        <v>2026</v>
      </c>
      <c r="D338" s="41" t="n">
        <f aca="false">IF(Funding!AD16="","",Funding!AD16)</f>
        <v>0.03226370246085</v>
      </c>
      <c r="E338" s="20" t="s">
        <v>3032</v>
      </c>
      <c r="M338" s="20" t="s">
        <v>3419</v>
      </c>
    </row>
    <row r="339" customFormat="false" ht="15" hidden="false" customHeight="false" outlineLevel="0" collapsed="false">
      <c r="A339" s="0" t="s">
        <v>3420</v>
      </c>
      <c r="B339" s="0" t="s">
        <v>1038</v>
      </c>
      <c r="C339" s="0" t="n">
        <v>2026</v>
      </c>
      <c r="D339" s="41" t="n">
        <f aca="false">IF(Funding!AE16="","",Funding!AE16)</f>
        <v>0</v>
      </c>
      <c r="E339" s="20" t="s">
        <v>3035</v>
      </c>
      <c r="M339" s="20" t="s">
        <v>3421</v>
      </c>
    </row>
    <row r="340" customFormat="false" ht="15" hidden="false" customHeight="false" outlineLevel="0" collapsed="false">
      <c r="A340" s="0" t="s">
        <v>3422</v>
      </c>
      <c r="B340" s="0" t="s">
        <v>1038</v>
      </c>
      <c r="C340" s="0" t="n">
        <v>2026</v>
      </c>
      <c r="D340" s="41" t="n">
        <f aca="false">IF(Funding!AF16="","",Funding!AF16)</f>
        <v>0</v>
      </c>
      <c r="E340" s="20" t="s">
        <v>3038</v>
      </c>
      <c r="M340" s="20" t="s">
        <v>3423</v>
      </c>
    </row>
    <row r="341" customFormat="false" ht="15" hidden="false" customHeight="false" outlineLevel="0" collapsed="false">
      <c r="A341" s="0" t="s">
        <v>3424</v>
      </c>
      <c r="B341" s="0" t="s">
        <v>1038</v>
      </c>
      <c r="C341" s="0" t="n">
        <v>2026</v>
      </c>
      <c r="D341" s="41" t="n">
        <f aca="false">IF(Funding!AG16="","",Funding!AG16)</f>
        <v>0</v>
      </c>
      <c r="E341" s="20" t="s">
        <v>3041</v>
      </c>
      <c r="M341" s="20" t="s">
        <v>3425</v>
      </c>
    </row>
    <row r="342" customFormat="false" ht="15" hidden="false" customHeight="false" outlineLevel="0" collapsed="false">
      <c r="A342" s="0" t="s">
        <v>3426</v>
      </c>
      <c r="B342" s="0" t="s">
        <v>1038</v>
      </c>
      <c r="C342" s="0" t="n">
        <v>2026</v>
      </c>
      <c r="D342" s="36" t="n">
        <f aca="false">IF(Funding!AL16="","",Funding!AL16)</f>
        <v>41.769</v>
      </c>
      <c r="E342" s="20" t="s">
        <v>3044</v>
      </c>
      <c r="M342" s="20" t="s">
        <v>3427</v>
      </c>
    </row>
    <row r="343" customFormat="false" ht="15" hidden="false" customHeight="false" outlineLevel="0" collapsed="false">
      <c r="A343" s="0" t="s">
        <v>3428</v>
      </c>
      <c r="B343" s="0" t="s">
        <v>1038</v>
      </c>
      <c r="C343" s="0" t="n">
        <v>2026</v>
      </c>
      <c r="D343" s="41" t="n">
        <f aca="false">IF(Funding!AM16="","",Funding!AM16)</f>
        <v>0.486682046979866</v>
      </c>
      <c r="E343" s="20" t="s">
        <v>3047</v>
      </c>
      <c r="M343" s="20" t="s">
        <v>3429</v>
      </c>
    </row>
    <row r="344" customFormat="false" ht="15" hidden="false" customHeight="false" outlineLevel="0" collapsed="false">
      <c r="A344" s="0" t="s">
        <v>3430</v>
      </c>
      <c r="B344" s="0" t="s">
        <v>1038</v>
      </c>
      <c r="C344" s="0" t="n">
        <v>2026</v>
      </c>
      <c r="D344" s="41" t="n">
        <f aca="false">IF(Funding!AN16="","",Funding!AN16)</f>
        <v>1.12874021252796</v>
      </c>
      <c r="E344" s="20" t="s">
        <v>3050</v>
      </c>
      <c r="M344" s="20" t="s">
        <v>3431</v>
      </c>
    </row>
    <row r="345" customFormat="false" ht="15" hidden="false" customHeight="false" outlineLevel="0" collapsed="false">
      <c r="A345" s="0" t="s">
        <v>3432</v>
      </c>
      <c r="B345" s="0" t="s">
        <v>1038</v>
      </c>
      <c r="C345" s="0" t="n">
        <v>2026</v>
      </c>
      <c r="D345" s="41" t="n">
        <f aca="false">IF(Funding!AO16="","",Funding!AO16)</f>
        <v>0.291293810589113</v>
      </c>
      <c r="E345" s="20" t="s">
        <v>3053</v>
      </c>
      <c r="M345" s="20" t="s">
        <v>3433</v>
      </c>
    </row>
    <row r="346" customFormat="false" ht="15" hidden="false" customHeight="false" outlineLevel="0" collapsed="false">
      <c r="A346" s="0" t="s">
        <v>3434</v>
      </c>
      <c r="B346" s="0" t="s">
        <v>1038</v>
      </c>
      <c r="C346" s="0" t="n">
        <v>2026</v>
      </c>
      <c r="D346" s="41" t="n">
        <f aca="false">IF(Funding!AP16="","",Funding!AP16)</f>
        <v>0</v>
      </c>
      <c r="E346" s="20" t="s">
        <v>3056</v>
      </c>
      <c r="M346" s="20" t="s">
        <v>3435</v>
      </c>
    </row>
    <row r="347" customFormat="false" ht="15" hidden="false" customHeight="false" outlineLevel="0" collapsed="false">
      <c r="A347" s="0" t="s">
        <v>3436</v>
      </c>
      <c r="B347" s="0" t="s">
        <v>1038</v>
      </c>
      <c r="C347" s="0" t="n">
        <v>2026</v>
      </c>
      <c r="D347" s="41" t="n">
        <f aca="false">IF(Funding!AQ16="","",Funding!AQ16)</f>
        <v>0.195388236390753</v>
      </c>
      <c r="E347" s="20" t="s">
        <v>3059</v>
      </c>
      <c r="M347" s="20" t="s">
        <v>3437</v>
      </c>
    </row>
    <row r="348" customFormat="false" ht="15" hidden="false" customHeight="false" outlineLevel="0" collapsed="false">
      <c r="A348" s="0" t="s">
        <v>3438</v>
      </c>
      <c r="B348" s="0" t="s">
        <v>1038</v>
      </c>
      <c r="C348" s="0" t="n">
        <v>2026</v>
      </c>
      <c r="D348" s="36" t="n">
        <f aca="false">IF(Funding!E16="","",Funding!E16)</f>
        <v>96.873</v>
      </c>
      <c r="E348" s="20" t="s">
        <v>1737</v>
      </c>
      <c r="M348" s="20" t="s">
        <v>3439</v>
      </c>
    </row>
    <row r="349" customFormat="false" ht="15" hidden="false" customHeight="false" outlineLevel="0" collapsed="false">
      <c r="A349" s="0" t="s">
        <v>3440</v>
      </c>
      <c r="B349" s="0" t="s">
        <v>1038</v>
      </c>
      <c r="C349" s="0" t="n">
        <v>2026</v>
      </c>
      <c r="D349" s="36" t="n">
        <f aca="false">IF(Funding!I16="","",Funding!I16)</f>
        <v>11.049</v>
      </c>
      <c r="E349" s="20" t="s">
        <v>1742</v>
      </c>
      <c r="M349" s="20" t="s">
        <v>3441</v>
      </c>
    </row>
    <row r="350" customFormat="false" ht="15" hidden="false" customHeight="false" outlineLevel="0" collapsed="false">
      <c r="A350" s="0" t="s">
        <v>3442</v>
      </c>
      <c r="B350" s="0" t="s">
        <v>1038</v>
      </c>
      <c r="C350" s="0" t="n">
        <v>2026</v>
      </c>
      <c r="D350" s="36" t="n">
        <f aca="false">IF(Funding!O16="","",Funding!O16)</f>
        <v>355.73</v>
      </c>
      <c r="E350" s="20" t="s">
        <v>3066</v>
      </c>
      <c r="M350" s="20" t="s">
        <v>3443</v>
      </c>
    </row>
    <row r="351" customFormat="false" ht="15" hidden="false" customHeight="false" outlineLevel="0" collapsed="false">
      <c r="A351" s="0" t="s">
        <v>3444</v>
      </c>
      <c r="B351" s="0" t="s">
        <v>1038</v>
      </c>
      <c r="C351" s="0" t="n">
        <v>2026</v>
      </c>
      <c r="D351" s="36" t="n">
        <f aca="false">N(Funding!J16)+N(Funding!K16)+N(Funding!L16)+N(Funding!M16)</f>
        <v>25</v>
      </c>
      <c r="E351" s="20" t="s">
        <v>3069</v>
      </c>
      <c r="M351" s="20" t="s">
        <v>3445</v>
      </c>
    </row>
    <row r="352" customFormat="false" ht="15" hidden="false" customHeight="false" outlineLevel="0" collapsed="false">
      <c r="A352" s="0" t="s">
        <v>3446</v>
      </c>
      <c r="B352" s="0" t="s">
        <v>1038</v>
      </c>
      <c r="C352" s="0" t="n">
        <v>2026</v>
      </c>
      <c r="D352" s="36" t="str">
        <f aca="false">IF(Funding!R16="","",Funding!R16)</f>
        <v/>
      </c>
      <c r="E352" s="20" t="s">
        <v>3072</v>
      </c>
      <c r="M352" s="20" t="s">
        <v>3447</v>
      </c>
    </row>
    <row r="353" customFormat="false" ht="17.15" hidden="false" customHeight="false" outlineLevel="0" collapsed="false">
      <c r="A353" s="0" t="s">
        <v>3448</v>
      </c>
      <c r="B353" s="0" t="s">
        <v>1304</v>
      </c>
      <c r="C353" s="0" t="n">
        <v>2024</v>
      </c>
      <c r="D353" s="36" t="str">
        <f aca="false">IF(Funding!W17="","",Funding!W17)</f>
        <v/>
      </c>
      <c r="E353" s="20" t="s">
        <v>3026</v>
      </c>
      <c r="M353" s="20" t="s">
        <v>3449</v>
      </c>
    </row>
    <row r="354" customFormat="false" ht="17.15" hidden="false" customHeight="false" outlineLevel="0" collapsed="false">
      <c r="A354" s="0" t="s">
        <v>3450</v>
      </c>
      <c r="B354" s="0" t="s">
        <v>1304</v>
      </c>
      <c r="C354" s="0" t="n">
        <v>2024</v>
      </c>
      <c r="D354" s="41" t="str">
        <f aca="false">IF(Funding!AC17="","",Funding!AC17)</f>
        <v/>
      </c>
      <c r="E354" s="20" t="s">
        <v>3029</v>
      </c>
      <c r="M354" s="20" t="s">
        <v>3451</v>
      </c>
    </row>
    <row r="355" customFormat="false" ht="17.15" hidden="false" customHeight="false" outlineLevel="0" collapsed="false">
      <c r="A355" s="0" t="s">
        <v>3452</v>
      </c>
      <c r="B355" s="0" t="s">
        <v>1304</v>
      </c>
      <c r="C355" s="0" t="n">
        <v>2024</v>
      </c>
      <c r="D355" s="41" t="str">
        <f aca="false">IF(Funding!AD17="","",Funding!AD17)</f>
        <v/>
      </c>
      <c r="E355" s="20" t="s">
        <v>3032</v>
      </c>
      <c r="M355" s="20" t="s">
        <v>3453</v>
      </c>
    </row>
    <row r="356" customFormat="false" ht="17.15" hidden="false" customHeight="false" outlineLevel="0" collapsed="false">
      <c r="A356" s="0" t="s">
        <v>3454</v>
      </c>
      <c r="B356" s="0" t="s">
        <v>1304</v>
      </c>
      <c r="C356" s="0" t="n">
        <v>2024</v>
      </c>
      <c r="D356" s="41" t="str">
        <f aca="false">IF(Funding!AE17="","",Funding!AE17)</f>
        <v/>
      </c>
      <c r="E356" s="20" t="s">
        <v>3035</v>
      </c>
      <c r="M356" s="20" t="s">
        <v>3455</v>
      </c>
    </row>
    <row r="357" customFormat="false" ht="17.15" hidden="false" customHeight="false" outlineLevel="0" collapsed="false">
      <c r="A357" s="0" t="s">
        <v>3456</v>
      </c>
      <c r="B357" s="0" t="s">
        <v>1304</v>
      </c>
      <c r="C357" s="0" t="n">
        <v>2024</v>
      </c>
      <c r="D357" s="41" t="str">
        <f aca="false">IF(Funding!AF17="","",Funding!AF17)</f>
        <v/>
      </c>
      <c r="E357" s="20" t="s">
        <v>3038</v>
      </c>
      <c r="M357" s="20" t="s">
        <v>3457</v>
      </c>
    </row>
    <row r="358" customFormat="false" ht="17.15" hidden="false" customHeight="false" outlineLevel="0" collapsed="false">
      <c r="A358" s="0" t="s">
        <v>3458</v>
      </c>
      <c r="B358" s="0" t="s">
        <v>1304</v>
      </c>
      <c r="C358" s="0" t="n">
        <v>2024</v>
      </c>
      <c r="D358" s="41" t="str">
        <f aca="false">IF(Funding!AG17="","",Funding!AG17)</f>
        <v/>
      </c>
      <c r="E358" s="20" t="s">
        <v>3041</v>
      </c>
      <c r="M358" s="20" t="s">
        <v>3459</v>
      </c>
    </row>
    <row r="359" customFormat="false" ht="17.15" hidden="false" customHeight="false" outlineLevel="0" collapsed="false">
      <c r="A359" s="0" t="s">
        <v>3460</v>
      </c>
      <c r="B359" s="0" t="s">
        <v>1304</v>
      </c>
      <c r="C359" s="0" t="n">
        <v>2024</v>
      </c>
      <c r="D359" s="36" t="n">
        <f aca="false">IF(Funding!AL17="","",Funding!AL17)</f>
        <v>0</v>
      </c>
      <c r="E359" s="20" t="s">
        <v>3044</v>
      </c>
      <c r="M359" s="20" t="s">
        <v>3461</v>
      </c>
    </row>
    <row r="360" customFormat="false" ht="17.15" hidden="false" customHeight="false" outlineLevel="0" collapsed="false">
      <c r="A360" s="0" t="s">
        <v>3462</v>
      </c>
      <c r="B360" s="0" t="s">
        <v>1304</v>
      </c>
      <c r="C360" s="0" t="n">
        <v>2024</v>
      </c>
      <c r="D360" s="41" t="str">
        <f aca="false">IF(Funding!AM17="","",Funding!AM17)</f>
        <v/>
      </c>
      <c r="E360" s="20" t="s">
        <v>3047</v>
      </c>
      <c r="M360" s="20" t="s">
        <v>3463</v>
      </c>
    </row>
    <row r="361" customFormat="false" ht="17.15" hidden="false" customHeight="false" outlineLevel="0" collapsed="false">
      <c r="A361" s="0" t="s">
        <v>3464</v>
      </c>
      <c r="B361" s="0" t="s">
        <v>1304</v>
      </c>
      <c r="C361" s="0" t="n">
        <v>2024</v>
      </c>
      <c r="D361" s="41" t="str">
        <f aca="false">IF(Funding!AN17="","",Funding!AN17)</f>
        <v/>
      </c>
      <c r="E361" s="20" t="s">
        <v>3050</v>
      </c>
      <c r="M361" s="20" t="s">
        <v>3465</v>
      </c>
    </row>
    <row r="362" customFormat="false" ht="17.15" hidden="false" customHeight="false" outlineLevel="0" collapsed="false">
      <c r="A362" s="0" t="s">
        <v>3466</v>
      </c>
      <c r="B362" s="0" t="s">
        <v>1304</v>
      </c>
      <c r="C362" s="0" t="n">
        <v>2024</v>
      </c>
      <c r="D362" s="41" t="str">
        <f aca="false">IF(Funding!AO17="","",Funding!AO17)</f>
        <v/>
      </c>
      <c r="E362" s="20" t="s">
        <v>3053</v>
      </c>
      <c r="M362" s="20" t="s">
        <v>3467</v>
      </c>
    </row>
    <row r="363" customFormat="false" ht="17.15" hidden="false" customHeight="false" outlineLevel="0" collapsed="false">
      <c r="A363" s="0" t="s">
        <v>3468</v>
      </c>
      <c r="B363" s="0" t="s">
        <v>1304</v>
      </c>
      <c r="C363" s="0" t="n">
        <v>2024</v>
      </c>
      <c r="D363" s="41" t="str">
        <f aca="false">IF(Funding!AP17="","",Funding!AP17)</f>
        <v/>
      </c>
      <c r="E363" s="20" t="s">
        <v>3056</v>
      </c>
      <c r="M363" s="20" t="s">
        <v>3469</v>
      </c>
    </row>
    <row r="364" customFormat="false" ht="17.15" hidden="false" customHeight="false" outlineLevel="0" collapsed="false">
      <c r="A364" s="0" t="s">
        <v>3470</v>
      </c>
      <c r="B364" s="0" t="s">
        <v>1304</v>
      </c>
      <c r="C364" s="0" t="n">
        <v>2024</v>
      </c>
      <c r="D364" s="41" t="str">
        <f aca="false">IF(Funding!AQ17="","",Funding!AQ17)</f>
        <v/>
      </c>
      <c r="E364" s="20" t="s">
        <v>3059</v>
      </c>
      <c r="M364" s="20" t="s">
        <v>3471</v>
      </c>
    </row>
    <row r="365" customFormat="false" ht="17.15" hidden="false" customHeight="false" outlineLevel="0" collapsed="false">
      <c r="A365" s="0" t="s">
        <v>3472</v>
      </c>
      <c r="B365" s="0" t="s">
        <v>1304</v>
      </c>
      <c r="C365" s="0" t="n">
        <v>2024</v>
      </c>
      <c r="D365" s="36" t="str">
        <f aca="false">IF(Funding!E17="","",Funding!E17)</f>
        <v/>
      </c>
      <c r="E365" s="20" t="s">
        <v>1737</v>
      </c>
      <c r="M365" s="20" t="s">
        <v>3473</v>
      </c>
    </row>
    <row r="366" customFormat="false" ht="17.15" hidden="false" customHeight="false" outlineLevel="0" collapsed="false">
      <c r="A366" s="0" t="s">
        <v>3474</v>
      </c>
      <c r="B366" s="0" t="s">
        <v>1304</v>
      </c>
      <c r="C366" s="0" t="n">
        <v>2024</v>
      </c>
      <c r="D366" s="36" t="str">
        <f aca="false">IF(Funding!I17="","",Funding!I17)</f>
        <v/>
      </c>
      <c r="E366" s="20" t="s">
        <v>1742</v>
      </c>
      <c r="M366" s="20" t="s">
        <v>3475</v>
      </c>
    </row>
    <row r="367" customFormat="false" ht="17.15" hidden="false" customHeight="false" outlineLevel="0" collapsed="false">
      <c r="A367" s="0" t="s">
        <v>3476</v>
      </c>
      <c r="B367" s="0" t="s">
        <v>1304</v>
      </c>
      <c r="C367" s="0" t="n">
        <v>2024</v>
      </c>
      <c r="D367" s="36" t="str">
        <f aca="false">IF(Funding!O17="","",Funding!O17)</f>
        <v/>
      </c>
      <c r="E367" s="20" t="s">
        <v>3066</v>
      </c>
      <c r="M367" s="20" t="s">
        <v>3477</v>
      </c>
    </row>
    <row r="368" customFormat="false" ht="17.15" hidden="false" customHeight="false" outlineLevel="0" collapsed="false">
      <c r="A368" s="0" t="s">
        <v>3478</v>
      </c>
      <c r="B368" s="0" t="s">
        <v>1304</v>
      </c>
      <c r="C368" s="0" t="n">
        <v>2024</v>
      </c>
      <c r="D368" s="36" t="n">
        <f aca="false">N(Funding!J17)+N(Funding!K17)+N(Funding!L17)+N(Funding!M17)</f>
        <v>0</v>
      </c>
      <c r="E368" s="20" t="s">
        <v>3069</v>
      </c>
      <c r="M368" s="20" t="s">
        <v>3479</v>
      </c>
    </row>
    <row r="369" customFormat="false" ht="17.15" hidden="false" customHeight="false" outlineLevel="0" collapsed="false">
      <c r="A369" s="0" t="s">
        <v>3480</v>
      </c>
      <c r="B369" s="0" t="s">
        <v>1304</v>
      </c>
      <c r="C369" s="0" t="n">
        <v>2024</v>
      </c>
      <c r="D369" s="36" t="str">
        <f aca="false">IF(Funding!R17="","",Funding!R17)</f>
        <v/>
      </c>
      <c r="E369" s="20" t="s">
        <v>3072</v>
      </c>
      <c r="M369" s="20" t="s">
        <v>3481</v>
      </c>
    </row>
    <row r="370" customFormat="false" ht="17.15" hidden="false" customHeight="false" outlineLevel="0" collapsed="false">
      <c r="A370" s="0" t="s">
        <v>3482</v>
      </c>
      <c r="B370" s="0" t="s">
        <v>1304</v>
      </c>
      <c r="C370" s="0" t="n">
        <v>2025</v>
      </c>
      <c r="D370" s="36" t="str">
        <f aca="false">IF(Funding!W18="","",Funding!W18)</f>
        <v/>
      </c>
      <c r="E370" s="20" t="s">
        <v>3026</v>
      </c>
      <c r="M370" s="20" t="s">
        <v>3483</v>
      </c>
    </row>
    <row r="371" customFormat="false" ht="17.15" hidden="false" customHeight="false" outlineLevel="0" collapsed="false">
      <c r="A371" s="0" t="s">
        <v>3484</v>
      </c>
      <c r="B371" s="0" t="s">
        <v>1304</v>
      </c>
      <c r="C371" s="0" t="n">
        <v>2025</v>
      </c>
      <c r="D371" s="41" t="str">
        <f aca="false">IF(Funding!AC18="","",Funding!AC18)</f>
        <v/>
      </c>
      <c r="E371" s="20" t="s">
        <v>3029</v>
      </c>
      <c r="M371" s="20" t="s">
        <v>3485</v>
      </c>
    </row>
    <row r="372" customFormat="false" ht="17.15" hidden="false" customHeight="false" outlineLevel="0" collapsed="false">
      <c r="A372" s="0" t="s">
        <v>3486</v>
      </c>
      <c r="B372" s="0" t="s">
        <v>1304</v>
      </c>
      <c r="C372" s="0" t="n">
        <v>2025</v>
      </c>
      <c r="D372" s="41" t="str">
        <f aca="false">IF(Funding!AD18="","",Funding!AD18)</f>
        <v/>
      </c>
      <c r="E372" s="20" t="s">
        <v>3032</v>
      </c>
      <c r="M372" s="20" t="s">
        <v>3487</v>
      </c>
    </row>
    <row r="373" customFormat="false" ht="17.15" hidden="false" customHeight="false" outlineLevel="0" collapsed="false">
      <c r="A373" s="0" t="s">
        <v>3488</v>
      </c>
      <c r="B373" s="0" t="s">
        <v>1304</v>
      </c>
      <c r="C373" s="0" t="n">
        <v>2025</v>
      </c>
      <c r="D373" s="41" t="str">
        <f aca="false">IF(Funding!AE18="","",Funding!AE18)</f>
        <v/>
      </c>
      <c r="E373" s="20" t="s">
        <v>3035</v>
      </c>
      <c r="M373" s="20" t="s">
        <v>3489</v>
      </c>
    </row>
    <row r="374" customFormat="false" ht="17.15" hidden="false" customHeight="false" outlineLevel="0" collapsed="false">
      <c r="A374" s="0" t="s">
        <v>3490</v>
      </c>
      <c r="B374" s="0" t="s">
        <v>1304</v>
      </c>
      <c r="C374" s="0" t="n">
        <v>2025</v>
      </c>
      <c r="D374" s="41" t="str">
        <f aca="false">IF(Funding!AF18="","",Funding!AF18)</f>
        <v/>
      </c>
      <c r="E374" s="20" t="s">
        <v>3038</v>
      </c>
      <c r="M374" s="20" t="s">
        <v>3491</v>
      </c>
    </row>
    <row r="375" customFormat="false" ht="17.15" hidden="false" customHeight="false" outlineLevel="0" collapsed="false">
      <c r="A375" s="0" t="s">
        <v>3492</v>
      </c>
      <c r="B375" s="0" t="s">
        <v>1304</v>
      </c>
      <c r="C375" s="0" t="n">
        <v>2025</v>
      </c>
      <c r="D375" s="41" t="str">
        <f aca="false">IF(Funding!AG18="","",Funding!AG18)</f>
        <v/>
      </c>
      <c r="E375" s="20" t="s">
        <v>3041</v>
      </c>
      <c r="M375" s="20" t="s">
        <v>3493</v>
      </c>
    </row>
    <row r="376" customFormat="false" ht="17.15" hidden="false" customHeight="false" outlineLevel="0" collapsed="false">
      <c r="A376" s="0" t="s">
        <v>3494</v>
      </c>
      <c r="B376" s="0" t="s">
        <v>1304</v>
      </c>
      <c r="C376" s="0" t="n">
        <v>2025</v>
      </c>
      <c r="D376" s="36" t="n">
        <f aca="false">IF(Funding!AL18="","",Funding!AL18)</f>
        <v>15</v>
      </c>
      <c r="E376" s="20" t="s">
        <v>3044</v>
      </c>
      <c r="M376" s="20" t="s">
        <v>3495</v>
      </c>
    </row>
    <row r="377" customFormat="false" ht="17.15" hidden="false" customHeight="false" outlineLevel="0" collapsed="false">
      <c r="A377" s="0" t="s">
        <v>3496</v>
      </c>
      <c r="B377" s="0" t="s">
        <v>1304</v>
      </c>
      <c r="C377" s="0" t="n">
        <v>2025</v>
      </c>
      <c r="D377" s="41" t="str">
        <f aca="false">IF(Funding!AM18="","",Funding!AM18)</f>
        <v/>
      </c>
      <c r="E377" s="20" t="s">
        <v>3047</v>
      </c>
      <c r="M377" s="20" t="s">
        <v>3497</v>
      </c>
    </row>
    <row r="378" customFormat="false" ht="17.15" hidden="false" customHeight="false" outlineLevel="0" collapsed="false">
      <c r="A378" s="0" t="s">
        <v>3498</v>
      </c>
      <c r="B378" s="0" t="s">
        <v>1304</v>
      </c>
      <c r="C378" s="0" t="n">
        <v>2025</v>
      </c>
      <c r="D378" s="41" t="str">
        <f aca="false">IF(Funding!AN18="","",Funding!AN18)</f>
        <v/>
      </c>
      <c r="E378" s="20" t="s">
        <v>3050</v>
      </c>
      <c r="M378" s="20" t="s">
        <v>3499</v>
      </c>
    </row>
    <row r="379" customFormat="false" ht="17.15" hidden="false" customHeight="false" outlineLevel="0" collapsed="false">
      <c r="A379" s="0" t="s">
        <v>3500</v>
      </c>
      <c r="B379" s="0" t="s">
        <v>1304</v>
      </c>
      <c r="C379" s="0" t="n">
        <v>2025</v>
      </c>
      <c r="D379" s="41" t="str">
        <f aca="false">IF(Funding!AO18="","",Funding!AO18)</f>
        <v/>
      </c>
      <c r="E379" s="20" t="s">
        <v>3053</v>
      </c>
      <c r="M379" s="20" t="s">
        <v>3501</v>
      </c>
    </row>
    <row r="380" customFormat="false" ht="17.15" hidden="false" customHeight="false" outlineLevel="0" collapsed="false">
      <c r="A380" s="0" t="s">
        <v>3502</v>
      </c>
      <c r="B380" s="0" t="s">
        <v>1304</v>
      </c>
      <c r="C380" s="0" t="n">
        <v>2025</v>
      </c>
      <c r="D380" s="41" t="str">
        <f aca="false">IF(Funding!AP18="","",Funding!AP18)</f>
        <v/>
      </c>
      <c r="E380" s="20" t="s">
        <v>3056</v>
      </c>
      <c r="M380" s="20" t="s">
        <v>3503</v>
      </c>
    </row>
    <row r="381" customFormat="false" ht="17.15" hidden="false" customHeight="false" outlineLevel="0" collapsed="false">
      <c r="A381" s="0" t="s">
        <v>3504</v>
      </c>
      <c r="B381" s="0" t="s">
        <v>1304</v>
      </c>
      <c r="C381" s="0" t="n">
        <v>2025</v>
      </c>
      <c r="D381" s="41" t="str">
        <f aca="false">IF(Funding!AQ18="","",Funding!AQ18)</f>
        <v/>
      </c>
      <c r="E381" s="20" t="s">
        <v>3059</v>
      </c>
      <c r="M381" s="20" t="s">
        <v>3505</v>
      </c>
    </row>
    <row r="382" customFormat="false" ht="17.15" hidden="false" customHeight="false" outlineLevel="0" collapsed="false">
      <c r="A382" s="0" t="s">
        <v>3506</v>
      </c>
      <c r="B382" s="0" t="s">
        <v>1304</v>
      </c>
      <c r="C382" s="0" t="n">
        <v>2025</v>
      </c>
      <c r="D382" s="36" t="str">
        <f aca="false">IF(Funding!E18="","",Funding!E18)</f>
        <v/>
      </c>
      <c r="E382" s="20" t="s">
        <v>1737</v>
      </c>
      <c r="M382" s="20" t="s">
        <v>3507</v>
      </c>
    </row>
    <row r="383" customFormat="false" ht="17.15" hidden="false" customHeight="false" outlineLevel="0" collapsed="false">
      <c r="A383" s="0" t="s">
        <v>3508</v>
      </c>
      <c r="B383" s="0" t="s">
        <v>1304</v>
      </c>
      <c r="C383" s="0" t="n">
        <v>2025</v>
      </c>
      <c r="D383" s="36" t="str">
        <f aca="false">IF(Funding!I18="","",Funding!I18)</f>
        <v/>
      </c>
      <c r="E383" s="20" t="s">
        <v>1742</v>
      </c>
      <c r="M383" s="20" t="s">
        <v>3509</v>
      </c>
    </row>
    <row r="384" customFormat="false" ht="17.15" hidden="false" customHeight="false" outlineLevel="0" collapsed="false">
      <c r="A384" s="0" t="s">
        <v>3510</v>
      </c>
      <c r="B384" s="0" t="s">
        <v>1304</v>
      </c>
      <c r="C384" s="0" t="n">
        <v>2025</v>
      </c>
      <c r="D384" s="36" t="str">
        <f aca="false">IF(Funding!O18="","",Funding!O18)</f>
        <v/>
      </c>
      <c r="E384" s="20" t="s">
        <v>3066</v>
      </c>
      <c r="M384" s="20" t="s">
        <v>3511</v>
      </c>
    </row>
    <row r="385" customFormat="false" ht="17.15" hidden="false" customHeight="false" outlineLevel="0" collapsed="false">
      <c r="A385" s="0" t="s">
        <v>3512</v>
      </c>
      <c r="B385" s="0" t="s">
        <v>1304</v>
      </c>
      <c r="C385" s="0" t="n">
        <v>2025</v>
      </c>
      <c r="D385" s="36" t="n">
        <f aca="false">N(Funding!J18)+N(Funding!K18)+N(Funding!L18)+N(Funding!M18)</f>
        <v>0</v>
      </c>
      <c r="E385" s="20" t="s">
        <v>3069</v>
      </c>
      <c r="M385" s="20" t="s">
        <v>3513</v>
      </c>
    </row>
    <row r="386" customFormat="false" ht="17.15" hidden="false" customHeight="false" outlineLevel="0" collapsed="false">
      <c r="A386" s="0" t="s">
        <v>3514</v>
      </c>
      <c r="B386" s="0" t="s">
        <v>1304</v>
      </c>
      <c r="C386" s="0" t="n">
        <v>2025</v>
      </c>
      <c r="D386" s="36" t="str">
        <f aca="false">IF(Funding!R18="","",Funding!R18)</f>
        <v/>
      </c>
      <c r="E386" s="20" t="s">
        <v>3072</v>
      </c>
      <c r="M386" s="20" t="s">
        <v>3515</v>
      </c>
    </row>
    <row r="387" customFormat="false" ht="17.15" hidden="false" customHeight="false" outlineLevel="0" collapsed="false">
      <c r="A387" s="0" t="s">
        <v>3516</v>
      </c>
      <c r="B387" s="0" t="s">
        <v>1304</v>
      </c>
      <c r="C387" s="0" t="n">
        <v>2026</v>
      </c>
      <c r="D387" s="36" t="n">
        <f aca="false">IF(Funding!W19="","",Funding!W19)</f>
        <v>55.663</v>
      </c>
      <c r="E387" s="20" t="s">
        <v>3026</v>
      </c>
      <c r="M387" s="20" t="s">
        <v>3517</v>
      </c>
    </row>
    <row r="388" customFormat="false" ht="17.15" hidden="false" customHeight="false" outlineLevel="0" collapsed="false">
      <c r="A388" s="0" t="s">
        <v>3518</v>
      </c>
      <c r="B388" s="0" t="s">
        <v>1304</v>
      </c>
      <c r="C388" s="0" t="n">
        <v>2026</v>
      </c>
      <c r="D388" s="41" t="n">
        <f aca="false">IF(Funding!AC19="","",Funding!AC19)</f>
        <v>0.574474965416884</v>
      </c>
      <c r="E388" s="20" t="s">
        <v>3029</v>
      </c>
      <c r="M388" s="20" t="s">
        <v>3519</v>
      </c>
    </row>
    <row r="389" customFormat="false" ht="17.15" hidden="false" customHeight="false" outlineLevel="0" collapsed="false">
      <c r="A389" s="0" t="s">
        <v>3520</v>
      </c>
      <c r="B389" s="0" t="s">
        <v>1304</v>
      </c>
      <c r="C389" s="0" t="n">
        <v>2026</v>
      </c>
      <c r="D389" s="41" t="n">
        <f aca="false">IF(Funding!AD19="","",Funding!AD19)</f>
        <v>0</v>
      </c>
      <c r="E389" s="20" t="s">
        <v>3032</v>
      </c>
      <c r="M389" s="20" t="s">
        <v>3521</v>
      </c>
    </row>
    <row r="390" customFormat="false" ht="17.15" hidden="false" customHeight="false" outlineLevel="0" collapsed="false">
      <c r="A390" s="0" t="s">
        <v>3522</v>
      </c>
      <c r="B390" s="0" t="s">
        <v>1304</v>
      </c>
      <c r="C390" s="0" t="n">
        <v>2026</v>
      </c>
      <c r="D390" s="41" t="n">
        <f aca="false">IF(Funding!AE19="","",Funding!AE19)</f>
        <v>0.0898262759822503</v>
      </c>
      <c r="E390" s="20" t="s">
        <v>3035</v>
      </c>
      <c r="M390" s="20" t="s">
        <v>3523</v>
      </c>
    </row>
    <row r="391" customFormat="false" ht="17.15" hidden="false" customHeight="false" outlineLevel="0" collapsed="false">
      <c r="A391" s="0" t="s">
        <v>3524</v>
      </c>
      <c r="B391" s="0" t="s">
        <v>1304</v>
      </c>
      <c r="C391" s="0" t="n">
        <v>2026</v>
      </c>
      <c r="D391" s="41" t="n">
        <f aca="false">IF(Funding!AF19="","",Funding!AF19)</f>
        <v>0.335698758600866</v>
      </c>
      <c r="E391" s="20" t="s">
        <v>3038</v>
      </c>
      <c r="M391" s="20" t="s">
        <v>3525</v>
      </c>
    </row>
    <row r="392" customFormat="false" ht="17.15" hidden="false" customHeight="false" outlineLevel="0" collapsed="false">
      <c r="A392" s="0" t="s">
        <v>3526</v>
      </c>
      <c r="B392" s="0" t="s">
        <v>1304</v>
      </c>
      <c r="C392" s="0" t="n">
        <v>2026</v>
      </c>
      <c r="D392" s="41" t="n">
        <f aca="false">IF(Funding!AG19="","",Funding!AG19)</f>
        <v>0</v>
      </c>
      <c r="E392" s="20" t="s">
        <v>3041</v>
      </c>
      <c r="M392" s="20" t="s">
        <v>3527</v>
      </c>
    </row>
    <row r="393" customFormat="false" ht="17.15" hidden="false" customHeight="false" outlineLevel="0" collapsed="false">
      <c r="A393" s="0" t="s">
        <v>3528</v>
      </c>
      <c r="B393" s="0" t="s">
        <v>1304</v>
      </c>
      <c r="C393" s="0" t="n">
        <v>2026</v>
      </c>
      <c r="D393" s="36" t="n">
        <f aca="false">IF(Funding!AL19="","",Funding!AL19)</f>
        <v>104</v>
      </c>
      <c r="E393" s="20" t="s">
        <v>3044</v>
      </c>
      <c r="M393" s="20" t="s">
        <v>3529</v>
      </c>
    </row>
    <row r="394" customFormat="false" ht="17.15" hidden="false" customHeight="false" outlineLevel="0" collapsed="false">
      <c r="A394" s="0" t="s">
        <v>3530</v>
      </c>
      <c r="B394" s="0" t="s">
        <v>1304</v>
      </c>
      <c r="C394" s="0" t="n">
        <v>2026</v>
      </c>
      <c r="D394" s="41" t="n">
        <f aca="false">IF(Funding!AM19="","",Funding!AM19)</f>
        <v>1.86838654043081</v>
      </c>
      <c r="E394" s="20" t="s">
        <v>3047</v>
      </c>
      <c r="M394" s="20" t="s">
        <v>3531</v>
      </c>
    </row>
    <row r="395" customFormat="false" ht="17.15" hidden="false" customHeight="false" outlineLevel="0" collapsed="false">
      <c r="A395" s="0" t="s">
        <v>3532</v>
      </c>
      <c r="B395" s="0" t="s">
        <v>1304</v>
      </c>
      <c r="C395" s="0" t="n">
        <v>2026</v>
      </c>
      <c r="D395" s="41" t="n">
        <f aca="false">IF(Funding!AN19="","",Funding!AN19)</f>
        <v>0.574474965416884</v>
      </c>
      <c r="E395" s="20" t="s">
        <v>3050</v>
      </c>
      <c r="M395" s="20" t="s">
        <v>3533</v>
      </c>
    </row>
    <row r="396" customFormat="false" ht="17.15" hidden="false" customHeight="false" outlineLevel="0" collapsed="false">
      <c r="A396" s="0" t="s">
        <v>3534</v>
      </c>
      <c r="B396" s="0" t="s">
        <v>1304</v>
      </c>
      <c r="C396" s="0" t="n">
        <v>2026</v>
      </c>
      <c r="D396" s="41" t="n">
        <f aca="false">IF(Funding!AO19="","",Funding!AO19)</f>
        <v>0.772505973447353</v>
      </c>
      <c r="E396" s="20" t="s">
        <v>3053</v>
      </c>
      <c r="M396" s="20" t="s">
        <v>3535</v>
      </c>
    </row>
    <row r="397" customFormat="false" ht="17.15" hidden="false" customHeight="false" outlineLevel="0" collapsed="false">
      <c r="A397" s="0" t="s">
        <v>3536</v>
      </c>
      <c r="B397" s="0" t="s">
        <v>1304</v>
      </c>
      <c r="C397" s="0" t="n">
        <v>2026</v>
      </c>
      <c r="D397" s="41" t="n">
        <f aca="false">IF(Funding!AP19="","",Funding!AP19)</f>
        <v>0.0898262759822503</v>
      </c>
      <c r="E397" s="20" t="s">
        <v>3056</v>
      </c>
      <c r="M397" s="20" t="s">
        <v>3537</v>
      </c>
    </row>
    <row r="398" customFormat="false" ht="17.15" hidden="false" customHeight="false" outlineLevel="0" collapsed="false">
      <c r="A398" s="0" t="s">
        <v>3538</v>
      </c>
      <c r="B398" s="0" t="s">
        <v>1304</v>
      </c>
      <c r="C398" s="0" t="n">
        <v>2026</v>
      </c>
      <c r="D398" s="41" t="n">
        <f aca="false">IF(Funding!AQ19="","",Funding!AQ19)</f>
        <v>1.0060542910012</v>
      </c>
      <c r="E398" s="20" t="s">
        <v>3059</v>
      </c>
      <c r="M398" s="20" t="s">
        <v>3539</v>
      </c>
    </row>
    <row r="399" customFormat="false" ht="17.15" hidden="false" customHeight="false" outlineLevel="0" collapsed="false">
      <c r="A399" s="0" t="s">
        <v>3540</v>
      </c>
      <c r="B399" s="0" t="s">
        <v>1304</v>
      </c>
      <c r="C399" s="0" t="n">
        <v>2026</v>
      </c>
      <c r="D399" s="36" t="n">
        <f aca="false">IF(Funding!E19="","",Funding!E19)</f>
        <v>31.977</v>
      </c>
      <c r="E399" s="20" t="s">
        <v>1737</v>
      </c>
      <c r="M399" s="20" t="s">
        <v>3541</v>
      </c>
    </row>
    <row r="400" customFormat="false" ht="17.15" hidden="false" customHeight="false" outlineLevel="0" collapsed="false">
      <c r="A400" s="0" t="s">
        <v>3542</v>
      </c>
      <c r="B400" s="0" t="s">
        <v>1304</v>
      </c>
      <c r="C400" s="0" t="n">
        <v>2026</v>
      </c>
      <c r="D400" s="36" t="n">
        <f aca="false">IF(Funding!I19="","",Funding!I19)</f>
        <v>-23.686</v>
      </c>
      <c r="E400" s="20" t="s">
        <v>1742</v>
      </c>
      <c r="M400" s="20" t="s">
        <v>3543</v>
      </c>
    </row>
    <row r="401" customFormat="false" ht="17.15" hidden="false" customHeight="false" outlineLevel="0" collapsed="false">
      <c r="A401" s="0" t="s">
        <v>3544</v>
      </c>
      <c r="B401" s="0" t="s">
        <v>1304</v>
      </c>
      <c r="C401" s="0" t="n">
        <v>2026</v>
      </c>
      <c r="D401" s="36" t="n">
        <f aca="false">IF(Funding!O19="","",Funding!O19)</f>
        <v>260</v>
      </c>
      <c r="E401" s="20" t="s">
        <v>3066</v>
      </c>
      <c r="M401" s="20" t="s">
        <v>3545</v>
      </c>
    </row>
    <row r="402" customFormat="false" ht="17.15" hidden="false" customHeight="false" outlineLevel="0" collapsed="false">
      <c r="A402" s="0" t="s">
        <v>3546</v>
      </c>
      <c r="B402" s="0" t="s">
        <v>1304</v>
      </c>
      <c r="C402" s="0" t="n">
        <v>2026</v>
      </c>
      <c r="D402" s="36" t="n">
        <f aca="false">N(Funding!J19)+N(Funding!K19)+N(Funding!L19)+N(Funding!M19)</f>
        <v>43</v>
      </c>
      <c r="E402" s="20" t="s">
        <v>3069</v>
      </c>
      <c r="M402" s="20" t="s">
        <v>3547</v>
      </c>
    </row>
    <row r="403" customFormat="false" ht="17.15" hidden="false" customHeight="false" outlineLevel="0" collapsed="false">
      <c r="A403" s="0" t="s">
        <v>3548</v>
      </c>
      <c r="B403" s="0" t="s">
        <v>1304</v>
      </c>
      <c r="C403" s="0" t="n">
        <v>2026</v>
      </c>
      <c r="D403" s="36" t="n">
        <f aca="false">IF(Funding!R19="","",Funding!R19)</f>
        <v>5</v>
      </c>
      <c r="E403" s="20" t="s">
        <v>3072</v>
      </c>
      <c r="M403" s="20" t="s">
        <v>3549</v>
      </c>
    </row>
    <row r="404" customFormat="false" ht="15" hidden="false" customHeight="false" outlineLevel="0" collapsed="false">
      <c r="A404" s="0" t="s">
        <v>3550</v>
      </c>
      <c r="B404" s="0" t="s">
        <v>1076</v>
      </c>
      <c r="C404" s="0" t="n">
        <v>2024</v>
      </c>
      <c r="D404" s="36" t="n">
        <f aca="false">IF(Funding!W20="","",Funding!W20)</f>
        <v>8.702</v>
      </c>
      <c r="E404" s="20" t="s">
        <v>3026</v>
      </c>
      <c r="M404" s="20" t="s">
        <v>3551</v>
      </c>
    </row>
    <row r="405" customFormat="false" ht="15" hidden="false" customHeight="false" outlineLevel="0" collapsed="false">
      <c r="A405" s="0" t="s">
        <v>3552</v>
      </c>
      <c r="B405" s="0" t="s">
        <v>1076</v>
      </c>
      <c r="C405" s="0" t="n">
        <v>2024</v>
      </c>
      <c r="D405" s="41" t="n">
        <f aca="false">IF(Funding!AC20="","",Funding!AC20)</f>
        <v>0.315904389795449</v>
      </c>
      <c r="E405" s="20" t="s">
        <v>3029</v>
      </c>
      <c r="M405" s="20" t="s">
        <v>3553</v>
      </c>
    </row>
    <row r="406" customFormat="false" ht="15" hidden="false" customHeight="false" outlineLevel="0" collapsed="false">
      <c r="A406" s="0" t="s">
        <v>3554</v>
      </c>
      <c r="B406" s="0" t="s">
        <v>1076</v>
      </c>
      <c r="C406" s="0" t="n">
        <v>2024</v>
      </c>
      <c r="D406" s="41" t="n">
        <f aca="false">IF(Funding!AD20="","",Funding!AD20)</f>
        <v>0</v>
      </c>
      <c r="E406" s="20" t="s">
        <v>3032</v>
      </c>
      <c r="M406" s="20" t="s">
        <v>3555</v>
      </c>
    </row>
    <row r="407" customFormat="false" ht="15" hidden="false" customHeight="false" outlineLevel="0" collapsed="false">
      <c r="A407" s="0" t="s">
        <v>3556</v>
      </c>
      <c r="B407" s="0" t="s">
        <v>1076</v>
      </c>
      <c r="C407" s="0" t="n">
        <v>2024</v>
      </c>
      <c r="D407" s="41" t="n">
        <f aca="false">IF(Funding!AE20="","",Funding!AE20)</f>
        <v>0</v>
      </c>
      <c r="E407" s="20" t="s">
        <v>3035</v>
      </c>
      <c r="M407" s="20" t="s">
        <v>3557</v>
      </c>
    </row>
    <row r="408" customFormat="false" ht="15" hidden="false" customHeight="false" outlineLevel="0" collapsed="false">
      <c r="A408" s="0" t="s">
        <v>3558</v>
      </c>
      <c r="B408" s="0" t="s">
        <v>1076</v>
      </c>
      <c r="C408" s="0" t="n">
        <v>2024</v>
      </c>
      <c r="D408" s="41" t="n">
        <f aca="false">IF(Funding!AF20="","",Funding!AF20)</f>
        <v>0.684095610204551</v>
      </c>
      <c r="E408" s="20" t="s">
        <v>3038</v>
      </c>
      <c r="M408" s="20" t="s">
        <v>3559</v>
      </c>
    </row>
    <row r="409" customFormat="false" ht="15" hidden="false" customHeight="false" outlineLevel="0" collapsed="false">
      <c r="A409" s="0" t="s">
        <v>3560</v>
      </c>
      <c r="B409" s="0" t="s">
        <v>1076</v>
      </c>
      <c r="C409" s="0" t="n">
        <v>2024</v>
      </c>
      <c r="D409" s="41" t="n">
        <f aca="false">IF(Funding!AG20="","",Funding!AG20)</f>
        <v>0</v>
      </c>
      <c r="E409" s="20" t="s">
        <v>3041</v>
      </c>
      <c r="M409" s="20" t="s">
        <v>3561</v>
      </c>
    </row>
    <row r="410" customFormat="false" ht="15" hidden="false" customHeight="false" outlineLevel="0" collapsed="false">
      <c r="A410" s="0" t="s">
        <v>3562</v>
      </c>
      <c r="B410" s="0" t="s">
        <v>1076</v>
      </c>
      <c r="C410" s="0" t="n">
        <v>2024</v>
      </c>
      <c r="D410" s="36" t="n">
        <f aca="false">IF(Funding!AL20="","",Funding!AL20)</f>
        <v>7.018</v>
      </c>
      <c r="E410" s="20" t="s">
        <v>3044</v>
      </c>
      <c r="M410" s="20" t="s">
        <v>3563</v>
      </c>
    </row>
    <row r="411" customFormat="false" ht="15" hidden="false" customHeight="false" outlineLevel="0" collapsed="false">
      <c r="A411" s="0" t="s">
        <v>3564</v>
      </c>
      <c r="B411" s="0" t="s">
        <v>1076</v>
      </c>
      <c r="C411" s="0" t="n">
        <v>2024</v>
      </c>
      <c r="D411" s="41" t="n">
        <f aca="false">IF(Funding!AM20="","",Funding!AM20)</f>
        <v>0.806481268673868</v>
      </c>
      <c r="E411" s="20" t="s">
        <v>3047</v>
      </c>
      <c r="M411" s="20" t="s">
        <v>3565</v>
      </c>
    </row>
    <row r="412" customFormat="false" ht="15" hidden="false" customHeight="false" outlineLevel="0" collapsed="false">
      <c r="A412" s="0" t="s">
        <v>3566</v>
      </c>
      <c r="B412" s="0" t="s">
        <v>1076</v>
      </c>
      <c r="C412" s="0" t="n">
        <v>2024</v>
      </c>
      <c r="D412" s="41" t="n">
        <f aca="false">IF(Funding!AN20="","",Funding!AN20)</f>
        <v>0.315904389795449</v>
      </c>
      <c r="E412" s="20" t="s">
        <v>3050</v>
      </c>
      <c r="M412" s="20" t="s">
        <v>3567</v>
      </c>
    </row>
    <row r="413" customFormat="false" ht="15" hidden="false" customHeight="false" outlineLevel="0" collapsed="false">
      <c r="A413" s="0" t="s">
        <v>3568</v>
      </c>
      <c r="B413" s="0" t="s">
        <v>1076</v>
      </c>
      <c r="C413" s="0" t="n">
        <v>2024</v>
      </c>
      <c r="D413" s="41" t="n">
        <f aca="false">IF(Funding!AO20="","",Funding!AO20)</f>
        <v>0.806481268673868</v>
      </c>
      <c r="E413" s="20" t="s">
        <v>3053</v>
      </c>
      <c r="M413" s="20" t="s">
        <v>3569</v>
      </c>
    </row>
    <row r="414" customFormat="false" ht="15" hidden="false" customHeight="false" outlineLevel="0" collapsed="false">
      <c r="A414" s="0" t="s">
        <v>3570</v>
      </c>
      <c r="B414" s="0" t="s">
        <v>1076</v>
      </c>
      <c r="C414" s="0" t="n">
        <v>2024</v>
      </c>
      <c r="D414" s="41" t="n">
        <f aca="false">IF(Funding!AP20="","",Funding!AP20)</f>
        <v>0</v>
      </c>
      <c r="E414" s="20" t="s">
        <v>3056</v>
      </c>
      <c r="M414" s="20" t="s">
        <v>3571</v>
      </c>
    </row>
    <row r="415" customFormat="false" ht="15" hidden="false" customHeight="false" outlineLevel="0" collapsed="false">
      <c r="A415" s="0" t="s">
        <v>3572</v>
      </c>
      <c r="B415" s="0" t="s">
        <v>1076</v>
      </c>
      <c r="C415" s="0" t="n">
        <v>2024</v>
      </c>
      <c r="D415" s="41" t="n">
        <f aca="false">IF(Funding!AQ20="","",Funding!AQ20)</f>
        <v>0</v>
      </c>
      <c r="E415" s="20" t="s">
        <v>3059</v>
      </c>
      <c r="M415" s="20" t="s">
        <v>3573</v>
      </c>
    </row>
    <row r="416" customFormat="false" ht="15" hidden="false" customHeight="false" outlineLevel="0" collapsed="false">
      <c r="A416" s="0" t="s">
        <v>3574</v>
      </c>
      <c r="B416" s="0" t="s">
        <v>1076</v>
      </c>
      <c r="C416" s="0" t="n">
        <v>2024</v>
      </c>
      <c r="D416" s="36" t="n">
        <f aca="false">IF(Funding!E20="","",Funding!E20)</f>
        <v>2.749</v>
      </c>
      <c r="E416" s="20" t="s">
        <v>1737</v>
      </c>
      <c r="M416" s="20" t="s">
        <v>3575</v>
      </c>
    </row>
    <row r="417" customFormat="false" ht="15" hidden="false" customHeight="false" outlineLevel="0" collapsed="false">
      <c r="A417" s="0" t="s">
        <v>3576</v>
      </c>
      <c r="B417" s="0" t="s">
        <v>1076</v>
      </c>
      <c r="C417" s="0" t="n">
        <v>2024</v>
      </c>
      <c r="D417" s="36" t="str">
        <f aca="false">IF(Funding!I20="","",Funding!I20)</f>
        <v/>
      </c>
      <c r="E417" s="20" t="s">
        <v>1742</v>
      </c>
      <c r="M417" s="20" t="s">
        <v>3577</v>
      </c>
    </row>
    <row r="418" customFormat="false" ht="15" hidden="false" customHeight="false" outlineLevel="0" collapsed="false">
      <c r="A418" s="0" t="s">
        <v>3578</v>
      </c>
      <c r="B418" s="0" t="s">
        <v>1076</v>
      </c>
      <c r="C418" s="0" t="n">
        <v>2024</v>
      </c>
      <c r="D418" s="36" t="str">
        <f aca="false">IF(Funding!O20="","",Funding!O20)</f>
        <v/>
      </c>
      <c r="E418" s="20" t="s">
        <v>3066</v>
      </c>
      <c r="M418" s="20" t="s">
        <v>3579</v>
      </c>
    </row>
    <row r="419" customFormat="false" ht="15" hidden="false" customHeight="false" outlineLevel="0" collapsed="false">
      <c r="A419" s="0" t="s">
        <v>3580</v>
      </c>
      <c r="B419" s="0" t="s">
        <v>1076</v>
      </c>
      <c r="C419" s="0" t="n">
        <v>2024</v>
      </c>
      <c r="D419" s="36" t="n">
        <f aca="false">N(Funding!J20)+N(Funding!K20)+N(Funding!L20)+N(Funding!M20)</f>
        <v>7.018</v>
      </c>
      <c r="E419" s="20" t="s">
        <v>3069</v>
      </c>
      <c r="M419" s="20" t="s">
        <v>3581</v>
      </c>
    </row>
    <row r="420" customFormat="false" ht="15" hidden="false" customHeight="false" outlineLevel="0" collapsed="false">
      <c r="A420" s="0" t="s">
        <v>3582</v>
      </c>
      <c r="B420" s="0" t="s">
        <v>1076</v>
      </c>
      <c r="C420" s="0" t="n">
        <v>2024</v>
      </c>
      <c r="D420" s="36" t="str">
        <f aca="false">IF(Funding!R20="","",Funding!R20)</f>
        <v/>
      </c>
      <c r="E420" s="20" t="s">
        <v>3072</v>
      </c>
      <c r="M420" s="20" t="s">
        <v>3583</v>
      </c>
    </row>
    <row r="421" customFormat="false" ht="15" hidden="false" customHeight="false" outlineLevel="0" collapsed="false">
      <c r="A421" s="0" t="s">
        <v>3584</v>
      </c>
      <c r="B421" s="0" t="s">
        <v>1076</v>
      </c>
      <c r="C421" s="0" t="n">
        <v>2025</v>
      </c>
      <c r="D421" s="36" t="n">
        <f aca="false">IF(Funding!W21="","",Funding!W21)</f>
        <v>10.309</v>
      </c>
      <c r="E421" s="20" t="s">
        <v>3026</v>
      </c>
      <c r="M421" s="20" t="s">
        <v>3585</v>
      </c>
    </row>
    <row r="422" customFormat="false" ht="15" hidden="false" customHeight="false" outlineLevel="0" collapsed="false">
      <c r="A422" s="0" t="s">
        <v>3586</v>
      </c>
      <c r="B422" s="0" t="s">
        <v>1076</v>
      </c>
      <c r="C422" s="0" t="n">
        <v>2025</v>
      </c>
      <c r="D422" s="41" t="n">
        <f aca="false">IF(Funding!AC21="","",Funding!AC21)</f>
        <v>0.296634009118246</v>
      </c>
      <c r="E422" s="20" t="s">
        <v>3029</v>
      </c>
      <c r="M422" s="20" t="s">
        <v>3587</v>
      </c>
    </row>
    <row r="423" customFormat="false" ht="15" hidden="false" customHeight="false" outlineLevel="0" collapsed="false">
      <c r="A423" s="0" t="s">
        <v>3588</v>
      </c>
      <c r="B423" s="0" t="s">
        <v>1076</v>
      </c>
      <c r="C423" s="0" t="n">
        <v>2025</v>
      </c>
      <c r="D423" s="41" t="n">
        <f aca="false">IF(Funding!AD21="","",Funding!AD21)</f>
        <v>0</v>
      </c>
      <c r="E423" s="20" t="s">
        <v>3032</v>
      </c>
      <c r="M423" s="20" t="s">
        <v>3589</v>
      </c>
    </row>
    <row r="424" customFormat="false" ht="15" hidden="false" customHeight="false" outlineLevel="0" collapsed="false">
      <c r="A424" s="0" t="s">
        <v>3590</v>
      </c>
      <c r="B424" s="0" t="s">
        <v>1076</v>
      </c>
      <c r="C424" s="0" t="n">
        <v>2025</v>
      </c>
      <c r="D424" s="41" t="n">
        <f aca="false">IF(Funding!AE21="","",Funding!AE21)</f>
        <v>0.144630905034436</v>
      </c>
      <c r="E424" s="20" t="s">
        <v>3035</v>
      </c>
      <c r="M424" s="20" t="s">
        <v>3591</v>
      </c>
    </row>
    <row r="425" customFormat="false" ht="15" hidden="false" customHeight="false" outlineLevel="0" collapsed="false">
      <c r="A425" s="0" t="s">
        <v>3592</v>
      </c>
      <c r="B425" s="0" t="s">
        <v>1076</v>
      </c>
      <c r="C425" s="0" t="n">
        <v>2025</v>
      </c>
      <c r="D425" s="41" t="n">
        <f aca="false">IF(Funding!AF21="","",Funding!AF21)</f>
        <v>0.558735085847318</v>
      </c>
      <c r="E425" s="20" t="s">
        <v>3038</v>
      </c>
      <c r="M425" s="20" t="s">
        <v>3593</v>
      </c>
    </row>
    <row r="426" customFormat="false" ht="15" hidden="false" customHeight="false" outlineLevel="0" collapsed="false">
      <c r="A426" s="0" t="s">
        <v>3594</v>
      </c>
      <c r="B426" s="0" t="s">
        <v>1076</v>
      </c>
      <c r="C426" s="0" t="n">
        <v>2025</v>
      </c>
      <c r="D426" s="41" t="n">
        <f aca="false">IF(Funding!AG21="","",Funding!AG21)</f>
        <v>0</v>
      </c>
      <c r="E426" s="20" t="s">
        <v>3041</v>
      </c>
      <c r="M426" s="20" t="s">
        <v>3595</v>
      </c>
    </row>
    <row r="427" customFormat="false" ht="15" hidden="false" customHeight="false" outlineLevel="0" collapsed="false">
      <c r="A427" s="0" t="s">
        <v>3596</v>
      </c>
      <c r="B427" s="0" t="s">
        <v>1076</v>
      </c>
      <c r="C427" s="0" t="n">
        <v>2025</v>
      </c>
      <c r="D427" s="36" t="n">
        <f aca="false">IF(Funding!AL21="","",Funding!AL21)</f>
        <v>13.32</v>
      </c>
      <c r="E427" s="20" t="s">
        <v>3044</v>
      </c>
      <c r="M427" s="20" t="s">
        <v>3597</v>
      </c>
    </row>
    <row r="428" customFormat="false" ht="15" hidden="false" customHeight="false" outlineLevel="0" collapsed="false">
      <c r="A428" s="0" t="s">
        <v>3598</v>
      </c>
      <c r="B428" s="0" t="s">
        <v>1076</v>
      </c>
      <c r="C428" s="0" t="n">
        <v>2025</v>
      </c>
      <c r="D428" s="41" t="n">
        <f aca="false">IF(Funding!AM21="","",Funding!AM21)</f>
        <v>1.29207488602192</v>
      </c>
      <c r="E428" s="20" t="s">
        <v>3047</v>
      </c>
      <c r="M428" s="20" t="s">
        <v>3599</v>
      </c>
    </row>
    <row r="429" customFormat="false" ht="15" hidden="false" customHeight="false" outlineLevel="0" collapsed="false">
      <c r="A429" s="0" t="s">
        <v>3600</v>
      </c>
      <c r="B429" s="0" t="s">
        <v>1076</v>
      </c>
      <c r="C429" s="0" t="n">
        <v>2025</v>
      </c>
      <c r="D429" s="41" t="n">
        <f aca="false">IF(Funding!AN21="","",Funding!AN21)</f>
        <v>0.296634009118246</v>
      </c>
      <c r="E429" s="20" t="s">
        <v>3050</v>
      </c>
      <c r="M429" s="20" t="s">
        <v>3601</v>
      </c>
    </row>
    <row r="430" customFormat="false" ht="15" hidden="false" customHeight="false" outlineLevel="0" collapsed="false">
      <c r="A430" s="0" t="s">
        <v>3602</v>
      </c>
      <c r="B430" s="0" t="s">
        <v>1076</v>
      </c>
      <c r="C430" s="0" t="n">
        <v>2025</v>
      </c>
      <c r="D430" s="41" t="n">
        <f aca="false">IF(Funding!AO21="","",Funding!AO21)</f>
        <v>1.14744398098749</v>
      </c>
      <c r="E430" s="20" t="s">
        <v>3053</v>
      </c>
      <c r="M430" s="20" t="s">
        <v>3603</v>
      </c>
    </row>
    <row r="431" customFormat="false" ht="15" hidden="false" customHeight="false" outlineLevel="0" collapsed="false">
      <c r="A431" s="0" t="s">
        <v>3604</v>
      </c>
      <c r="B431" s="0" t="s">
        <v>1076</v>
      </c>
      <c r="C431" s="0" t="n">
        <v>2025</v>
      </c>
      <c r="D431" s="41" t="n">
        <f aca="false">IF(Funding!AP21="","",Funding!AP21)</f>
        <v>0.144630905034436</v>
      </c>
      <c r="E431" s="20" t="s">
        <v>3056</v>
      </c>
      <c r="M431" s="20" t="s">
        <v>3605</v>
      </c>
    </row>
    <row r="432" customFormat="false" ht="15" hidden="false" customHeight="false" outlineLevel="0" collapsed="false">
      <c r="A432" s="0" t="s">
        <v>3606</v>
      </c>
      <c r="B432" s="0" t="s">
        <v>1076</v>
      </c>
      <c r="C432" s="0" t="n">
        <v>2025</v>
      </c>
      <c r="D432" s="41" t="n">
        <f aca="false">IF(Funding!AQ21="","",Funding!AQ21)</f>
        <v>0</v>
      </c>
      <c r="E432" s="20" t="s">
        <v>3059</v>
      </c>
      <c r="M432" s="20" t="s">
        <v>3607</v>
      </c>
    </row>
    <row r="433" customFormat="false" ht="15" hidden="false" customHeight="false" outlineLevel="0" collapsed="false">
      <c r="A433" s="0" t="s">
        <v>3608</v>
      </c>
      <c r="B433" s="0" t="s">
        <v>1076</v>
      </c>
      <c r="C433" s="0" t="n">
        <v>2025</v>
      </c>
      <c r="D433" s="36" t="n">
        <f aca="false">IF(Funding!E21="","",Funding!E21)</f>
        <v>3.058</v>
      </c>
      <c r="E433" s="20" t="s">
        <v>1737</v>
      </c>
      <c r="M433" s="20" t="s">
        <v>3609</v>
      </c>
    </row>
    <row r="434" customFormat="false" ht="15" hidden="false" customHeight="false" outlineLevel="0" collapsed="false">
      <c r="A434" s="0" t="s">
        <v>3610</v>
      </c>
      <c r="B434" s="0" t="s">
        <v>1076</v>
      </c>
      <c r="C434" s="0" t="n">
        <v>2025</v>
      </c>
      <c r="D434" s="36" t="str">
        <f aca="false">IF(Funding!I21="","",Funding!I21)</f>
        <v/>
      </c>
      <c r="E434" s="20" t="s">
        <v>1742</v>
      </c>
      <c r="M434" s="20" t="s">
        <v>3611</v>
      </c>
    </row>
    <row r="435" customFormat="false" ht="15" hidden="false" customHeight="false" outlineLevel="0" collapsed="false">
      <c r="A435" s="0" t="s">
        <v>3612</v>
      </c>
      <c r="B435" s="0" t="s">
        <v>1076</v>
      </c>
      <c r="C435" s="0" t="n">
        <v>2025</v>
      </c>
      <c r="D435" s="36" t="str">
        <f aca="false">IF(Funding!O21="","",Funding!O21)</f>
        <v/>
      </c>
      <c r="E435" s="20" t="s">
        <v>3066</v>
      </c>
      <c r="M435" s="20" t="s">
        <v>3613</v>
      </c>
    </row>
    <row r="436" customFormat="false" ht="15" hidden="false" customHeight="false" outlineLevel="0" collapsed="false">
      <c r="A436" s="0" t="s">
        <v>3614</v>
      </c>
      <c r="B436" s="0" t="s">
        <v>1076</v>
      </c>
      <c r="C436" s="0" t="n">
        <v>2025</v>
      </c>
      <c r="D436" s="36" t="n">
        <f aca="false">N(Funding!J21)+N(Funding!K21)+N(Funding!L21)+N(Funding!M21)</f>
        <v>11.829</v>
      </c>
      <c r="E436" s="20" t="s">
        <v>3069</v>
      </c>
      <c r="M436" s="20" t="s">
        <v>3615</v>
      </c>
    </row>
    <row r="437" customFormat="false" ht="15" hidden="false" customHeight="false" outlineLevel="0" collapsed="false">
      <c r="A437" s="0" t="s">
        <v>3616</v>
      </c>
      <c r="B437" s="0" t="s">
        <v>1076</v>
      </c>
      <c r="C437" s="0" t="n">
        <v>2025</v>
      </c>
      <c r="D437" s="36" t="n">
        <f aca="false">IF(Funding!R21="","",Funding!R21)</f>
        <v>1.491</v>
      </c>
      <c r="E437" s="20" t="s">
        <v>3072</v>
      </c>
      <c r="M437" s="20" t="s">
        <v>3617</v>
      </c>
    </row>
    <row r="438" customFormat="false" ht="15" hidden="false" customHeight="false" outlineLevel="0" collapsed="false">
      <c r="A438" s="0" t="s">
        <v>3618</v>
      </c>
      <c r="B438" s="0" t="s">
        <v>1076</v>
      </c>
      <c r="C438" s="0" t="n">
        <v>2026</v>
      </c>
      <c r="D438" s="36" t="n">
        <f aca="false">IF(Funding!W22="","",Funding!W22)</f>
        <v>14.117</v>
      </c>
      <c r="E438" s="20" t="s">
        <v>3026</v>
      </c>
      <c r="M438" s="20" t="s">
        <v>3619</v>
      </c>
    </row>
    <row r="439" customFormat="false" ht="15" hidden="false" customHeight="false" outlineLevel="0" collapsed="false">
      <c r="A439" s="0" t="s">
        <v>3620</v>
      </c>
      <c r="B439" s="0" t="s">
        <v>1076</v>
      </c>
      <c r="C439" s="0" t="n">
        <v>2026</v>
      </c>
      <c r="D439" s="41" t="n">
        <f aca="false">IF(Funding!AC22="","",Funding!AC22)</f>
        <v>0.259474392576326</v>
      </c>
      <c r="E439" s="20" t="s">
        <v>3029</v>
      </c>
      <c r="M439" s="20" t="s">
        <v>3621</v>
      </c>
    </row>
    <row r="440" customFormat="false" ht="15" hidden="false" customHeight="false" outlineLevel="0" collapsed="false">
      <c r="A440" s="0" t="s">
        <v>3622</v>
      </c>
      <c r="B440" s="0" t="s">
        <v>1076</v>
      </c>
      <c r="C440" s="0" t="n">
        <v>2026</v>
      </c>
      <c r="D440" s="41" t="n">
        <f aca="false">IF(Funding!AD22="","",Funding!AD22)</f>
        <v>0</v>
      </c>
      <c r="E440" s="20" t="s">
        <v>3032</v>
      </c>
      <c r="M440" s="20" t="s">
        <v>3623</v>
      </c>
    </row>
    <row r="441" customFormat="false" ht="15" hidden="false" customHeight="false" outlineLevel="0" collapsed="false">
      <c r="A441" s="0" t="s">
        <v>3624</v>
      </c>
      <c r="B441" s="0" t="s">
        <v>1076</v>
      </c>
      <c r="C441" s="0" t="n">
        <v>2026</v>
      </c>
      <c r="D441" s="41" t="n">
        <f aca="false">IF(Funding!AE22="","",Funding!AE22)</f>
        <v>0.211234681589573</v>
      </c>
      <c r="E441" s="20" t="s">
        <v>3035</v>
      </c>
      <c r="M441" s="20" t="s">
        <v>3625</v>
      </c>
    </row>
    <row r="442" customFormat="false" ht="15" hidden="false" customHeight="false" outlineLevel="0" collapsed="false">
      <c r="A442" s="0" t="s">
        <v>3626</v>
      </c>
      <c r="B442" s="0" t="s">
        <v>1076</v>
      </c>
      <c r="C442" s="0" t="n">
        <v>2026</v>
      </c>
      <c r="D442" s="41" t="n">
        <f aca="false">IF(Funding!AF22="","",Funding!AF22)</f>
        <v>0.529290925834101</v>
      </c>
      <c r="E442" s="20" t="s">
        <v>3038</v>
      </c>
      <c r="M442" s="20" t="s">
        <v>3627</v>
      </c>
    </row>
    <row r="443" customFormat="false" ht="15" hidden="false" customHeight="false" outlineLevel="0" collapsed="false">
      <c r="A443" s="0" t="s">
        <v>3628</v>
      </c>
      <c r="B443" s="0" t="s">
        <v>1076</v>
      </c>
      <c r="C443" s="0" t="n">
        <v>2026</v>
      </c>
      <c r="D443" s="41" t="n">
        <f aca="false">IF(Funding!AG22="","",Funding!AG22)</f>
        <v>0</v>
      </c>
      <c r="E443" s="20" t="s">
        <v>3041</v>
      </c>
      <c r="M443" s="20" t="s">
        <v>3629</v>
      </c>
    </row>
    <row r="444" customFormat="false" ht="15" hidden="false" customHeight="false" outlineLevel="0" collapsed="false">
      <c r="A444" s="0" t="s">
        <v>3630</v>
      </c>
      <c r="B444" s="0" t="s">
        <v>1076</v>
      </c>
      <c r="C444" s="0" t="n">
        <v>2026</v>
      </c>
      <c r="D444" s="36" t="n">
        <f aca="false">IF(Funding!AL22="","",Funding!AL22)</f>
        <v>19.729</v>
      </c>
      <c r="E444" s="20" t="s">
        <v>3044</v>
      </c>
      <c r="M444" s="20" t="s">
        <v>3631</v>
      </c>
    </row>
    <row r="445" customFormat="false" ht="15" hidden="false" customHeight="false" outlineLevel="0" collapsed="false">
      <c r="A445" s="0" t="s">
        <v>3632</v>
      </c>
      <c r="B445" s="0" t="s">
        <v>1076</v>
      </c>
      <c r="C445" s="0" t="n">
        <v>2026</v>
      </c>
      <c r="D445" s="41" t="n">
        <f aca="false">IF(Funding!AM22="","",Funding!AM22)</f>
        <v>1.39753488701565</v>
      </c>
      <c r="E445" s="20" t="s">
        <v>3047</v>
      </c>
      <c r="M445" s="20" t="s">
        <v>3633</v>
      </c>
    </row>
    <row r="446" customFormat="false" ht="15" hidden="false" customHeight="false" outlineLevel="0" collapsed="false">
      <c r="A446" s="0" t="s">
        <v>3634</v>
      </c>
      <c r="B446" s="0" t="s">
        <v>1076</v>
      </c>
      <c r="C446" s="0" t="n">
        <v>2026</v>
      </c>
      <c r="D446" s="41" t="n">
        <f aca="false">IF(Funding!AN22="","",Funding!AN22)</f>
        <v>0.259474392576326</v>
      </c>
      <c r="E446" s="20" t="s">
        <v>3050</v>
      </c>
      <c r="M446" s="20" t="s">
        <v>3635</v>
      </c>
    </row>
    <row r="447" customFormat="false" ht="15" hidden="false" customHeight="false" outlineLevel="0" collapsed="false">
      <c r="A447" s="0" t="s">
        <v>3636</v>
      </c>
      <c r="B447" s="0" t="s">
        <v>1076</v>
      </c>
      <c r="C447" s="0" t="n">
        <v>2026</v>
      </c>
      <c r="D447" s="41" t="n">
        <f aca="false">IF(Funding!AO22="","",Funding!AO22)</f>
        <v>1.18630020542608</v>
      </c>
      <c r="E447" s="20" t="s">
        <v>3053</v>
      </c>
      <c r="M447" s="20" t="s">
        <v>3637</v>
      </c>
    </row>
    <row r="448" customFormat="false" ht="15" hidden="false" customHeight="false" outlineLevel="0" collapsed="false">
      <c r="A448" s="0" t="s">
        <v>3638</v>
      </c>
      <c r="B448" s="0" t="s">
        <v>1076</v>
      </c>
      <c r="C448" s="0" t="n">
        <v>2026</v>
      </c>
      <c r="D448" s="41" t="n">
        <f aca="false">IF(Funding!AP22="","",Funding!AP22)</f>
        <v>0.211234681589573</v>
      </c>
      <c r="E448" s="20" t="s">
        <v>3056</v>
      </c>
      <c r="M448" s="20" t="s">
        <v>3639</v>
      </c>
    </row>
    <row r="449" customFormat="false" ht="15" hidden="false" customHeight="false" outlineLevel="0" collapsed="false">
      <c r="A449" s="0" t="s">
        <v>3640</v>
      </c>
      <c r="B449" s="0" t="s">
        <v>1076</v>
      </c>
      <c r="C449" s="0" t="n">
        <v>2026</v>
      </c>
      <c r="D449" s="41" t="n">
        <f aca="false">IF(Funding!AQ22="","",Funding!AQ22)</f>
        <v>0</v>
      </c>
      <c r="E449" s="20" t="s">
        <v>3059</v>
      </c>
      <c r="M449" s="20" t="s">
        <v>3641</v>
      </c>
    </row>
    <row r="450" customFormat="false" ht="15" hidden="false" customHeight="false" outlineLevel="0" collapsed="false">
      <c r="A450" s="0" t="s">
        <v>3642</v>
      </c>
      <c r="B450" s="0" t="s">
        <v>1076</v>
      </c>
      <c r="C450" s="0" t="n">
        <v>2026</v>
      </c>
      <c r="D450" s="36" t="n">
        <f aca="false">IF(Funding!E22="","",Funding!E22)</f>
        <v>3.663</v>
      </c>
      <c r="E450" s="20" t="s">
        <v>1737</v>
      </c>
      <c r="M450" s="20" t="s">
        <v>3643</v>
      </c>
    </row>
    <row r="451" customFormat="false" ht="15" hidden="false" customHeight="false" outlineLevel="0" collapsed="false">
      <c r="A451" s="0" t="s">
        <v>3644</v>
      </c>
      <c r="B451" s="0" t="s">
        <v>1076</v>
      </c>
      <c r="C451" s="0" t="n">
        <v>2026</v>
      </c>
      <c r="D451" s="36" t="str">
        <f aca="false">IF(Funding!I22="","",Funding!I22)</f>
        <v/>
      </c>
      <c r="E451" s="20" t="s">
        <v>1742</v>
      </c>
      <c r="M451" s="20" t="s">
        <v>3645</v>
      </c>
    </row>
    <row r="452" customFormat="false" ht="15" hidden="false" customHeight="false" outlineLevel="0" collapsed="false">
      <c r="A452" s="0" t="s">
        <v>3646</v>
      </c>
      <c r="B452" s="0" t="s">
        <v>1076</v>
      </c>
      <c r="C452" s="0" t="n">
        <v>2026</v>
      </c>
      <c r="D452" s="36" t="str">
        <f aca="false">IF(Funding!O22="","",Funding!O22)</f>
        <v/>
      </c>
      <c r="E452" s="20" t="s">
        <v>3066</v>
      </c>
      <c r="M452" s="20" t="s">
        <v>3647</v>
      </c>
    </row>
    <row r="453" customFormat="false" ht="15" hidden="false" customHeight="false" outlineLevel="0" collapsed="false">
      <c r="A453" s="0" t="s">
        <v>3648</v>
      </c>
      <c r="B453" s="0" t="s">
        <v>1076</v>
      </c>
      <c r="C453" s="0" t="n">
        <v>2026</v>
      </c>
      <c r="D453" s="36" t="n">
        <f aca="false">N(Funding!J22)+N(Funding!K22)+N(Funding!L22)+N(Funding!M22)</f>
        <v>16.747</v>
      </c>
      <c r="E453" s="20" t="s">
        <v>3069</v>
      </c>
      <c r="M453" s="20" t="s">
        <v>3649</v>
      </c>
    </row>
    <row r="454" customFormat="false" ht="15" hidden="false" customHeight="false" outlineLevel="0" collapsed="false">
      <c r="A454" s="0" t="s">
        <v>3650</v>
      </c>
      <c r="B454" s="0" t="s">
        <v>1076</v>
      </c>
      <c r="C454" s="0" t="n">
        <v>2026</v>
      </c>
      <c r="D454" s="36" t="n">
        <f aca="false">IF(Funding!R22="","",Funding!R22)</f>
        <v>2.982</v>
      </c>
      <c r="E454" s="20" t="s">
        <v>3072</v>
      </c>
      <c r="M454" s="20" t="s">
        <v>3651</v>
      </c>
    </row>
    <row r="455" customFormat="false" ht="15" hidden="false" customHeight="false" outlineLevel="0" collapsed="false">
      <c r="A455" s="0" t="s">
        <v>3652</v>
      </c>
      <c r="B455" s="0" t="s">
        <v>1095</v>
      </c>
      <c r="C455" s="0" t="n">
        <v>2025</v>
      </c>
      <c r="D455" s="36" t="n">
        <f aca="false">IF(Funding!W23="","",Funding!W23)</f>
        <v>4.1</v>
      </c>
      <c r="E455" s="20" t="s">
        <v>3026</v>
      </c>
      <c r="M455" s="20" t="s">
        <v>3653</v>
      </c>
    </row>
    <row r="456" customFormat="false" ht="15" hidden="false" customHeight="false" outlineLevel="0" collapsed="false">
      <c r="A456" s="0" t="s">
        <v>3654</v>
      </c>
      <c r="B456" s="0" t="s">
        <v>1095</v>
      </c>
      <c r="C456" s="0" t="n">
        <v>2025</v>
      </c>
      <c r="D456" s="41" t="str">
        <f aca="false">IF(Funding!AC23="","",Funding!AC23)</f>
        <v/>
      </c>
      <c r="E456" s="20" t="s">
        <v>3029</v>
      </c>
      <c r="M456" s="20" t="s">
        <v>3655</v>
      </c>
    </row>
    <row r="457" customFormat="false" ht="15" hidden="false" customHeight="false" outlineLevel="0" collapsed="false">
      <c r="A457" s="0" t="s">
        <v>3656</v>
      </c>
      <c r="B457" s="0" t="s">
        <v>1095</v>
      </c>
      <c r="C457" s="0" t="n">
        <v>2025</v>
      </c>
      <c r="D457" s="41" t="n">
        <f aca="false">IF(Funding!AD23="","",Funding!AD23)</f>
        <v>0</v>
      </c>
      <c r="E457" s="20" t="s">
        <v>3032</v>
      </c>
      <c r="M457" s="20" t="s">
        <v>3657</v>
      </c>
    </row>
    <row r="458" customFormat="false" ht="15" hidden="false" customHeight="false" outlineLevel="0" collapsed="false">
      <c r="A458" s="0" t="s">
        <v>3658</v>
      </c>
      <c r="B458" s="0" t="s">
        <v>1095</v>
      </c>
      <c r="C458" s="0" t="n">
        <v>2025</v>
      </c>
      <c r="D458" s="41" t="n">
        <f aca="false">IF(Funding!AE23="","",Funding!AE23)</f>
        <v>0</v>
      </c>
      <c r="E458" s="20" t="s">
        <v>3035</v>
      </c>
      <c r="M458" s="20" t="s">
        <v>3659</v>
      </c>
    </row>
    <row r="459" customFormat="false" ht="15" hidden="false" customHeight="false" outlineLevel="0" collapsed="false">
      <c r="A459" s="0" t="s">
        <v>3660</v>
      </c>
      <c r="B459" s="0" t="s">
        <v>1095</v>
      </c>
      <c r="C459" s="0" t="n">
        <v>2025</v>
      </c>
      <c r="D459" s="41" t="n">
        <f aca="false">IF(Funding!AF23="","",Funding!AF23)</f>
        <v>0</v>
      </c>
      <c r="E459" s="20" t="s">
        <v>3038</v>
      </c>
      <c r="M459" s="20" t="s">
        <v>3661</v>
      </c>
    </row>
    <row r="460" customFormat="false" ht="15" hidden="false" customHeight="false" outlineLevel="0" collapsed="false">
      <c r="A460" s="0" t="s">
        <v>3662</v>
      </c>
      <c r="B460" s="0" t="s">
        <v>1095</v>
      </c>
      <c r="C460" s="0" t="n">
        <v>2025</v>
      </c>
      <c r="D460" s="41" t="n">
        <f aca="false">IF(Funding!AG23="","",Funding!AG23)</f>
        <v>1</v>
      </c>
      <c r="E460" s="20" t="s">
        <v>3041</v>
      </c>
      <c r="M460" s="20" t="s">
        <v>3663</v>
      </c>
    </row>
    <row r="461" customFormat="false" ht="15" hidden="false" customHeight="false" outlineLevel="0" collapsed="false">
      <c r="A461" s="0" t="s">
        <v>3664</v>
      </c>
      <c r="B461" s="0" t="s">
        <v>1095</v>
      </c>
      <c r="C461" s="0" t="n">
        <v>2025</v>
      </c>
      <c r="D461" s="36" t="n">
        <f aca="false">IF(Funding!AL23="","",Funding!AL23)</f>
        <v>0</v>
      </c>
      <c r="E461" s="20" t="s">
        <v>3044</v>
      </c>
      <c r="M461" s="20" t="s">
        <v>3665</v>
      </c>
    </row>
    <row r="462" customFormat="false" ht="15" hidden="false" customHeight="false" outlineLevel="0" collapsed="false">
      <c r="A462" s="0" t="s">
        <v>3666</v>
      </c>
      <c r="B462" s="0" t="s">
        <v>1095</v>
      </c>
      <c r="C462" s="0" t="n">
        <v>2025</v>
      </c>
      <c r="D462" s="41" t="n">
        <f aca="false">IF(Funding!AM23="","",Funding!AM23)</f>
        <v>0</v>
      </c>
      <c r="E462" s="20" t="s">
        <v>3047</v>
      </c>
      <c r="M462" s="20" t="s">
        <v>3667</v>
      </c>
    </row>
    <row r="463" customFormat="false" ht="15" hidden="false" customHeight="false" outlineLevel="0" collapsed="false">
      <c r="A463" s="0" t="s">
        <v>3668</v>
      </c>
      <c r="B463" s="0" t="s">
        <v>1095</v>
      </c>
      <c r="C463" s="0" t="n">
        <v>2025</v>
      </c>
      <c r="D463" s="41" t="str">
        <f aca="false">IF(Funding!AN23="","",Funding!AN23)</f>
        <v/>
      </c>
      <c r="E463" s="20" t="s">
        <v>3050</v>
      </c>
      <c r="M463" s="20" t="s">
        <v>3669</v>
      </c>
    </row>
    <row r="464" customFormat="false" ht="15" hidden="false" customHeight="false" outlineLevel="0" collapsed="false">
      <c r="A464" s="0" t="s">
        <v>3670</v>
      </c>
      <c r="B464" s="0" t="s">
        <v>1095</v>
      </c>
      <c r="C464" s="0" t="n">
        <v>2025</v>
      </c>
      <c r="D464" s="41" t="n">
        <f aca="false">IF(Funding!AO23="","",Funding!AO23)</f>
        <v>0</v>
      </c>
      <c r="E464" s="20" t="s">
        <v>3053</v>
      </c>
      <c r="M464" s="20" t="s">
        <v>3671</v>
      </c>
    </row>
    <row r="465" customFormat="false" ht="15" hidden="false" customHeight="false" outlineLevel="0" collapsed="false">
      <c r="A465" s="0" t="s">
        <v>3672</v>
      </c>
      <c r="B465" s="0" t="s">
        <v>1095</v>
      </c>
      <c r="C465" s="0" t="n">
        <v>2025</v>
      </c>
      <c r="D465" s="41" t="n">
        <f aca="false">IF(Funding!AP23="","",Funding!AP23)</f>
        <v>0</v>
      </c>
      <c r="E465" s="20" t="s">
        <v>3056</v>
      </c>
      <c r="M465" s="20" t="s">
        <v>3673</v>
      </c>
    </row>
    <row r="466" customFormat="false" ht="15" hidden="false" customHeight="false" outlineLevel="0" collapsed="false">
      <c r="A466" s="0" t="s">
        <v>3674</v>
      </c>
      <c r="B466" s="0" t="s">
        <v>1095</v>
      </c>
      <c r="C466" s="0" t="n">
        <v>2025</v>
      </c>
      <c r="D466" s="41" t="n">
        <f aca="false">IF(Funding!AQ23="","",Funding!AQ23)</f>
        <v>0</v>
      </c>
      <c r="E466" s="20" t="s">
        <v>3059</v>
      </c>
      <c r="M466" s="20" t="s">
        <v>3675</v>
      </c>
    </row>
    <row r="467" customFormat="false" ht="15" hidden="false" customHeight="false" outlineLevel="0" collapsed="false">
      <c r="A467" s="0" t="s">
        <v>3676</v>
      </c>
      <c r="B467" s="0" t="s">
        <v>1095</v>
      </c>
      <c r="C467" s="0" t="n">
        <v>2025</v>
      </c>
      <c r="D467" s="36" t="str">
        <f aca="false">IF(Funding!E23="","",Funding!E23)</f>
        <v/>
      </c>
      <c r="E467" s="20" t="s">
        <v>1737</v>
      </c>
      <c r="M467" s="20" t="s">
        <v>3677</v>
      </c>
    </row>
    <row r="468" customFormat="false" ht="15" hidden="false" customHeight="false" outlineLevel="0" collapsed="false">
      <c r="A468" s="0" t="s">
        <v>3678</v>
      </c>
      <c r="B468" s="0" t="s">
        <v>1095</v>
      </c>
      <c r="C468" s="0" t="n">
        <v>2025</v>
      </c>
      <c r="D468" s="36" t="str">
        <f aca="false">IF(Funding!I23="","",Funding!I23)</f>
        <v/>
      </c>
      <c r="E468" s="20" t="s">
        <v>1742</v>
      </c>
      <c r="M468" s="20" t="s">
        <v>3679</v>
      </c>
    </row>
    <row r="469" customFormat="false" ht="15" hidden="false" customHeight="false" outlineLevel="0" collapsed="false">
      <c r="A469" s="0" t="s">
        <v>3680</v>
      </c>
      <c r="B469" s="0" t="s">
        <v>1095</v>
      </c>
      <c r="C469" s="0" t="n">
        <v>2025</v>
      </c>
      <c r="D469" s="36" t="str">
        <f aca="false">IF(Funding!O23="","",Funding!O23)</f>
        <v/>
      </c>
      <c r="E469" s="20" t="s">
        <v>3066</v>
      </c>
      <c r="M469" s="20" t="s">
        <v>3681</v>
      </c>
    </row>
    <row r="470" customFormat="false" ht="15" hidden="false" customHeight="false" outlineLevel="0" collapsed="false">
      <c r="A470" s="0" t="s">
        <v>3682</v>
      </c>
      <c r="B470" s="0" t="s">
        <v>1095</v>
      </c>
      <c r="C470" s="0" t="n">
        <v>2025</v>
      </c>
      <c r="D470" s="36" t="n">
        <f aca="false">N(Funding!J23)+N(Funding!K23)+N(Funding!L23)+N(Funding!M23)</f>
        <v>0</v>
      </c>
      <c r="E470" s="20" t="s">
        <v>3069</v>
      </c>
      <c r="M470" s="20" t="s">
        <v>3683</v>
      </c>
    </row>
    <row r="471" customFormat="false" ht="15" hidden="false" customHeight="false" outlineLevel="0" collapsed="false">
      <c r="A471" s="0" t="s">
        <v>3684</v>
      </c>
      <c r="B471" s="0" t="s">
        <v>1095</v>
      </c>
      <c r="C471" s="0" t="n">
        <v>2025</v>
      </c>
      <c r="D471" s="36" t="str">
        <f aca="false">IF(Funding!R23="","",Funding!R23)</f>
        <v/>
      </c>
      <c r="E471" s="20" t="s">
        <v>3072</v>
      </c>
      <c r="M471" s="20" t="s">
        <v>3685</v>
      </c>
    </row>
    <row r="472" customFormat="false" ht="15" hidden="false" customHeight="false" outlineLevel="0" collapsed="false">
      <c r="A472" s="0" t="s">
        <v>3686</v>
      </c>
      <c r="B472" s="0" t="s">
        <v>1095</v>
      </c>
      <c r="C472" s="0" t="n">
        <v>2026</v>
      </c>
      <c r="D472" s="36" t="n">
        <f aca="false">IF(Funding!W24="","",Funding!W24)</f>
        <v>8.13</v>
      </c>
      <c r="E472" s="20" t="s">
        <v>3026</v>
      </c>
      <c r="M472" s="20" t="s">
        <v>3687</v>
      </c>
    </row>
    <row r="473" customFormat="false" ht="15" hidden="false" customHeight="false" outlineLevel="0" collapsed="false">
      <c r="A473" s="0" t="s">
        <v>3688</v>
      </c>
      <c r="B473" s="0" t="s">
        <v>1095</v>
      </c>
      <c r="C473" s="0" t="n">
        <v>2026</v>
      </c>
      <c r="D473" s="41" t="str">
        <f aca="false">IF(Funding!AC24="","",Funding!AC24)</f>
        <v/>
      </c>
      <c r="E473" s="20" t="s">
        <v>3029</v>
      </c>
      <c r="M473" s="20" t="s">
        <v>3689</v>
      </c>
    </row>
    <row r="474" customFormat="false" ht="15" hidden="false" customHeight="false" outlineLevel="0" collapsed="false">
      <c r="A474" s="0" t="s">
        <v>3690</v>
      </c>
      <c r="B474" s="0" t="s">
        <v>1095</v>
      </c>
      <c r="C474" s="0" t="n">
        <v>2026</v>
      </c>
      <c r="D474" s="41" t="n">
        <f aca="false">IF(Funding!AD24="","",Funding!AD24)</f>
        <v>0</v>
      </c>
      <c r="E474" s="20" t="s">
        <v>3032</v>
      </c>
      <c r="M474" s="20" t="s">
        <v>3691</v>
      </c>
    </row>
    <row r="475" customFormat="false" ht="15" hidden="false" customHeight="false" outlineLevel="0" collapsed="false">
      <c r="A475" s="0" t="s">
        <v>3692</v>
      </c>
      <c r="B475" s="0" t="s">
        <v>1095</v>
      </c>
      <c r="C475" s="0" t="n">
        <v>2026</v>
      </c>
      <c r="D475" s="41" t="n">
        <f aca="false">IF(Funding!AE24="","",Funding!AE24)</f>
        <v>0.591758917589176</v>
      </c>
      <c r="E475" s="20" t="s">
        <v>3035</v>
      </c>
      <c r="M475" s="20" t="s">
        <v>3693</v>
      </c>
    </row>
    <row r="476" customFormat="false" ht="15" hidden="false" customHeight="false" outlineLevel="0" collapsed="false">
      <c r="A476" s="0" t="s">
        <v>3694</v>
      </c>
      <c r="B476" s="0" t="s">
        <v>1095</v>
      </c>
      <c r="C476" s="0" t="n">
        <v>2026</v>
      </c>
      <c r="D476" s="41" t="n">
        <f aca="false">IF(Funding!AF24="","",Funding!AF24)</f>
        <v>0.408241082410824</v>
      </c>
      <c r="E476" s="20" t="s">
        <v>3038</v>
      </c>
      <c r="M476" s="20" t="s">
        <v>3695</v>
      </c>
    </row>
    <row r="477" customFormat="false" ht="15" hidden="false" customHeight="false" outlineLevel="0" collapsed="false">
      <c r="A477" s="0" t="s">
        <v>3696</v>
      </c>
      <c r="B477" s="0" t="s">
        <v>1095</v>
      </c>
      <c r="C477" s="0" t="n">
        <v>2026</v>
      </c>
      <c r="D477" s="41" t="n">
        <f aca="false">IF(Funding!AG24="","",Funding!AG24)</f>
        <v>0</v>
      </c>
      <c r="E477" s="20" t="s">
        <v>3041</v>
      </c>
      <c r="M477" s="20" t="s">
        <v>3697</v>
      </c>
    </row>
    <row r="478" customFormat="false" ht="15" hidden="false" customHeight="false" outlineLevel="0" collapsed="false">
      <c r="A478" s="0" t="s">
        <v>3698</v>
      </c>
      <c r="B478" s="0" t="s">
        <v>1095</v>
      </c>
      <c r="C478" s="0" t="n">
        <v>2026</v>
      </c>
      <c r="D478" s="36" t="n">
        <f aca="false">IF(Funding!AL24="","",Funding!AL24)</f>
        <v>9.149</v>
      </c>
      <c r="E478" s="20" t="s">
        <v>3044</v>
      </c>
      <c r="M478" s="20" t="s">
        <v>3699</v>
      </c>
    </row>
    <row r="479" customFormat="false" ht="15" hidden="false" customHeight="false" outlineLevel="0" collapsed="false">
      <c r="A479" s="0" t="s">
        <v>3700</v>
      </c>
      <c r="B479" s="0" t="s">
        <v>1095</v>
      </c>
      <c r="C479" s="0" t="n">
        <v>2026</v>
      </c>
      <c r="D479" s="41" t="n">
        <f aca="false">IF(Funding!AM24="","",Funding!AM24)</f>
        <v>1.12533825338253</v>
      </c>
      <c r="E479" s="20" t="s">
        <v>3047</v>
      </c>
      <c r="M479" s="20" t="s">
        <v>3701</v>
      </c>
    </row>
    <row r="480" customFormat="false" ht="15" hidden="false" customHeight="false" outlineLevel="0" collapsed="false">
      <c r="A480" s="0" t="s">
        <v>3702</v>
      </c>
      <c r="B480" s="0" t="s">
        <v>1095</v>
      </c>
      <c r="C480" s="0" t="n">
        <v>2026</v>
      </c>
      <c r="D480" s="41" t="str">
        <f aca="false">IF(Funding!AN24="","",Funding!AN24)</f>
        <v/>
      </c>
      <c r="E480" s="20" t="s">
        <v>3050</v>
      </c>
      <c r="M480" s="20" t="s">
        <v>3703</v>
      </c>
    </row>
    <row r="481" customFormat="false" ht="15" hidden="false" customHeight="false" outlineLevel="0" collapsed="false">
      <c r="A481" s="0" t="s">
        <v>3704</v>
      </c>
      <c r="B481" s="0" t="s">
        <v>1095</v>
      </c>
      <c r="C481" s="0" t="n">
        <v>2026</v>
      </c>
      <c r="D481" s="41" t="n">
        <f aca="false">IF(Funding!AO24="","",Funding!AO24)</f>
        <v>0.533579335793358</v>
      </c>
      <c r="E481" s="20" t="s">
        <v>3053</v>
      </c>
      <c r="M481" s="20" t="s">
        <v>3705</v>
      </c>
    </row>
    <row r="482" customFormat="false" ht="15" hidden="false" customHeight="false" outlineLevel="0" collapsed="false">
      <c r="A482" s="0" t="s">
        <v>3706</v>
      </c>
      <c r="B482" s="0" t="s">
        <v>1095</v>
      </c>
      <c r="C482" s="0" t="n">
        <v>2026</v>
      </c>
      <c r="D482" s="41" t="n">
        <f aca="false">IF(Funding!AP24="","",Funding!AP24)</f>
        <v>0.591758917589176</v>
      </c>
      <c r="E482" s="20" t="s">
        <v>3056</v>
      </c>
      <c r="M482" s="20" t="s">
        <v>3707</v>
      </c>
    </row>
    <row r="483" customFormat="false" ht="15" hidden="false" customHeight="false" outlineLevel="0" collapsed="false">
      <c r="A483" s="0" t="s">
        <v>3708</v>
      </c>
      <c r="B483" s="0" t="s">
        <v>1095</v>
      </c>
      <c r="C483" s="0" t="n">
        <v>2026</v>
      </c>
      <c r="D483" s="41" t="n">
        <f aca="false">IF(Funding!AQ24="","",Funding!AQ24)</f>
        <v>0</v>
      </c>
      <c r="E483" s="20" t="s">
        <v>3059</v>
      </c>
      <c r="M483" s="20" t="s">
        <v>3709</v>
      </c>
    </row>
    <row r="484" customFormat="false" ht="15" hidden="false" customHeight="false" outlineLevel="0" collapsed="false">
      <c r="A484" s="0" t="s">
        <v>3710</v>
      </c>
      <c r="B484" s="0" t="s">
        <v>1095</v>
      </c>
      <c r="C484" s="0" t="n">
        <v>2026</v>
      </c>
      <c r="D484" s="36" t="str">
        <f aca="false">IF(Funding!E24="","",Funding!E24)</f>
        <v/>
      </c>
      <c r="E484" s="20" t="s">
        <v>1737</v>
      </c>
      <c r="M484" s="20" t="s">
        <v>3711</v>
      </c>
    </row>
    <row r="485" customFormat="false" ht="15" hidden="false" customHeight="false" outlineLevel="0" collapsed="false">
      <c r="A485" s="0" t="s">
        <v>3712</v>
      </c>
      <c r="B485" s="0" t="s">
        <v>1095</v>
      </c>
      <c r="C485" s="0" t="n">
        <v>2026</v>
      </c>
      <c r="D485" s="36" t="n">
        <f aca="false">IF(Funding!I24="","",Funding!I24)</f>
        <v>-3.626</v>
      </c>
      <c r="E485" s="20" t="s">
        <v>1742</v>
      </c>
      <c r="M485" s="20" t="s">
        <v>3713</v>
      </c>
    </row>
    <row r="486" customFormat="false" ht="15" hidden="false" customHeight="false" outlineLevel="0" collapsed="false">
      <c r="A486" s="0" t="s">
        <v>3714</v>
      </c>
      <c r="B486" s="0" t="s">
        <v>1095</v>
      </c>
      <c r="C486" s="0" t="n">
        <v>2026</v>
      </c>
      <c r="D486" s="36" t="n">
        <f aca="false">IF(Funding!O24="","",Funding!O24)</f>
        <v>12.054</v>
      </c>
      <c r="E486" s="20" t="s">
        <v>3066</v>
      </c>
      <c r="M486" s="20" t="s">
        <v>3715</v>
      </c>
    </row>
    <row r="487" customFormat="false" ht="15" hidden="false" customHeight="false" outlineLevel="0" collapsed="false">
      <c r="A487" s="0" t="s">
        <v>3716</v>
      </c>
      <c r="B487" s="0" t="s">
        <v>1095</v>
      </c>
      <c r="C487" s="0" t="n">
        <v>2026</v>
      </c>
      <c r="D487" s="36" t="n">
        <f aca="false">N(Funding!J24)+N(Funding!K24)+N(Funding!L24)+N(Funding!M24)</f>
        <v>4.338</v>
      </c>
      <c r="E487" s="20" t="s">
        <v>3069</v>
      </c>
      <c r="M487" s="20" t="s">
        <v>3717</v>
      </c>
    </row>
    <row r="488" customFormat="false" ht="15" hidden="false" customHeight="false" outlineLevel="0" collapsed="false">
      <c r="A488" s="0" t="s">
        <v>3718</v>
      </c>
      <c r="B488" s="0" t="s">
        <v>1095</v>
      </c>
      <c r="C488" s="0" t="n">
        <v>2026</v>
      </c>
      <c r="D488" s="36" t="n">
        <f aca="false">IF(Funding!R24="","",Funding!R24)</f>
        <v>4.811</v>
      </c>
      <c r="E488" s="20" t="s">
        <v>3072</v>
      </c>
      <c r="M488" s="20" t="s">
        <v>3719</v>
      </c>
    </row>
    <row r="489" customFormat="false" ht="17.15" hidden="false" customHeight="false" outlineLevel="0" collapsed="false">
      <c r="A489" s="0" t="s">
        <v>3720</v>
      </c>
      <c r="B489" s="0" t="s">
        <v>1306</v>
      </c>
      <c r="C489" s="0" t="n">
        <v>2025</v>
      </c>
      <c r="D489" s="36" t="n">
        <f aca="false">IF(Funding!W25="","",Funding!W25)</f>
        <v>20.7</v>
      </c>
      <c r="E489" s="20" t="s">
        <v>3026</v>
      </c>
      <c r="M489" s="20" t="s">
        <v>3721</v>
      </c>
    </row>
    <row r="490" customFormat="false" ht="17.15" hidden="false" customHeight="false" outlineLevel="0" collapsed="false">
      <c r="A490" s="0" t="s">
        <v>3722</v>
      </c>
      <c r="B490" s="0" t="s">
        <v>1306</v>
      </c>
      <c r="C490" s="0" t="n">
        <v>2025</v>
      </c>
      <c r="D490" s="41" t="n">
        <f aca="false">IF(Funding!AC25="","",Funding!AC25)</f>
        <v>0.328502415458937</v>
      </c>
      <c r="E490" s="20" t="s">
        <v>3029</v>
      </c>
      <c r="M490" s="20" t="s">
        <v>3723</v>
      </c>
    </row>
    <row r="491" customFormat="false" ht="17.15" hidden="false" customHeight="false" outlineLevel="0" collapsed="false">
      <c r="A491" s="0" t="s">
        <v>3724</v>
      </c>
      <c r="B491" s="0" t="s">
        <v>1306</v>
      </c>
      <c r="C491" s="0" t="n">
        <v>2025</v>
      </c>
      <c r="D491" s="41" t="n">
        <f aca="false">IF(Funding!AD25="","",Funding!AD25)</f>
        <v>0</v>
      </c>
      <c r="E491" s="20" t="s">
        <v>3032</v>
      </c>
      <c r="M491" s="20" t="s">
        <v>3725</v>
      </c>
    </row>
    <row r="492" customFormat="false" ht="17.15" hidden="false" customHeight="false" outlineLevel="0" collapsed="false">
      <c r="A492" s="0" t="s">
        <v>3726</v>
      </c>
      <c r="B492" s="0" t="s">
        <v>1306</v>
      </c>
      <c r="C492" s="0" t="n">
        <v>2025</v>
      </c>
      <c r="D492" s="41" t="n">
        <f aca="false">IF(Funding!AE25="","",Funding!AE25)</f>
        <v>0</v>
      </c>
      <c r="E492" s="20" t="s">
        <v>3035</v>
      </c>
      <c r="M492" s="20" t="s">
        <v>3727</v>
      </c>
    </row>
    <row r="493" customFormat="false" ht="17.15" hidden="false" customHeight="false" outlineLevel="0" collapsed="false">
      <c r="A493" s="0" t="s">
        <v>3728</v>
      </c>
      <c r="B493" s="0" t="s">
        <v>1306</v>
      </c>
      <c r="C493" s="0" t="n">
        <v>2025</v>
      </c>
      <c r="D493" s="41" t="n">
        <f aca="false">IF(Funding!AF25="","",Funding!AF25)</f>
        <v>0.671497584541063</v>
      </c>
      <c r="E493" s="20" t="s">
        <v>3038</v>
      </c>
      <c r="M493" s="20" t="s">
        <v>3729</v>
      </c>
    </row>
    <row r="494" customFormat="false" ht="17.15" hidden="false" customHeight="false" outlineLevel="0" collapsed="false">
      <c r="A494" s="0" t="s">
        <v>3730</v>
      </c>
      <c r="B494" s="0" t="s">
        <v>1306</v>
      </c>
      <c r="C494" s="0" t="n">
        <v>2025</v>
      </c>
      <c r="D494" s="41" t="n">
        <f aca="false">IF(Funding!AG25="","",Funding!AG25)</f>
        <v>0</v>
      </c>
      <c r="E494" s="20" t="s">
        <v>3041</v>
      </c>
      <c r="M494" s="20" t="s">
        <v>3731</v>
      </c>
    </row>
    <row r="495" customFormat="false" ht="17.15" hidden="false" customHeight="false" outlineLevel="0" collapsed="false">
      <c r="A495" s="0" t="s">
        <v>3732</v>
      </c>
      <c r="B495" s="0" t="s">
        <v>1306</v>
      </c>
      <c r="C495" s="0" t="n">
        <v>2025</v>
      </c>
      <c r="D495" s="36" t="n">
        <f aca="false">IF(Funding!AL25="","",Funding!AL25)</f>
        <v>16</v>
      </c>
      <c r="E495" s="20" t="s">
        <v>3044</v>
      </c>
      <c r="M495" s="20" t="s">
        <v>3733</v>
      </c>
    </row>
    <row r="496" customFormat="false" ht="17.15" hidden="false" customHeight="false" outlineLevel="0" collapsed="false">
      <c r="A496" s="0" t="s">
        <v>3734</v>
      </c>
      <c r="B496" s="0" t="s">
        <v>1306</v>
      </c>
      <c r="C496" s="0" t="n">
        <v>2025</v>
      </c>
      <c r="D496" s="41" t="n">
        <f aca="false">IF(Funding!AM25="","",Funding!AM25)</f>
        <v>0.772946859903382</v>
      </c>
      <c r="E496" s="20" t="s">
        <v>3047</v>
      </c>
      <c r="M496" s="20" t="s">
        <v>3735</v>
      </c>
    </row>
    <row r="497" customFormat="false" ht="17.15" hidden="false" customHeight="false" outlineLevel="0" collapsed="false">
      <c r="A497" s="0" t="s">
        <v>3736</v>
      </c>
      <c r="B497" s="0" t="s">
        <v>1306</v>
      </c>
      <c r="C497" s="0" t="n">
        <v>2025</v>
      </c>
      <c r="D497" s="41" t="n">
        <f aca="false">IF(Funding!AN25="","",Funding!AN25)</f>
        <v>0.328502415458937</v>
      </c>
      <c r="E497" s="20" t="s">
        <v>3050</v>
      </c>
      <c r="M497" s="20" t="s">
        <v>3737</v>
      </c>
    </row>
    <row r="498" customFormat="false" ht="17.15" hidden="false" customHeight="false" outlineLevel="0" collapsed="false">
      <c r="A498" s="0" t="s">
        <v>3738</v>
      </c>
      <c r="B498" s="0" t="s">
        <v>1306</v>
      </c>
      <c r="C498" s="0" t="n">
        <v>2025</v>
      </c>
      <c r="D498" s="41" t="n">
        <f aca="false">IF(Funding!AO25="","",Funding!AO25)</f>
        <v>0.772946859903382</v>
      </c>
      <c r="E498" s="20" t="s">
        <v>3053</v>
      </c>
      <c r="M498" s="20" t="s">
        <v>3739</v>
      </c>
    </row>
    <row r="499" customFormat="false" ht="17.15" hidden="false" customHeight="false" outlineLevel="0" collapsed="false">
      <c r="A499" s="0" t="s">
        <v>3740</v>
      </c>
      <c r="B499" s="0" t="s">
        <v>1306</v>
      </c>
      <c r="C499" s="0" t="n">
        <v>2025</v>
      </c>
      <c r="D499" s="41" t="n">
        <f aca="false">IF(Funding!AP25="","",Funding!AP25)</f>
        <v>0</v>
      </c>
      <c r="E499" s="20" t="s">
        <v>3056</v>
      </c>
      <c r="M499" s="20" t="s">
        <v>3741</v>
      </c>
    </row>
    <row r="500" customFormat="false" ht="17.15" hidden="false" customHeight="false" outlineLevel="0" collapsed="false">
      <c r="A500" s="0" t="s">
        <v>3742</v>
      </c>
      <c r="B500" s="0" t="s">
        <v>1306</v>
      </c>
      <c r="C500" s="0" t="n">
        <v>2025</v>
      </c>
      <c r="D500" s="41" t="n">
        <f aca="false">IF(Funding!AQ25="","",Funding!AQ25)</f>
        <v>0</v>
      </c>
      <c r="E500" s="20" t="s">
        <v>3059</v>
      </c>
      <c r="M500" s="20" t="s">
        <v>3743</v>
      </c>
    </row>
    <row r="501" customFormat="false" ht="17.15" hidden="false" customHeight="false" outlineLevel="0" collapsed="false">
      <c r="A501" s="0" t="s">
        <v>3744</v>
      </c>
      <c r="B501" s="0" t="s">
        <v>1306</v>
      </c>
      <c r="C501" s="0" t="n">
        <v>2025</v>
      </c>
      <c r="D501" s="36" t="n">
        <f aca="false">IF(Funding!E25="","",Funding!E25)</f>
        <v>6.8</v>
      </c>
      <c r="E501" s="20" t="s">
        <v>1737</v>
      </c>
      <c r="M501" s="20" t="s">
        <v>3745</v>
      </c>
    </row>
    <row r="502" customFormat="false" ht="17.15" hidden="false" customHeight="false" outlineLevel="0" collapsed="false">
      <c r="A502" s="0" t="s">
        <v>3746</v>
      </c>
      <c r="B502" s="0" t="s">
        <v>1306</v>
      </c>
      <c r="C502" s="0" t="n">
        <v>2025</v>
      </c>
      <c r="D502" s="36" t="n">
        <f aca="false">IF(Funding!I25="","",Funding!I25)</f>
        <v>-13.9</v>
      </c>
      <c r="E502" s="20" t="s">
        <v>1742</v>
      </c>
      <c r="M502" s="20" t="s">
        <v>3747</v>
      </c>
    </row>
    <row r="503" customFormat="false" ht="17.15" hidden="false" customHeight="false" outlineLevel="0" collapsed="false">
      <c r="A503" s="0" t="s">
        <v>3748</v>
      </c>
      <c r="B503" s="0" t="s">
        <v>1306</v>
      </c>
      <c r="C503" s="0" t="n">
        <v>2025</v>
      </c>
      <c r="D503" s="36" t="str">
        <f aca="false">IF(Funding!O25="","",Funding!O25)</f>
        <v/>
      </c>
      <c r="E503" s="20" t="s">
        <v>3066</v>
      </c>
      <c r="M503" s="20" t="s">
        <v>3749</v>
      </c>
    </row>
    <row r="504" customFormat="false" ht="17.15" hidden="false" customHeight="false" outlineLevel="0" collapsed="false">
      <c r="A504" s="0" t="s">
        <v>3750</v>
      </c>
      <c r="B504" s="0" t="s">
        <v>1306</v>
      </c>
      <c r="C504" s="0" t="n">
        <v>2025</v>
      </c>
      <c r="D504" s="36" t="n">
        <f aca="false">N(Funding!J25)+N(Funding!K25)+N(Funding!L25)+N(Funding!M25)</f>
        <v>16</v>
      </c>
      <c r="E504" s="20" t="s">
        <v>3069</v>
      </c>
      <c r="M504" s="20" t="s">
        <v>3751</v>
      </c>
    </row>
    <row r="505" customFormat="false" ht="17.15" hidden="false" customHeight="false" outlineLevel="0" collapsed="false">
      <c r="A505" s="0" t="s">
        <v>3752</v>
      </c>
      <c r="B505" s="0" t="s">
        <v>1306</v>
      </c>
      <c r="C505" s="0" t="n">
        <v>2025</v>
      </c>
      <c r="D505" s="36" t="str">
        <f aca="false">IF(Funding!R25="","",Funding!R25)</f>
        <v/>
      </c>
      <c r="E505" s="20" t="s">
        <v>3072</v>
      </c>
      <c r="M505" s="20" t="s">
        <v>3753</v>
      </c>
    </row>
    <row r="506" customFormat="false" ht="17.15" hidden="false" customHeight="false" outlineLevel="0" collapsed="false">
      <c r="A506" s="0" t="s">
        <v>3754</v>
      </c>
      <c r="B506" s="0" t="s">
        <v>1306</v>
      </c>
      <c r="C506" s="0" t="n">
        <v>2026</v>
      </c>
      <c r="D506" s="36" t="n">
        <f aca="false">IF(Funding!W26="","",Funding!W26)</f>
        <v>28.5</v>
      </c>
      <c r="E506" s="20" t="s">
        <v>3026</v>
      </c>
      <c r="M506" s="20" t="s">
        <v>3755</v>
      </c>
    </row>
    <row r="507" customFormat="false" ht="17.15" hidden="false" customHeight="false" outlineLevel="0" collapsed="false">
      <c r="A507" s="0" t="s">
        <v>3756</v>
      </c>
      <c r="B507" s="0" t="s">
        <v>1306</v>
      </c>
      <c r="C507" s="0" t="n">
        <v>2026</v>
      </c>
      <c r="D507" s="41" t="n">
        <f aca="false">IF(Funding!AC26="","",Funding!AC26)</f>
        <v>0.121754385964912</v>
      </c>
      <c r="E507" s="20" t="s">
        <v>3029</v>
      </c>
      <c r="M507" s="20" t="s">
        <v>3757</v>
      </c>
    </row>
    <row r="508" customFormat="false" ht="17.15" hidden="false" customHeight="false" outlineLevel="0" collapsed="false">
      <c r="A508" s="0" t="s">
        <v>3758</v>
      </c>
      <c r="B508" s="0" t="s">
        <v>1306</v>
      </c>
      <c r="C508" s="0" t="n">
        <v>2026</v>
      </c>
      <c r="D508" s="41" t="n">
        <f aca="false">IF(Funding!AD26="","",Funding!AD26)</f>
        <v>0</v>
      </c>
      <c r="E508" s="20" t="s">
        <v>3032</v>
      </c>
      <c r="M508" s="20" t="s">
        <v>3759</v>
      </c>
    </row>
    <row r="509" customFormat="false" ht="17.15" hidden="false" customHeight="false" outlineLevel="0" collapsed="false">
      <c r="A509" s="0" t="s">
        <v>3760</v>
      </c>
      <c r="B509" s="0" t="s">
        <v>1306</v>
      </c>
      <c r="C509" s="0" t="n">
        <v>2026</v>
      </c>
      <c r="D509" s="41" t="n">
        <f aca="false">IF(Funding!AE26="","",Funding!AE26)</f>
        <v>0.878245614035088</v>
      </c>
      <c r="E509" s="20" t="s">
        <v>3035</v>
      </c>
      <c r="M509" s="20" t="s">
        <v>3761</v>
      </c>
    </row>
    <row r="510" customFormat="false" ht="17.15" hidden="false" customHeight="false" outlineLevel="0" collapsed="false">
      <c r="A510" s="0" t="s">
        <v>3762</v>
      </c>
      <c r="B510" s="0" t="s">
        <v>1306</v>
      </c>
      <c r="C510" s="0" t="n">
        <v>2026</v>
      </c>
      <c r="D510" s="41" t="n">
        <f aca="false">IF(Funding!AF26="","",Funding!AF26)</f>
        <v>0</v>
      </c>
      <c r="E510" s="20" t="s">
        <v>3038</v>
      </c>
      <c r="M510" s="20" t="s">
        <v>3763</v>
      </c>
    </row>
    <row r="511" customFormat="false" ht="17.15" hidden="false" customHeight="false" outlineLevel="0" collapsed="false">
      <c r="A511" s="0" t="s">
        <v>3764</v>
      </c>
      <c r="B511" s="0" t="s">
        <v>1306</v>
      </c>
      <c r="C511" s="0" t="n">
        <v>2026</v>
      </c>
      <c r="D511" s="41" t="n">
        <f aca="false">IF(Funding!AG26="","",Funding!AG26)</f>
        <v>0</v>
      </c>
      <c r="E511" s="20" t="s">
        <v>3041</v>
      </c>
      <c r="M511" s="20" t="s">
        <v>3765</v>
      </c>
    </row>
    <row r="512" customFormat="false" ht="17.15" hidden="false" customHeight="false" outlineLevel="0" collapsed="false">
      <c r="A512" s="0" t="s">
        <v>3766</v>
      </c>
      <c r="B512" s="0" t="s">
        <v>1306</v>
      </c>
      <c r="C512" s="0" t="n">
        <v>2026</v>
      </c>
      <c r="D512" s="36" t="n">
        <f aca="false">IF(Funding!AL26="","",Funding!AL26)</f>
        <v>100</v>
      </c>
      <c r="E512" s="20" t="s">
        <v>3044</v>
      </c>
      <c r="M512" s="20" t="s">
        <v>3767</v>
      </c>
    </row>
    <row r="513" customFormat="false" ht="17.15" hidden="false" customHeight="false" outlineLevel="0" collapsed="false">
      <c r="A513" s="0" t="s">
        <v>3768</v>
      </c>
      <c r="B513" s="0" t="s">
        <v>1306</v>
      </c>
      <c r="C513" s="0" t="n">
        <v>2026</v>
      </c>
      <c r="D513" s="41" t="n">
        <f aca="false">IF(Funding!AM26="","",Funding!AM26)</f>
        <v>3.50877192982456</v>
      </c>
      <c r="E513" s="20" t="s">
        <v>3047</v>
      </c>
      <c r="M513" s="20" t="s">
        <v>3769</v>
      </c>
    </row>
    <row r="514" customFormat="false" ht="17.15" hidden="false" customHeight="false" outlineLevel="0" collapsed="false">
      <c r="A514" s="0" t="s">
        <v>3770</v>
      </c>
      <c r="B514" s="0" t="s">
        <v>1306</v>
      </c>
      <c r="C514" s="0" t="n">
        <v>2026</v>
      </c>
      <c r="D514" s="41" t="n">
        <f aca="false">IF(Funding!AN26="","",Funding!AN26)</f>
        <v>0.121754385964912</v>
      </c>
      <c r="E514" s="20" t="s">
        <v>3050</v>
      </c>
      <c r="M514" s="20" t="s">
        <v>3771</v>
      </c>
    </row>
    <row r="515" customFormat="false" ht="17.15" hidden="false" customHeight="false" outlineLevel="0" collapsed="false">
      <c r="A515" s="0" t="s">
        <v>3772</v>
      </c>
      <c r="B515" s="0" t="s">
        <v>1306</v>
      </c>
      <c r="C515" s="0" t="n">
        <v>2026</v>
      </c>
      <c r="D515" s="41" t="n">
        <f aca="false">IF(Funding!AO26="","",Funding!AO26)</f>
        <v>0.87719298245614</v>
      </c>
      <c r="E515" s="20" t="s">
        <v>3053</v>
      </c>
      <c r="M515" s="20" t="s">
        <v>3773</v>
      </c>
    </row>
    <row r="516" customFormat="false" ht="17.15" hidden="false" customHeight="false" outlineLevel="0" collapsed="false">
      <c r="A516" s="0" t="s">
        <v>3774</v>
      </c>
      <c r="B516" s="0" t="s">
        <v>1306</v>
      </c>
      <c r="C516" s="0" t="n">
        <v>2026</v>
      </c>
      <c r="D516" s="41" t="n">
        <f aca="false">IF(Funding!AP26="","",Funding!AP26)</f>
        <v>2.63157894736842</v>
      </c>
      <c r="E516" s="20" t="s">
        <v>3056</v>
      </c>
      <c r="M516" s="20" t="s">
        <v>3775</v>
      </c>
    </row>
    <row r="517" customFormat="false" ht="17.15" hidden="false" customHeight="false" outlineLevel="0" collapsed="false">
      <c r="A517" s="0" t="s">
        <v>3776</v>
      </c>
      <c r="B517" s="0" t="s">
        <v>1306</v>
      </c>
      <c r="C517" s="0" t="n">
        <v>2026</v>
      </c>
      <c r="D517" s="41" t="n">
        <f aca="false">IF(Funding!AQ26="","",Funding!AQ26)</f>
        <v>0</v>
      </c>
      <c r="E517" s="20" t="s">
        <v>3059</v>
      </c>
      <c r="M517" s="20" t="s">
        <v>3777</v>
      </c>
    </row>
    <row r="518" customFormat="false" ht="17.15" hidden="false" customHeight="false" outlineLevel="0" collapsed="false">
      <c r="A518" s="0" t="s">
        <v>3778</v>
      </c>
      <c r="B518" s="0" t="s">
        <v>1306</v>
      </c>
      <c r="C518" s="0" t="n">
        <v>2026</v>
      </c>
      <c r="D518" s="36" t="n">
        <f aca="false">IF(Funding!E26="","",Funding!E26)</f>
        <v>3.47</v>
      </c>
      <c r="E518" s="20" t="s">
        <v>1737</v>
      </c>
      <c r="M518" s="20" t="s">
        <v>3779</v>
      </c>
    </row>
    <row r="519" customFormat="false" ht="17.15" hidden="false" customHeight="false" outlineLevel="0" collapsed="false">
      <c r="A519" s="0" t="s">
        <v>3780</v>
      </c>
      <c r="B519" s="0" t="s">
        <v>1306</v>
      </c>
      <c r="C519" s="0" t="n">
        <v>2026</v>
      </c>
      <c r="D519" s="36" t="str">
        <f aca="false">IF(Funding!I26="","",Funding!I26)</f>
        <v/>
      </c>
      <c r="E519" s="20" t="s">
        <v>1742</v>
      </c>
      <c r="M519" s="20" t="s">
        <v>3781</v>
      </c>
    </row>
    <row r="520" customFormat="false" ht="17.15" hidden="false" customHeight="false" outlineLevel="0" collapsed="false">
      <c r="A520" s="0" t="s">
        <v>3782</v>
      </c>
      <c r="B520" s="0" t="s">
        <v>1306</v>
      </c>
      <c r="C520" s="0" t="n">
        <v>2026</v>
      </c>
      <c r="D520" s="36" t="str">
        <f aca="false">IF(Funding!O26="","",Funding!O26)</f>
        <v/>
      </c>
      <c r="E520" s="20" t="s">
        <v>3066</v>
      </c>
      <c r="M520" s="20" t="s">
        <v>3783</v>
      </c>
    </row>
    <row r="521" customFormat="false" ht="17.15" hidden="false" customHeight="false" outlineLevel="0" collapsed="false">
      <c r="A521" s="0" t="s">
        <v>3784</v>
      </c>
      <c r="B521" s="0" t="s">
        <v>1306</v>
      </c>
      <c r="C521" s="0" t="n">
        <v>2026</v>
      </c>
      <c r="D521" s="36" t="n">
        <f aca="false">N(Funding!J26)+N(Funding!K26)+N(Funding!L26)+N(Funding!M26)</f>
        <v>25</v>
      </c>
      <c r="E521" s="20" t="s">
        <v>3069</v>
      </c>
      <c r="M521" s="20" t="s">
        <v>3785</v>
      </c>
    </row>
    <row r="522" customFormat="false" ht="17.15" hidden="false" customHeight="false" outlineLevel="0" collapsed="false">
      <c r="A522" s="0" t="s">
        <v>3786</v>
      </c>
      <c r="B522" s="0" t="s">
        <v>1306</v>
      </c>
      <c r="C522" s="0" t="n">
        <v>2026</v>
      </c>
      <c r="D522" s="36" t="n">
        <f aca="false">IF(Funding!R26="","",Funding!R26)</f>
        <v>75</v>
      </c>
      <c r="E522" s="20" t="s">
        <v>3072</v>
      </c>
      <c r="M522" s="20" t="s">
        <v>3787</v>
      </c>
    </row>
    <row r="523" customFormat="false" ht="17.15" hidden="false" customHeight="false" outlineLevel="0" collapsed="false">
      <c r="A523" s="0" t="s">
        <v>3788</v>
      </c>
      <c r="B523" s="0" t="s">
        <v>1307</v>
      </c>
      <c r="C523" s="0" t="n">
        <v>2025</v>
      </c>
      <c r="D523" s="36" t="str">
        <f aca="false">IF(Funding!W27="","",Funding!W27)</f>
        <v/>
      </c>
      <c r="E523" s="20" t="s">
        <v>3026</v>
      </c>
      <c r="M523" s="20" t="s">
        <v>3789</v>
      </c>
    </row>
    <row r="524" customFormat="false" ht="17.15" hidden="false" customHeight="false" outlineLevel="0" collapsed="false">
      <c r="A524" s="0" t="s">
        <v>3790</v>
      </c>
      <c r="B524" s="0" t="s">
        <v>1307</v>
      </c>
      <c r="C524" s="0" t="n">
        <v>2025</v>
      </c>
      <c r="D524" s="41" t="str">
        <f aca="false">IF(Funding!AC27="","",Funding!AC27)</f>
        <v/>
      </c>
      <c r="E524" s="20" t="s">
        <v>3029</v>
      </c>
      <c r="M524" s="20" t="s">
        <v>3791</v>
      </c>
    </row>
    <row r="525" customFormat="false" ht="17.15" hidden="false" customHeight="false" outlineLevel="0" collapsed="false">
      <c r="A525" s="0" t="s">
        <v>3792</v>
      </c>
      <c r="B525" s="0" t="s">
        <v>1307</v>
      </c>
      <c r="C525" s="0" t="n">
        <v>2025</v>
      </c>
      <c r="D525" s="41" t="str">
        <f aca="false">IF(Funding!AD27="","",Funding!AD27)</f>
        <v/>
      </c>
      <c r="E525" s="20" t="s">
        <v>3032</v>
      </c>
      <c r="M525" s="20" t="s">
        <v>3793</v>
      </c>
    </row>
    <row r="526" customFormat="false" ht="17.15" hidden="false" customHeight="false" outlineLevel="0" collapsed="false">
      <c r="A526" s="0" t="s">
        <v>3794</v>
      </c>
      <c r="B526" s="0" t="s">
        <v>1307</v>
      </c>
      <c r="C526" s="0" t="n">
        <v>2025</v>
      </c>
      <c r="D526" s="41" t="str">
        <f aca="false">IF(Funding!AE27="","",Funding!AE27)</f>
        <v/>
      </c>
      <c r="E526" s="20" t="s">
        <v>3035</v>
      </c>
      <c r="M526" s="20" t="s">
        <v>3795</v>
      </c>
    </row>
    <row r="527" customFormat="false" ht="17.15" hidden="false" customHeight="false" outlineLevel="0" collapsed="false">
      <c r="A527" s="0" t="s">
        <v>3796</v>
      </c>
      <c r="B527" s="0" t="s">
        <v>1307</v>
      </c>
      <c r="C527" s="0" t="n">
        <v>2025</v>
      </c>
      <c r="D527" s="41" t="str">
        <f aca="false">IF(Funding!AF27="","",Funding!AF27)</f>
        <v/>
      </c>
      <c r="E527" s="20" t="s">
        <v>3038</v>
      </c>
      <c r="M527" s="20" t="s">
        <v>3797</v>
      </c>
    </row>
    <row r="528" customFormat="false" ht="17.15" hidden="false" customHeight="false" outlineLevel="0" collapsed="false">
      <c r="A528" s="0" t="s">
        <v>3798</v>
      </c>
      <c r="B528" s="0" t="s">
        <v>1307</v>
      </c>
      <c r="C528" s="0" t="n">
        <v>2025</v>
      </c>
      <c r="D528" s="41" t="str">
        <f aca="false">IF(Funding!AG27="","",Funding!AG27)</f>
        <v/>
      </c>
      <c r="E528" s="20" t="s">
        <v>3041</v>
      </c>
      <c r="M528" s="20" t="s">
        <v>3799</v>
      </c>
    </row>
    <row r="529" customFormat="false" ht="17.15" hidden="false" customHeight="false" outlineLevel="0" collapsed="false">
      <c r="A529" s="0" t="s">
        <v>3800</v>
      </c>
      <c r="B529" s="0" t="s">
        <v>1307</v>
      </c>
      <c r="C529" s="0" t="n">
        <v>2025</v>
      </c>
      <c r="D529" s="36" t="n">
        <f aca="false">IF(Funding!AL27="","",Funding!AL27)</f>
        <v>0</v>
      </c>
      <c r="E529" s="20" t="s">
        <v>3044</v>
      </c>
      <c r="M529" s="20" t="s">
        <v>3801</v>
      </c>
    </row>
    <row r="530" customFormat="false" ht="17.15" hidden="false" customHeight="false" outlineLevel="0" collapsed="false">
      <c r="A530" s="0" t="s">
        <v>3802</v>
      </c>
      <c r="B530" s="0" t="s">
        <v>1307</v>
      </c>
      <c r="C530" s="0" t="n">
        <v>2025</v>
      </c>
      <c r="D530" s="41" t="str">
        <f aca="false">IF(Funding!AM27="","",Funding!AM27)</f>
        <v/>
      </c>
      <c r="E530" s="20" t="s">
        <v>3047</v>
      </c>
      <c r="M530" s="20" t="s">
        <v>3803</v>
      </c>
    </row>
    <row r="531" customFormat="false" ht="17.15" hidden="false" customHeight="false" outlineLevel="0" collapsed="false">
      <c r="A531" s="0" t="s">
        <v>3804</v>
      </c>
      <c r="B531" s="0" t="s">
        <v>1307</v>
      </c>
      <c r="C531" s="0" t="n">
        <v>2025</v>
      </c>
      <c r="D531" s="41" t="str">
        <f aca="false">IF(Funding!AN27="","",Funding!AN27)</f>
        <v/>
      </c>
      <c r="E531" s="20" t="s">
        <v>3050</v>
      </c>
      <c r="M531" s="20" t="s">
        <v>3805</v>
      </c>
    </row>
    <row r="532" customFormat="false" ht="17.15" hidden="false" customHeight="false" outlineLevel="0" collapsed="false">
      <c r="A532" s="0" t="s">
        <v>3806</v>
      </c>
      <c r="B532" s="0" t="s">
        <v>1307</v>
      </c>
      <c r="C532" s="0" t="n">
        <v>2025</v>
      </c>
      <c r="D532" s="41" t="str">
        <f aca="false">IF(Funding!AO27="","",Funding!AO27)</f>
        <v/>
      </c>
      <c r="E532" s="20" t="s">
        <v>3053</v>
      </c>
      <c r="M532" s="20" t="s">
        <v>3807</v>
      </c>
    </row>
    <row r="533" customFormat="false" ht="17.15" hidden="false" customHeight="false" outlineLevel="0" collapsed="false">
      <c r="A533" s="0" t="s">
        <v>3808</v>
      </c>
      <c r="B533" s="0" t="s">
        <v>1307</v>
      </c>
      <c r="C533" s="0" t="n">
        <v>2025</v>
      </c>
      <c r="D533" s="41" t="str">
        <f aca="false">IF(Funding!AP27="","",Funding!AP27)</f>
        <v/>
      </c>
      <c r="E533" s="20" t="s">
        <v>3056</v>
      </c>
      <c r="M533" s="20" t="s">
        <v>3809</v>
      </c>
    </row>
    <row r="534" customFormat="false" ht="17.15" hidden="false" customHeight="false" outlineLevel="0" collapsed="false">
      <c r="A534" s="0" t="s">
        <v>3810</v>
      </c>
      <c r="B534" s="0" t="s">
        <v>1307</v>
      </c>
      <c r="C534" s="0" t="n">
        <v>2025</v>
      </c>
      <c r="D534" s="41" t="str">
        <f aca="false">IF(Funding!AQ27="","",Funding!AQ27)</f>
        <v/>
      </c>
      <c r="E534" s="20" t="s">
        <v>3059</v>
      </c>
      <c r="M534" s="20" t="s">
        <v>3811</v>
      </c>
    </row>
    <row r="535" customFormat="false" ht="17.15" hidden="false" customHeight="false" outlineLevel="0" collapsed="false">
      <c r="A535" s="0" t="s">
        <v>3812</v>
      </c>
      <c r="B535" s="0" t="s">
        <v>1307</v>
      </c>
      <c r="C535" s="0" t="n">
        <v>2025</v>
      </c>
      <c r="D535" s="36" t="str">
        <f aca="false">IF(Funding!E27="","",Funding!E27)</f>
        <v/>
      </c>
      <c r="E535" s="20" t="s">
        <v>1737</v>
      </c>
      <c r="M535" s="20" t="s">
        <v>3813</v>
      </c>
    </row>
    <row r="536" customFormat="false" ht="17.15" hidden="false" customHeight="false" outlineLevel="0" collapsed="false">
      <c r="A536" s="0" t="s">
        <v>3814</v>
      </c>
      <c r="B536" s="0" t="s">
        <v>1307</v>
      </c>
      <c r="C536" s="0" t="n">
        <v>2025</v>
      </c>
      <c r="D536" s="36" t="n">
        <f aca="false">IF(Funding!I27="","",Funding!I27)</f>
        <v>-8</v>
      </c>
      <c r="E536" s="20" t="s">
        <v>1742</v>
      </c>
      <c r="M536" s="20" t="s">
        <v>3815</v>
      </c>
    </row>
    <row r="537" customFormat="false" ht="17.15" hidden="false" customHeight="false" outlineLevel="0" collapsed="false">
      <c r="A537" s="0" t="s">
        <v>3816</v>
      </c>
      <c r="B537" s="0" t="s">
        <v>1307</v>
      </c>
      <c r="C537" s="0" t="n">
        <v>2025</v>
      </c>
      <c r="D537" s="36" t="str">
        <f aca="false">IF(Funding!O27="","",Funding!O27)</f>
        <v/>
      </c>
      <c r="E537" s="20" t="s">
        <v>3066</v>
      </c>
      <c r="M537" s="20" t="s">
        <v>3817</v>
      </c>
    </row>
    <row r="538" customFormat="false" ht="17.15" hidden="false" customHeight="false" outlineLevel="0" collapsed="false">
      <c r="A538" s="0" t="s">
        <v>3818</v>
      </c>
      <c r="B538" s="0" t="s">
        <v>1307</v>
      </c>
      <c r="C538" s="0" t="n">
        <v>2025</v>
      </c>
      <c r="D538" s="36" t="n">
        <f aca="false">N(Funding!J27)+N(Funding!K27)+N(Funding!L27)+N(Funding!M27)</f>
        <v>0</v>
      </c>
      <c r="E538" s="20" t="s">
        <v>3069</v>
      </c>
      <c r="M538" s="20" t="s">
        <v>3819</v>
      </c>
    </row>
    <row r="539" customFormat="false" ht="17.15" hidden="false" customHeight="false" outlineLevel="0" collapsed="false">
      <c r="A539" s="0" t="s">
        <v>3820</v>
      </c>
      <c r="B539" s="0" t="s">
        <v>1307</v>
      </c>
      <c r="C539" s="0" t="n">
        <v>2025</v>
      </c>
      <c r="D539" s="36" t="str">
        <f aca="false">IF(Funding!R27="","",Funding!R27)</f>
        <v/>
      </c>
      <c r="E539" s="20" t="s">
        <v>3072</v>
      </c>
      <c r="M539" s="20" t="s">
        <v>3821</v>
      </c>
    </row>
    <row r="540" customFormat="false" ht="17.15" hidden="false" customHeight="false" outlineLevel="0" collapsed="false">
      <c r="A540" s="0" t="s">
        <v>3822</v>
      </c>
      <c r="B540" s="0" t="s">
        <v>1307</v>
      </c>
      <c r="C540" s="0" t="n">
        <v>2026</v>
      </c>
      <c r="D540" s="36" t="str">
        <f aca="false">IF(Funding!W28="","",Funding!W28)</f>
        <v/>
      </c>
      <c r="E540" s="20" t="s">
        <v>3026</v>
      </c>
      <c r="M540" s="20" t="s">
        <v>3823</v>
      </c>
    </row>
    <row r="541" customFormat="false" ht="17.15" hidden="false" customHeight="false" outlineLevel="0" collapsed="false">
      <c r="A541" s="0" t="s">
        <v>3824</v>
      </c>
      <c r="B541" s="0" t="s">
        <v>1307</v>
      </c>
      <c r="C541" s="0" t="n">
        <v>2026</v>
      </c>
      <c r="D541" s="41" t="str">
        <f aca="false">IF(Funding!AC28="","",Funding!AC28)</f>
        <v/>
      </c>
      <c r="E541" s="20" t="s">
        <v>3029</v>
      </c>
      <c r="M541" s="20" t="s">
        <v>3825</v>
      </c>
    </row>
    <row r="542" customFormat="false" ht="17.15" hidden="false" customHeight="false" outlineLevel="0" collapsed="false">
      <c r="A542" s="0" t="s">
        <v>3826</v>
      </c>
      <c r="B542" s="0" t="s">
        <v>1307</v>
      </c>
      <c r="C542" s="0" t="n">
        <v>2026</v>
      </c>
      <c r="D542" s="41" t="str">
        <f aca="false">IF(Funding!AD28="","",Funding!AD28)</f>
        <v/>
      </c>
      <c r="E542" s="20" t="s">
        <v>3032</v>
      </c>
      <c r="M542" s="20" t="s">
        <v>3827</v>
      </c>
    </row>
    <row r="543" customFormat="false" ht="17.15" hidden="false" customHeight="false" outlineLevel="0" collapsed="false">
      <c r="A543" s="0" t="s">
        <v>3828</v>
      </c>
      <c r="B543" s="0" t="s">
        <v>1307</v>
      </c>
      <c r="C543" s="0" t="n">
        <v>2026</v>
      </c>
      <c r="D543" s="41" t="str">
        <f aca="false">IF(Funding!AE28="","",Funding!AE28)</f>
        <v/>
      </c>
      <c r="E543" s="20" t="s">
        <v>3035</v>
      </c>
      <c r="M543" s="20" t="s">
        <v>3829</v>
      </c>
    </row>
    <row r="544" customFormat="false" ht="17.15" hidden="false" customHeight="false" outlineLevel="0" collapsed="false">
      <c r="A544" s="0" t="s">
        <v>3830</v>
      </c>
      <c r="B544" s="0" t="s">
        <v>1307</v>
      </c>
      <c r="C544" s="0" t="n">
        <v>2026</v>
      </c>
      <c r="D544" s="41" t="str">
        <f aca="false">IF(Funding!AF28="","",Funding!AF28)</f>
        <v/>
      </c>
      <c r="E544" s="20" t="s">
        <v>3038</v>
      </c>
      <c r="M544" s="20" t="s">
        <v>3831</v>
      </c>
    </row>
    <row r="545" customFormat="false" ht="17.15" hidden="false" customHeight="false" outlineLevel="0" collapsed="false">
      <c r="A545" s="0" t="s">
        <v>3832</v>
      </c>
      <c r="B545" s="0" t="s">
        <v>1307</v>
      </c>
      <c r="C545" s="0" t="n">
        <v>2026</v>
      </c>
      <c r="D545" s="41" t="str">
        <f aca="false">IF(Funding!AG28="","",Funding!AG28)</f>
        <v/>
      </c>
      <c r="E545" s="20" t="s">
        <v>3041</v>
      </c>
      <c r="M545" s="20" t="s">
        <v>3833</v>
      </c>
    </row>
    <row r="546" customFormat="false" ht="17.15" hidden="false" customHeight="false" outlineLevel="0" collapsed="false">
      <c r="A546" s="0" t="s">
        <v>3834</v>
      </c>
      <c r="B546" s="0" t="s">
        <v>1307</v>
      </c>
      <c r="C546" s="0" t="n">
        <v>2026</v>
      </c>
      <c r="D546" s="36" t="n">
        <f aca="false">IF(Funding!AL28="","",Funding!AL28)</f>
        <v>227</v>
      </c>
      <c r="E546" s="20" t="s">
        <v>3044</v>
      </c>
      <c r="M546" s="20" t="s">
        <v>3835</v>
      </c>
    </row>
    <row r="547" customFormat="false" ht="17.15" hidden="false" customHeight="false" outlineLevel="0" collapsed="false">
      <c r="A547" s="0" t="s">
        <v>3836</v>
      </c>
      <c r="B547" s="0" t="s">
        <v>1307</v>
      </c>
      <c r="C547" s="0" t="n">
        <v>2026</v>
      </c>
      <c r="D547" s="41" t="str">
        <f aca="false">IF(Funding!AM28="","",Funding!AM28)</f>
        <v/>
      </c>
      <c r="E547" s="20" t="s">
        <v>3047</v>
      </c>
      <c r="M547" s="20" t="s">
        <v>3837</v>
      </c>
    </row>
    <row r="548" customFormat="false" ht="17.15" hidden="false" customHeight="false" outlineLevel="0" collapsed="false">
      <c r="A548" s="0" t="s">
        <v>3838</v>
      </c>
      <c r="B548" s="0" t="s">
        <v>1307</v>
      </c>
      <c r="C548" s="0" t="n">
        <v>2026</v>
      </c>
      <c r="D548" s="41" t="str">
        <f aca="false">IF(Funding!AN28="","",Funding!AN28)</f>
        <v/>
      </c>
      <c r="E548" s="20" t="s">
        <v>3050</v>
      </c>
      <c r="M548" s="20" t="s">
        <v>3839</v>
      </c>
    </row>
    <row r="549" customFormat="false" ht="17.15" hidden="false" customHeight="false" outlineLevel="0" collapsed="false">
      <c r="A549" s="0" t="s">
        <v>3840</v>
      </c>
      <c r="B549" s="0" t="s">
        <v>1307</v>
      </c>
      <c r="C549" s="0" t="n">
        <v>2026</v>
      </c>
      <c r="D549" s="41" t="str">
        <f aca="false">IF(Funding!AO28="","",Funding!AO28)</f>
        <v/>
      </c>
      <c r="E549" s="20" t="s">
        <v>3053</v>
      </c>
      <c r="M549" s="20" t="s">
        <v>3841</v>
      </c>
    </row>
    <row r="550" customFormat="false" ht="17.15" hidden="false" customHeight="false" outlineLevel="0" collapsed="false">
      <c r="A550" s="0" t="s">
        <v>3842</v>
      </c>
      <c r="B550" s="0" t="s">
        <v>1307</v>
      </c>
      <c r="C550" s="0" t="n">
        <v>2026</v>
      </c>
      <c r="D550" s="41" t="str">
        <f aca="false">IF(Funding!AP28="","",Funding!AP28)</f>
        <v/>
      </c>
      <c r="E550" s="20" t="s">
        <v>3056</v>
      </c>
      <c r="M550" s="20" t="s">
        <v>3843</v>
      </c>
    </row>
    <row r="551" customFormat="false" ht="17.15" hidden="false" customHeight="false" outlineLevel="0" collapsed="false">
      <c r="A551" s="0" t="s">
        <v>3844</v>
      </c>
      <c r="B551" s="0" t="s">
        <v>1307</v>
      </c>
      <c r="C551" s="0" t="n">
        <v>2026</v>
      </c>
      <c r="D551" s="41" t="str">
        <f aca="false">IF(Funding!AQ28="","",Funding!AQ28)</f>
        <v/>
      </c>
      <c r="E551" s="20" t="s">
        <v>3059</v>
      </c>
      <c r="M551" s="20" t="s">
        <v>3845</v>
      </c>
    </row>
    <row r="552" customFormat="false" ht="17.15" hidden="false" customHeight="false" outlineLevel="0" collapsed="false">
      <c r="A552" s="0" t="s">
        <v>3846</v>
      </c>
      <c r="B552" s="0" t="s">
        <v>1307</v>
      </c>
      <c r="C552" s="0" t="n">
        <v>2026</v>
      </c>
      <c r="D552" s="36" t="str">
        <f aca="false">IF(Funding!E28="","",Funding!E28)</f>
        <v/>
      </c>
      <c r="E552" s="20" t="s">
        <v>1737</v>
      </c>
      <c r="M552" s="20" t="s">
        <v>3847</v>
      </c>
    </row>
    <row r="553" customFormat="false" ht="17.15" hidden="false" customHeight="false" outlineLevel="0" collapsed="false">
      <c r="A553" s="0" t="s">
        <v>3848</v>
      </c>
      <c r="B553" s="0" t="s">
        <v>1307</v>
      </c>
      <c r="C553" s="0" t="n">
        <v>2026</v>
      </c>
      <c r="D553" s="36" t="str">
        <f aca="false">IF(Funding!I28="","",Funding!I28)</f>
        <v/>
      </c>
      <c r="E553" s="20" t="s">
        <v>1742</v>
      </c>
      <c r="M553" s="20" t="s">
        <v>3849</v>
      </c>
    </row>
    <row r="554" customFormat="false" ht="17.15" hidden="false" customHeight="false" outlineLevel="0" collapsed="false">
      <c r="A554" s="0" t="s">
        <v>3850</v>
      </c>
      <c r="B554" s="0" t="s">
        <v>1307</v>
      </c>
      <c r="C554" s="0" t="n">
        <v>2026</v>
      </c>
      <c r="D554" s="36" t="str">
        <f aca="false">IF(Funding!O28="","",Funding!O28)</f>
        <v/>
      </c>
      <c r="E554" s="20" t="s">
        <v>3066</v>
      </c>
      <c r="M554" s="20" t="s">
        <v>3851</v>
      </c>
    </row>
    <row r="555" customFormat="false" ht="17.15" hidden="false" customHeight="false" outlineLevel="0" collapsed="false">
      <c r="A555" s="0" t="s">
        <v>3852</v>
      </c>
      <c r="B555" s="0" t="s">
        <v>1307</v>
      </c>
      <c r="C555" s="0" t="n">
        <v>2026</v>
      </c>
      <c r="D555" s="36" t="n">
        <f aca="false">N(Funding!J28)+N(Funding!K28)+N(Funding!L28)+N(Funding!M28)</f>
        <v>0</v>
      </c>
      <c r="E555" s="20" t="s">
        <v>3069</v>
      </c>
      <c r="M555" s="20" t="s">
        <v>3853</v>
      </c>
    </row>
    <row r="556" customFormat="false" ht="17.15" hidden="false" customHeight="false" outlineLevel="0" collapsed="false">
      <c r="A556" s="0" t="s">
        <v>3854</v>
      </c>
      <c r="B556" s="0" t="s">
        <v>1307</v>
      </c>
      <c r="C556" s="0" t="n">
        <v>2026</v>
      </c>
      <c r="D556" s="36" t="n">
        <f aca="false">IF(Funding!R28="","",Funding!R28)</f>
        <v>122</v>
      </c>
      <c r="E556" s="20" t="s">
        <v>3072</v>
      </c>
      <c r="M556" s="20" t="s">
        <v>3855</v>
      </c>
    </row>
    <row r="557" customFormat="false" ht="17.15" hidden="false" customHeight="false" outlineLevel="0" collapsed="false">
      <c r="A557" s="0" t="s">
        <v>3856</v>
      </c>
      <c r="B557" s="0" t="s">
        <v>1308</v>
      </c>
      <c r="C557" s="0" t="n">
        <v>2025</v>
      </c>
      <c r="D557" s="36" t="str">
        <f aca="false">IF(Funding!W29="","",Funding!W29)</f>
        <v/>
      </c>
      <c r="E557" s="20" t="s">
        <v>3026</v>
      </c>
      <c r="M557" s="20" t="s">
        <v>3857</v>
      </c>
    </row>
    <row r="558" customFormat="false" ht="17.15" hidden="false" customHeight="false" outlineLevel="0" collapsed="false">
      <c r="A558" s="0" t="s">
        <v>3858</v>
      </c>
      <c r="B558" s="0" t="s">
        <v>1308</v>
      </c>
      <c r="C558" s="0" t="n">
        <v>2025</v>
      </c>
      <c r="D558" s="41" t="str">
        <f aca="false">IF(Funding!AC29="","",Funding!AC29)</f>
        <v/>
      </c>
      <c r="E558" s="20" t="s">
        <v>3029</v>
      </c>
      <c r="M558" s="20" t="s">
        <v>3859</v>
      </c>
    </row>
    <row r="559" customFormat="false" ht="17.15" hidden="false" customHeight="false" outlineLevel="0" collapsed="false">
      <c r="A559" s="0" t="s">
        <v>3860</v>
      </c>
      <c r="B559" s="0" t="s">
        <v>1308</v>
      </c>
      <c r="C559" s="0" t="n">
        <v>2025</v>
      </c>
      <c r="D559" s="41" t="str">
        <f aca="false">IF(Funding!AD29="","",Funding!AD29)</f>
        <v/>
      </c>
      <c r="E559" s="20" t="s">
        <v>3032</v>
      </c>
      <c r="M559" s="20" t="s">
        <v>3861</v>
      </c>
    </row>
    <row r="560" customFormat="false" ht="17.15" hidden="false" customHeight="false" outlineLevel="0" collapsed="false">
      <c r="A560" s="0" t="s">
        <v>3862</v>
      </c>
      <c r="B560" s="0" t="s">
        <v>1308</v>
      </c>
      <c r="C560" s="0" t="n">
        <v>2025</v>
      </c>
      <c r="D560" s="41" t="str">
        <f aca="false">IF(Funding!AE29="","",Funding!AE29)</f>
        <v/>
      </c>
      <c r="E560" s="20" t="s">
        <v>3035</v>
      </c>
      <c r="M560" s="20" t="s">
        <v>3863</v>
      </c>
    </row>
    <row r="561" customFormat="false" ht="17.15" hidden="false" customHeight="false" outlineLevel="0" collapsed="false">
      <c r="A561" s="0" t="s">
        <v>3864</v>
      </c>
      <c r="B561" s="0" t="s">
        <v>1308</v>
      </c>
      <c r="C561" s="0" t="n">
        <v>2025</v>
      </c>
      <c r="D561" s="41" t="str">
        <f aca="false">IF(Funding!AF29="","",Funding!AF29)</f>
        <v/>
      </c>
      <c r="E561" s="20" t="s">
        <v>3038</v>
      </c>
      <c r="M561" s="20" t="s">
        <v>3865</v>
      </c>
    </row>
    <row r="562" customFormat="false" ht="17.15" hidden="false" customHeight="false" outlineLevel="0" collapsed="false">
      <c r="A562" s="0" t="s">
        <v>3866</v>
      </c>
      <c r="B562" s="0" t="s">
        <v>1308</v>
      </c>
      <c r="C562" s="0" t="n">
        <v>2025</v>
      </c>
      <c r="D562" s="41" t="str">
        <f aca="false">IF(Funding!AG29="","",Funding!AG29)</f>
        <v/>
      </c>
      <c r="E562" s="20" t="s">
        <v>3041</v>
      </c>
      <c r="M562" s="20" t="s">
        <v>3867</v>
      </c>
    </row>
    <row r="563" customFormat="false" ht="17.15" hidden="false" customHeight="false" outlineLevel="0" collapsed="false">
      <c r="A563" s="0" t="s">
        <v>3868</v>
      </c>
      <c r="B563" s="0" t="s">
        <v>1308</v>
      </c>
      <c r="C563" s="0" t="n">
        <v>2025</v>
      </c>
      <c r="D563" s="36" t="n">
        <f aca="false">IF(Funding!AL29="","",Funding!AL29)</f>
        <v>0</v>
      </c>
      <c r="E563" s="20" t="s">
        <v>3044</v>
      </c>
      <c r="M563" s="20" t="s">
        <v>3869</v>
      </c>
    </row>
    <row r="564" customFormat="false" ht="17.15" hidden="false" customHeight="false" outlineLevel="0" collapsed="false">
      <c r="A564" s="0" t="s">
        <v>3870</v>
      </c>
      <c r="B564" s="0" t="s">
        <v>1308</v>
      </c>
      <c r="C564" s="0" t="n">
        <v>2025</v>
      </c>
      <c r="D564" s="41" t="str">
        <f aca="false">IF(Funding!AM29="","",Funding!AM29)</f>
        <v/>
      </c>
      <c r="E564" s="20" t="s">
        <v>3047</v>
      </c>
      <c r="M564" s="20" t="s">
        <v>3871</v>
      </c>
    </row>
    <row r="565" customFormat="false" ht="17.15" hidden="false" customHeight="false" outlineLevel="0" collapsed="false">
      <c r="A565" s="0" t="s">
        <v>3872</v>
      </c>
      <c r="B565" s="0" t="s">
        <v>1308</v>
      </c>
      <c r="C565" s="0" t="n">
        <v>2025</v>
      </c>
      <c r="D565" s="41" t="str">
        <f aca="false">IF(Funding!AN29="","",Funding!AN29)</f>
        <v/>
      </c>
      <c r="E565" s="20" t="s">
        <v>3050</v>
      </c>
      <c r="M565" s="20" t="s">
        <v>3873</v>
      </c>
    </row>
    <row r="566" customFormat="false" ht="17.15" hidden="false" customHeight="false" outlineLevel="0" collapsed="false">
      <c r="A566" s="0" t="s">
        <v>3874</v>
      </c>
      <c r="B566" s="0" t="s">
        <v>1308</v>
      </c>
      <c r="C566" s="0" t="n">
        <v>2025</v>
      </c>
      <c r="D566" s="41" t="str">
        <f aca="false">IF(Funding!AO29="","",Funding!AO29)</f>
        <v/>
      </c>
      <c r="E566" s="20" t="s">
        <v>3053</v>
      </c>
      <c r="M566" s="20" t="s">
        <v>3875</v>
      </c>
    </row>
    <row r="567" customFormat="false" ht="17.15" hidden="false" customHeight="false" outlineLevel="0" collapsed="false">
      <c r="A567" s="0" t="s">
        <v>3876</v>
      </c>
      <c r="B567" s="0" t="s">
        <v>1308</v>
      </c>
      <c r="C567" s="0" t="n">
        <v>2025</v>
      </c>
      <c r="D567" s="41" t="str">
        <f aca="false">IF(Funding!AP29="","",Funding!AP29)</f>
        <v/>
      </c>
      <c r="E567" s="20" t="s">
        <v>3056</v>
      </c>
      <c r="M567" s="20" t="s">
        <v>3877</v>
      </c>
    </row>
    <row r="568" customFormat="false" ht="17.15" hidden="false" customHeight="false" outlineLevel="0" collapsed="false">
      <c r="A568" s="0" t="s">
        <v>3878</v>
      </c>
      <c r="B568" s="0" t="s">
        <v>1308</v>
      </c>
      <c r="C568" s="0" t="n">
        <v>2025</v>
      </c>
      <c r="D568" s="41" t="str">
        <f aca="false">IF(Funding!AQ29="","",Funding!AQ29)</f>
        <v/>
      </c>
      <c r="E568" s="20" t="s">
        <v>3059</v>
      </c>
      <c r="M568" s="20" t="s">
        <v>3879</v>
      </c>
    </row>
    <row r="569" customFormat="false" ht="17.15" hidden="false" customHeight="false" outlineLevel="0" collapsed="false">
      <c r="A569" s="0" t="s">
        <v>3880</v>
      </c>
      <c r="B569" s="0" t="s">
        <v>1308</v>
      </c>
      <c r="C569" s="0" t="n">
        <v>2025</v>
      </c>
      <c r="D569" s="36" t="str">
        <f aca="false">IF(Funding!E29="","",Funding!E29)</f>
        <v/>
      </c>
      <c r="E569" s="20" t="s">
        <v>1737</v>
      </c>
      <c r="M569" s="20" t="s">
        <v>3881</v>
      </c>
    </row>
    <row r="570" customFormat="false" ht="17.15" hidden="false" customHeight="false" outlineLevel="0" collapsed="false">
      <c r="A570" s="0" t="s">
        <v>3882</v>
      </c>
      <c r="B570" s="0" t="s">
        <v>1308</v>
      </c>
      <c r="C570" s="0" t="n">
        <v>2025</v>
      </c>
      <c r="D570" s="36" t="str">
        <f aca="false">IF(Funding!I29="","",Funding!I29)</f>
        <v/>
      </c>
      <c r="E570" s="20" t="s">
        <v>1742</v>
      </c>
      <c r="M570" s="20" t="s">
        <v>3883</v>
      </c>
    </row>
    <row r="571" customFormat="false" ht="17.15" hidden="false" customHeight="false" outlineLevel="0" collapsed="false">
      <c r="A571" s="0" t="s">
        <v>3884</v>
      </c>
      <c r="B571" s="0" t="s">
        <v>1308</v>
      </c>
      <c r="C571" s="0" t="n">
        <v>2025</v>
      </c>
      <c r="D571" s="36" t="str">
        <f aca="false">IF(Funding!O29="","",Funding!O29)</f>
        <v/>
      </c>
      <c r="E571" s="20" t="s">
        <v>3066</v>
      </c>
      <c r="M571" s="20" t="s">
        <v>3885</v>
      </c>
    </row>
    <row r="572" customFormat="false" ht="17.15" hidden="false" customHeight="false" outlineLevel="0" collapsed="false">
      <c r="A572" s="0" t="s">
        <v>3886</v>
      </c>
      <c r="B572" s="0" t="s">
        <v>1308</v>
      </c>
      <c r="C572" s="0" t="n">
        <v>2025</v>
      </c>
      <c r="D572" s="36" t="n">
        <f aca="false">N(Funding!J29)+N(Funding!K29)+N(Funding!L29)+N(Funding!M29)</f>
        <v>0</v>
      </c>
      <c r="E572" s="20" t="s">
        <v>3069</v>
      </c>
      <c r="M572" s="20" t="s">
        <v>3887</v>
      </c>
    </row>
    <row r="573" customFormat="false" ht="17.15" hidden="false" customHeight="false" outlineLevel="0" collapsed="false">
      <c r="A573" s="0" t="s">
        <v>3888</v>
      </c>
      <c r="B573" s="0" t="s">
        <v>1308</v>
      </c>
      <c r="C573" s="0" t="n">
        <v>2025</v>
      </c>
      <c r="D573" s="36" t="str">
        <f aca="false">IF(Funding!R29="","",Funding!R29)</f>
        <v/>
      </c>
      <c r="E573" s="20" t="s">
        <v>3072</v>
      </c>
      <c r="M573" s="20" t="s">
        <v>3889</v>
      </c>
    </row>
    <row r="574" customFormat="false" ht="17.15" hidden="false" customHeight="false" outlineLevel="0" collapsed="false">
      <c r="A574" s="0" t="s">
        <v>3890</v>
      </c>
      <c r="B574" s="0" t="s">
        <v>1308</v>
      </c>
      <c r="C574" s="0" t="n">
        <v>2026</v>
      </c>
      <c r="D574" s="36" t="str">
        <f aca="false">IF(Funding!W30="","",Funding!W30)</f>
        <v/>
      </c>
      <c r="E574" s="20" t="s">
        <v>3026</v>
      </c>
      <c r="M574" s="20" t="s">
        <v>3891</v>
      </c>
    </row>
    <row r="575" customFormat="false" ht="17.15" hidden="false" customHeight="false" outlineLevel="0" collapsed="false">
      <c r="A575" s="0" t="s">
        <v>3892</v>
      </c>
      <c r="B575" s="0" t="s">
        <v>1308</v>
      </c>
      <c r="C575" s="0" t="n">
        <v>2026</v>
      </c>
      <c r="D575" s="41" t="str">
        <f aca="false">IF(Funding!AC30="","",Funding!AC30)</f>
        <v/>
      </c>
      <c r="E575" s="20" t="s">
        <v>3029</v>
      </c>
      <c r="M575" s="20" t="s">
        <v>3893</v>
      </c>
    </row>
    <row r="576" customFormat="false" ht="17.15" hidden="false" customHeight="false" outlineLevel="0" collapsed="false">
      <c r="A576" s="0" t="s">
        <v>3894</v>
      </c>
      <c r="B576" s="0" t="s">
        <v>1308</v>
      </c>
      <c r="C576" s="0" t="n">
        <v>2026</v>
      </c>
      <c r="D576" s="41" t="str">
        <f aca="false">IF(Funding!AD30="","",Funding!AD30)</f>
        <v/>
      </c>
      <c r="E576" s="20" t="s">
        <v>3032</v>
      </c>
      <c r="M576" s="20" t="s">
        <v>3895</v>
      </c>
    </row>
    <row r="577" customFormat="false" ht="17.15" hidden="false" customHeight="false" outlineLevel="0" collapsed="false">
      <c r="A577" s="0" t="s">
        <v>3896</v>
      </c>
      <c r="B577" s="0" t="s">
        <v>1308</v>
      </c>
      <c r="C577" s="0" t="n">
        <v>2026</v>
      </c>
      <c r="D577" s="41" t="str">
        <f aca="false">IF(Funding!AE30="","",Funding!AE30)</f>
        <v/>
      </c>
      <c r="E577" s="20" t="s">
        <v>3035</v>
      </c>
      <c r="M577" s="20" t="s">
        <v>3897</v>
      </c>
    </row>
    <row r="578" customFormat="false" ht="17.15" hidden="false" customHeight="false" outlineLevel="0" collapsed="false">
      <c r="A578" s="0" t="s">
        <v>3898</v>
      </c>
      <c r="B578" s="0" t="s">
        <v>1308</v>
      </c>
      <c r="C578" s="0" t="n">
        <v>2026</v>
      </c>
      <c r="D578" s="41" t="str">
        <f aca="false">IF(Funding!AF30="","",Funding!AF30)</f>
        <v/>
      </c>
      <c r="E578" s="20" t="s">
        <v>3038</v>
      </c>
      <c r="M578" s="20" t="s">
        <v>3899</v>
      </c>
    </row>
    <row r="579" customFormat="false" ht="17.15" hidden="false" customHeight="false" outlineLevel="0" collapsed="false">
      <c r="A579" s="0" t="s">
        <v>3900</v>
      </c>
      <c r="B579" s="0" t="s">
        <v>1308</v>
      </c>
      <c r="C579" s="0" t="n">
        <v>2026</v>
      </c>
      <c r="D579" s="41" t="str">
        <f aca="false">IF(Funding!AG30="","",Funding!AG30)</f>
        <v/>
      </c>
      <c r="E579" s="20" t="s">
        <v>3041</v>
      </c>
      <c r="M579" s="20" t="s">
        <v>3901</v>
      </c>
    </row>
    <row r="580" customFormat="false" ht="17.15" hidden="false" customHeight="false" outlineLevel="0" collapsed="false">
      <c r="A580" s="0" t="s">
        <v>3902</v>
      </c>
      <c r="B580" s="0" t="s">
        <v>1308</v>
      </c>
      <c r="C580" s="0" t="n">
        <v>2026</v>
      </c>
      <c r="D580" s="36" t="n">
        <f aca="false">IF(Funding!AL30="","",Funding!AL30)</f>
        <v>130</v>
      </c>
      <c r="E580" s="20" t="s">
        <v>3044</v>
      </c>
      <c r="M580" s="20" t="s">
        <v>3903</v>
      </c>
    </row>
    <row r="581" customFormat="false" ht="17.15" hidden="false" customHeight="false" outlineLevel="0" collapsed="false">
      <c r="A581" s="0" t="s">
        <v>3904</v>
      </c>
      <c r="B581" s="0" t="s">
        <v>1308</v>
      </c>
      <c r="C581" s="0" t="n">
        <v>2026</v>
      </c>
      <c r="D581" s="41" t="str">
        <f aca="false">IF(Funding!AM30="","",Funding!AM30)</f>
        <v/>
      </c>
      <c r="E581" s="20" t="s">
        <v>3047</v>
      </c>
      <c r="M581" s="20" t="s">
        <v>3905</v>
      </c>
    </row>
    <row r="582" customFormat="false" ht="17.15" hidden="false" customHeight="false" outlineLevel="0" collapsed="false">
      <c r="A582" s="0" t="s">
        <v>3906</v>
      </c>
      <c r="B582" s="0" t="s">
        <v>1308</v>
      </c>
      <c r="C582" s="0" t="n">
        <v>2026</v>
      </c>
      <c r="D582" s="41" t="str">
        <f aca="false">IF(Funding!AN30="","",Funding!AN30)</f>
        <v/>
      </c>
      <c r="E582" s="20" t="s">
        <v>3050</v>
      </c>
      <c r="M582" s="20" t="s">
        <v>3907</v>
      </c>
    </row>
    <row r="583" customFormat="false" ht="17.15" hidden="false" customHeight="false" outlineLevel="0" collapsed="false">
      <c r="A583" s="0" t="s">
        <v>3908</v>
      </c>
      <c r="B583" s="0" t="s">
        <v>1308</v>
      </c>
      <c r="C583" s="0" t="n">
        <v>2026</v>
      </c>
      <c r="D583" s="41" t="str">
        <f aca="false">IF(Funding!AO30="","",Funding!AO30)</f>
        <v/>
      </c>
      <c r="E583" s="20" t="s">
        <v>3053</v>
      </c>
      <c r="M583" s="20" t="s">
        <v>3909</v>
      </c>
    </row>
    <row r="584" customFormat="false" ht="17.15" hidden="false" customHeight="false" outlineLevel="0" collapsed="false">
      <c r="A584" s="0" t="s">
        <v>3910</v>
      </c>
      <c r="B584" s="0" t="s">
        <v>1308</v>
      </c>
      <c r="C584" s="0" t="n">
        <v>2026</v>
      </c>
      <c r="D584" s="41" t="str">
        <f aca="false">IF(Funding!AP30="","",Funding!AP30)</f>
        <v/>
      </c>
      <c r="E584" s="20" t="s">
        <v>3056</v>
      </c>
      <c r="M584" s="20" t="s">
        <v>3911</v>
      </c>
    </row>
    <row r="585" customFormat="false" ht="17.15" hidden="false" customHeight="false" outlineLevel="0" collapsed="false">
      <c r="A585" s="0" t="s">
        <v>3912</v>
      </c>
      <c r="B585" s="0" t="s">
        <v>1308</v>
      </c>
      <c r="C585" s="0" t="n">
        <v>2026</v>
      </c>
      <c r="D585" s="41" t="str">
        <f aca="false">IF(Funding!AQ30="","",Funding!AQ30)</f>
        <v/>
      </c>
      <c r="E585" s="20" t="s">
        <v>3059</v>
      </c>
      <c r="M585" s="20" t="s">
        <v>3913</v>
      </c>
    </row>
    <row r="586" customFormat="false" ht="17.15" hidden="false" customHeight="false" outlineLevel="0" collapsed="false">
      <c r="A586" s="0" t="s">
        <v>3914</v>
      </c>
      <c r="B586" s="0" t="s">
        <v>1308</v>
      </c>
      <c r="C586" s="0" t="n">
        <v>2026</v>
      </c>
      <c r="D586" s="36" t="str">
        <f aca="false">IF(Funding!E30="","",Funding!E30)</f>
        <v/>
      </c>
      <c r="E586" s="20" t="s">
        <v>1737</v>
      </c>
      <c r="M586" s="20" t="s">
        <v>3915</v>
      </c>
    </row>
    <row r="587" customFormat="false" ht="17.15" hidden="false" customHeight="false" outlineLevel="0" collapsed="false">
      <c r="A587" s="0" t="s">
        <v>3916</v>
      </c>
      <c r="B587" s="0" t="s">
        <v>1308</v>
      </c>
      <c r="C587" s="0" t="n">
        <v>2026</v>
      </c>
      <c r="D587" s="36" t="str">
        <f aca="false">IF(Funding!I30="","",Funding!I30)</f>
        <v/>
      </c>
      <c r="E587" s="20" t="s">
        <v>1742</v>
      </c>
      <c r="M587" s="20" t="s">
        <v>3917</v>
      </c>
    </row>
    <row r="588" customFormat="false" ht="17.15" hidden="false" customHeight="false" outlineLevel="0" collapsed="false">
      <c r="A588" s="0" t="s">
        <v>3918</v>
      </c>
      <c r="B588" s="0" t="s">
        <v>1308</v>
      </c>
      <c r="C588" s="0" t="n">
        <v>2026</v>
      </c>
      <c r="D588" s="36" t="str">
        <f aca="false">IF(Funding!O30="","",Funding!O30)</f>
        <v/>
      </c>
      <c r="E588" s="20" t="s">
        <v>3066</v>
      </c>
      <c r="M588" s="20" t="s">
        <v>3919</v>
      </c>
    </row>
    <row r="589" customFormat="false" ht="17.15" hidden="false" customHeight="false" outlineLevel="0" collapsed="false">
      <c r="A589" s="0" t="s">
        <v>3920</v>
      </c>
      <c r="B589" s="0" t="s">
        <v>1308</v>
      </c>
      <c r="C589" s="0" t="n">
        <v>2026</v>
      </c>
      <c r="D589" s="36" t="n">
        <f aca="false">N(Funding!J30)+N(Funding!K30)+N(Funding!L30)+N(Funding!M30)</f>
        <v>35</v>
      </c>
      <c r="E589" s="20" t="s">
        <v>3069</v>
      </c>
      <c r="M589" s="20" t="s">
        <v>3921</v>
      </c>
    </row>
    <row r="590" customFormat="false" ht="17.15" hidden="false" customHeight="false" outlineLevel="0" collapsed="false">
      <c r="A590" s="0" t="s">
        <v>3922</v>
      </c>
      <c r="B590" s="0" t="s">
        <v>1308</v>
      </c>
      <c r="C590" s="0" t="n">
        <v>2026</v>
      </c>
      <c r="D590" s="36" t="n">
        <f aca="false">IF(Funding!R30="","",Funding!R30)</f>
        <v>95</v>
      </c>
      <c r="E590" s="20" t="s">
        <v>3072</v>
      </c>
      <c r="M590" s="20" t="s">
        <v>3923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3924</v>
      </c>
    </row>
    <row r="3" customFormat="false" ht="15" hidden="false" customHeight="false" outlineLevel="0" collapsed="false">
      <c r="A3" s="7" t="s">
        <v>1698</v>
      </c>
      <c r="B3" s="6" t="s">
        <v>15</v>
      </c>
      <c r="C3" s="6" t="s">
        <v>3925</v>
      </c>
      <c r="D3" s="6" t="s">
        <v>3926</v>
      </c>
      <c r="E3" s="6" t="s">
        <v>1300</v>
      </c>
      <c r="F3" s="6" t="s">
        <v>3927</v>
      </c>
      <c r="G3" s="6" t="s">
        <v>3928</v>
      </c>
      <c r="H3" s="6" t="s">
        <v>20</v>
      </c>
    </row>
    <row r="4" customFormat="false" ht="17.15" hidden="false" customHeight="false" outlineLevel="0" collapsed="false">
      <c r="A4" s="0" t="s">
        <v>3929</v>
      </c>
      <c r="B4" s="0" t="s">
        <v>3930</v>
      </c>
      <c r="C4" s="0" t="n">
        <f aca="false">SUMPRODUCT(ISERROR(In!A1:AT247)*1)</f>
        <v>0</v>
      </c>
      <c r="F4" s="0" t="str">
        <f aca="false">IF(C4=0,"OK","ERROR")</f>
        <v>OK</v>
      </c>
      <c r="G4" s="5" t="s">
        <v>3931</v>
      </c>
    </row>
    <row r="5" customFormat="false" ht="17.15" hidden="false" customHeight="false" outlineLevel="0" collapsed="false">
      <c r="A5" s="0" t="s">
        <v>3932</v>
      </c>
      <c r="B5" s="0" t="s">
        <v>3933</v>
      </c>
      <c r="C5" s="0" t="n">
        <f aca="false">SUMPRODUCT(ISERROR(TK_In!A1:AT65)*1)</f>
        <v>0</v>
      </c>
      <c r="F5" s="0" t="str">
        <f aca="false">IF(C5=0,"OK","ERROR")</f>
        <v>OK</v>
      </c>
      <c r="G5" s="5" t="s">
        <v>3931</v>
      </c>
    </row>
    <row r="6" customFormat="false" ht="17.15" hidden="false" customHeight="false" outlineLevel="0" collapsed="false">
      <c r="A6" s="0" t="s">
        <v>3934</v>
      </c>
      <c r="B6" s="0" t="s">
        <v>3935</v>
      </c>
      <c r="C6" s="0" t="n">
        <f aca="false">SUMPRODUCT(ISERROR(SIL_In!A1:AT60)*1)</f>
        <v>0</v>
      </c>
      <c r="F6" s="0" t="str">
        <f aca="false">IF(C6=0,"OK","ERROR")</f>
        <v>OK</v>
      </c>
      <c r="G6" s="5" t="s">
        <v>3931</v>
      </c>
    </row>
    <row r="7" customFormat="false" ht="17.15" hidden="false" customHeight="false" outlineLevel="0" collapsed="false">
      <c r="A7" s="0" t="s">
        <v>3936</v>
      </c>
      <c r="B7" s="0" t="s">
        <v>3937</v>
      </c>
      <c r="C7" s="0" t="n">
        <f aca="false">SUMPRODUCT(ISERROR(Players!A1:AT319)*1)</f>
        <v>0</v>
      </c>
      <c r="F7" s="0" t="str">
        <f aca="false">IF(C7=0,"OK","ERROR")</f>
        <v>OK</v>
      </c>
      <c r="G7" s="5" t="s">
        <v>3931</v>
      </c>
    </row>
    <row r="8" customFormat="false" ht="17.15" hidden="false" customHeight="false" outlineLevel="0" collapsed="false">
      <c r="A8" s="0" t="s">
        <v>3938</v>
      </c>
      <c r="B8" s="0" t="s">
        <v>3939</v>
      </c>
      <c r="C8" s="0" t="n">
        <f aca="false">SUMPRODUCT(ISERROR(Matrix!A1:AT68)*1)</f>
        <v>0</v>
      </c>
      <c r="F8" s="0" t="str">
        <f aca="false">IF(C8=0,"OK","ERROR")</f>
        <v>OK</v>
      </c>
      <c r="G8" s="5" t="s">
        <v>3931</v>
      </c>
    </row>
    <row r="9" customFormat="false" ht="17.15" hidden="false" customHeight="false" outlineLevel="0" collapsed="false">
      <c r="A9" s="0" t="s">
        <v>3940</v>
      </c>
      <c r="B9" s="0" t="s">
        <v>3941</v>
      </c>
      <c r="C9" s="0" t="n">
        <f aca="false">SUMPRODUCT(ISERROR(Pipeline!A1:AT180)*1)</f>
        <v>0</v>
      </c>
      <c r="F9" s="0" t="str">
        <f aca="false">IF(C9=0,"OK","ERROR")</f>
        <v>OK</v>
      </c>
      <c r="G9" s="5" t="s">
        <v>3931</v>
      </c>
    </row>
    <row r="10" customFormat="false" ht="17.15" hidden="false" customHeight="false" outlineLevel="0" collapsed="false">
      <c r="A10" s="0" t="s">
        <v>3942</v>
      </c>
      <c r="B10" s="0" t="s">
        <v>3943</v>
      </c>
      <c r="C10" s="0" t="n">
        <f aca="false">SUMPRODUCT(ISERROR(Deploy!A1:AT111)*1)</f>
        <v>0</v>
      </c>
      <c r="F10" s="0" t="str">
        <f aca="false">IF(C10=0,"OK","ERROR")</f>
        <v>OK</v>
      </c>
      <c r="G10" s="5" t="s">
        <v>3931</v>
      </c>
    </row>
    <row r="11" customFormat="false" ht="17.15" hidden="false" customHeight="false" outlineLevel="0" collapsed="false">
      <c r="A11" s="0" t="s">
        <v>3944</v>
      </c>
      <c r="B11" s="0" t="s">
        <v>3945</v>
      </c>
      <c r="C11" s="0" t="n">
        <f aca="false">SUMPRODUCT(ISERROR(C0!A1:AT34)*1)</f>
        <v>0</v>
      </c>
      <c r="F11" s="0" t="str">
        <f aca="false">IF(C11=0,"OK","ERROR")</f>
        <v>OK</v>
      </c>
      <c r="G11" s="5" t="s">
        <v>3931</v>
      </c>
    </row>
    <row r="12" customFormat="false" ht="17.15" hidden="false" customHeight="false" outlineLevel="0" collapsed="false">
      <c r="A12" s="0" t="s">
        <v>3946</v>
      </c>
      <c r="B12" s="0" t="s">
        <v>3947</v>
      </c>
      <c r="C12" s="0" t="n">
        <f aca="false">SUMPRODUCT(ISERROR(C1!A1:AT186)*1)</f>
        <v>0</v>
      </c>
      <c r="F12" s="0" t="str">
        <f aca="false">IF(C12=0,"OK","ERROR")</f>
        <v>OK</v>
      </c>
      <c r="G12" s="5" t="s">
        <v>3931</v>
      </c>
    </row>
    <row r="13" customFormat="false" ht="17.15" hidden="false" customHeight="false" outlineLevel="0" collapsed="false">
      <c r="A13" s="0" t="s">
        <v>3948</v>
      </c>
      <c r="B13" s="0" t="s">
        <v>3949</v>
      </c>
      <c r="C13" s="0" t="n">
        <f aca="false">SUMPRODUCT(ISERROR(Compare!A1:AT43)*1)</f>
        <v>0</v>
      </c>
      <c r="F13" s="0" t="str">
        <f aca="false">IF(C13=0,"OK","ERROR")</f>
        <v>OK</v>
      </c>
      <c r="G13" s="5" t="s">
        <v>3931</v>
      </c>
    </row>
    <row r="14" customFormat="false" ht="17.15" hidden="false" customHeight="false" outlineLevel="0" collapsed="false">
      <c r="A14" s="0" t="s">
        <v>3950</v>
      </c>
      <c r="B14" s="0" t="s">
        <v>3951</v>
      </c>
      <c r="C14" s="0" t="n">
        <f aca="false">SUMPRODUCT(ISERROR(Interface!A1:AT593)*1)</f>
        <v>0</v>
      </c>
      <c r="F14" s="0" t="str">
        <f aca="false">IF(C14=0,"OK","ERROR")</f>
        <v>OK</v>
      </c>
      <c r="G14" s="5" t="s">
        <v>3931</v>
      </c>
    </row>
    <row r="15" customFormat="false" ht="17.15" hidden="false" customHeight="false" outlineLevel="0" collapsed="false">
      <c r="A15" s="0" t="s">
        <v>3952</v>
      </c>
      <c r="B15" s="0" t="s">
        <v>3953</v>
      </c>
      <c r="C15" s="0" t="n">
        <f aca="false">SUMPRODUCT(ISERROR(CapexGW!A1:AT153)*1)</f>
        <v>0</v>
      </c>
      <c r="F15" s="0" t="str">
        <f aca="false">IF(C15=0,"OK","ERROR")</f>
        <v>OK</v>
      </c>
      <c r="G15" s="5" t="s">
        <v>3931</v>
      </c>
    </row>
    <row r="16" customFormat="false" ht="17.15" hidden="false" customHeight="false" outlineLevel="0" collapsed="false">
      <c r="A16" s="0" t="s">
        <v>3954</v>
      </c>
      <c r="B16" s="0" t="s">
        <v>3955</v>
      </c>
      <c r="C16" s="0" t="n">
        <f aca="false">SUMPRODUCT(ISERROR(Funding!A1:AT85)*1)</f>
        <v>0</v>
      </c>
      <c r="F16" s="0" t="str">
        <f aca="false">IF(C16=0,"OK","ERROR")</f>
        <v>OK</v>
      </c>
      <c r="G16" s="5" t="s">
        <v>3931</v>
      </c>
    </row>
    <row r="17" customFormat="false" ht="17.15" hidden="false" customHeight="false" outlineLevel="0" collapsed="false">
      <c r="A17" s="0" t="s">
        <v>3956</v>
      </c>
      <c r="B17" s="0" t="s">
        <v>3957</v>
      </c>
      <c r="C17" s="0" t="n">
        <f aca="false">SUMPRODUCT(ISERROR(FundRaw!A1:AT235)*1)</f>
        <v>0</v>
      </c>
      <c r="F17" s="0" t="str">
        <f aca="false">IF(C17=0,"OK","ERROR")</f>
        <v>OK</v>
      </c>
      <c r="G17" s="5" t="s">
        <v>3931</v>
      </c>
    </row>
    <row r="18" customFormat="false" ht="17.15" hidden="false" customHeight="false" outlineLevel="0" collapsed="false">
      <c r="A18" s="0" t="s">
        <v>3958</v>
      </c>
      <c r="B18" s="0" t="s">
        <v>3959</v>
      </c>
      <c r="C18" s="0" t="n">
        <f aca="false">SUMPRODUCT(ISERROR(Facility!A1:AT44)*1)</f>
        <v>0</v>
      </c>
      <c r="F18" s="0" t="str">
        <f aca="false">IF(C18=0,"OK","ERROR")</f>
        <v>OK</v>
      </c>
      <c r="G18" s="5" t="s">
        <v>3931</v>
      </c>
    </row>
    <row r="19" customFormat="false" ht="17.15" hidden="false" customHeight="false" outlineLevel="0" collapsed="false">
      <c r="A19" s="0" t="s">
        <v>3960</v>
      </c>
      <c r="B19" s="0" t="s">
        <v>3961</v>
      </c>
      <c r="C19" s="0" t="n">
        <f aca="false">SUMPRODUCT(ISERROR(SegIn!A1:AT14)*1)</f>
        <v>0</v>
      </c>
      <c r="F19" s="0" t="str">
        <f aca="false">IF(C19=0,"OK","ERROR")</f>
        <v>OK</v>
      </c>
      <c r="G19" s="5" t="s">
        <v>3931</v>
      </c>
    </row>
    <row r="20" customFormat="false" ht="17.15" hidden="false" customHeight="false" outlineLevel="0" collapsed="false">
      <c r="A20" s="0" t="s">
        <v>3962</v>
      </c>
      <c r="B20" s="0" t="s">
        <v>3963</v>
      </c>
      <c r="C20" s="0" t="n">
        <f aca="false">SUMPRODUCT(ISERROR(Spend!A1:AT34)*1)</f>
        <v>0</v>
      </c>
      <c r="F20" s="0" t="str">
        <f aca="false">IF(C20=0,"OK","ERROR")</f>
        <v>OK</v>
      </c>
      <c r="G20" s="5" t="s">
        <v>3931</v>
      </c>
    </row>
    <row r="21" customFormat="false" ht="17.15" hidden="false" customHeight="false" outlineLevel="0" collapsed="false">
      <c r="A21" s="0" t="s">
        <v>3964</v>
      </c>
      <c r="B21" s="0" t="s">
        <v>3965</v>
      </c>
      <c r="C21" s="0" t="n">
        <f aca="false">SUMPRODUCT(ABS(Matrix!L5:L19-Matrix!M5:M19))</f>
        <v>0</v>
      </c>
      <c r="F21" s="0" t="str">
        <f aca="false">IF(C21&lt;0.000000001,"OK","ERROR")</f>
        <v>OK</v>
      </c>
      <c r="G21" s="5" t="s">
        <v>3966</v>
      </c>
    </row>
    <row r="22" customFormat="false" ht="17.15" hidden="false" customHeight="false" outlineLevel="0" collapsed="false">
      <c r="A22" s="0" t="s">
        <v>3967</v>
      </c>
      <c r="B22" s="0" t="s">
        <v>3968</v>
      </c>
      <c r="C22" s="0" t="n">
        <f aca="false">SUM(Matrix!C20:K20)</f>
        <v>25.3371433333333</v>
      </c>
      <c r="D22" s="24" t="n">
        <f aca="false">Players!F307</f>
        <v>25.3371433333333</v>
      </c>
      <c r="E22" s="20" t="n">
        <f aca="false">C22-D22</f>
        <v>0</v>
      </c>
      <c r="F22" s="0" t="str">
        <f aca="false">IF(ABS(E22)&lt;0.000000001,"OK","ERROR")</f>
        <v>OK</v>
      </c>
      <c r="G22" s="5" t="s">
        <v>3966</v>
      </c>
    </row>
    <row r="23" customFormat="false" ht="17.15" hidden="false" customHeight="false" outlineLevel="0" collapsed="false">
      <c r="A23" s="0" t="s">
        <v>3969</v>
      </c>
      <c r="B23" s="0" t="s">
        <v>3970</v>
      </c>
      <c r="C23" s="0" t="n">
        <f aca="false">SUMPRODUCT(ABS(Matrix!L26:L40-Matrix!M26:M40))</f>
        <v>0</v>
      </c>
      <c r="F23" s="0" t="str">
        <f aca="false">IF(C23&lt;0.000000001,"OK","ERROR")</f>
        <v>OK</v>
      </c>
      <c r="G23" s="5" t="s">
        <v>3966</v>
      </c>
    </row>
    <row r="24" customFormat="false" ht="17.15" hidden="false" customHeight="false" outlineLevel="0" collapsed="false">
      <c r="A24" s="0" t="s">
        <v>3971</v>
      </c>
      <c r="B24" s="0" t="s">
        <v>3972</v>
      </c>
      <c r="C24" s="0" t="n">
        <f aca="false">SUM(Matrix!C41:K41)</f>
        <v>37.8525147943925</v>
      </c>
      <c r="D24" s="24" t="n">
        <f aca="false">Players!G307</f>
        <v>37.8525147943925</v>
      </c>
      <c r="E24" s="20" t="n">
        <f aca="false">C24-D24</f>
        <v>0</v>
      </c>
      <c r="F24" s="0" t="str">
        <f aca="false">IF(ABS(E24)&lt;0.000000001,"OK","ERROR")</f>
        <v>OK</v>
      </c>
      <c r="G24" s="5" t="s">
        <v>3966</v>
      </c>
    </row>
    <row r="25" customFormat="false" ht="17.15" hidden="false" customHeight="false" outlineLevel="0" collapsed="false">
      <c r="A25" s="0" t="s">
        <v>3973</v>
      </c>
      <c r="B25" s="0" t="s">
        <v>3974</v>
      </c>
      <c r="C25" s="0" t="n">
        <f aca="false">SUMPRODUCT(ABS(Matrix!L47:L61-Matrix!M47:M61))</f>
        <v>0</v>
      </c>
      <c r="F25" s="0" t="str">
        <f aca="false">IF(C25&lt;0.000000001,"OK","ERROR")</f>
        <v>OK</v>
      </c>
      <c r="G25" s="5" t="s">
        <v>3966</v>
      </c>
    </row>
    <row r="26" customFormat="false" ht="17.15" hidden="false" customHeight="false" outlineLevel="0" collapsed="false">
      <c r="A26" s="0" t="s">
        <v>3975</v>
      </c>
      <c r="B26" s="0" t="s">
        <v>3976</v>
      </c>
      <c r="C26" s="0" t="n">
        <f aca="false">SUM(Matrix!C62:K62)</f>
        <v>46.3211599188997</v>
      </c>
      <c r="D26" s="24" t="n">
        <f aca="false">Players!H307</f>
        <v>46.3211599188997</v>
      </c>
      <c r="E26" s="20" t="n">
        <f aca="false">C26-D26</f>
        <v>0</v>
      </c>
      <c r="F26" s="0" t="str">
        <f aca="false">IF(ABS(E26)&lt;0.000000001,"OK","ERROR")</f>
        <v>OK</v>
      </c>
      <c r="G26" s="5" t="s">
        <v>3966</v>
      </c>
    </row>
    <row r="27" customFormat="false" ht="17.15" hidden="false" customHeight="false" outlineLevel="0" collapsed="false">
      <c r="A27" s="0" t="s">
        <v>3977</v>
      </c>
      <c r="B27" s="0" t="s">
        <v>3978</v>
      </c>
      <c r="C27" s="24" t="n">
        <f aca="false">Pipeline!D170</f>
        <v>0.630578355681972</v>
      </c>
      <c r="D27" s="24" t="n">
        <f aca="false">Players!D307</f>
        <v>0.630578355681972</v>
      </c>
      <c r="E27" s="20" t="n">
        <f aca="false">C27-D27</f>
        <v>0</v>
      </c>
      <c r="F27" s="0" t="str">
        <f aca="false">IF(ABS(E27)&lt;=0.01,"OK","ERROR")</f>
        <v>OK</v>
      </c>
      <c r="G27" s="5" t="s">
        <v>3966</v>
      </c>
    </row>
    <row r="28" customFormat="false" ht="17.15" hidden="false" customHeight="false" outlineLevel="0" collapsed="false">
      <c r="A28" s="0" t="s">
        <v>3979</v>
      </c>
      <c r="B28" s="0" t="s">
        <v>3980</v>
      </c>
      <c r="C28" s="24" t="n">
        <f aca="false">Pipeline!E170</f>
        <v>6.20938570515285</v>
      </c>
      <c r="D28" s="24" t="n">
        <f aca="false">Players!E307</f>
        <v>6.20938570515285</v>
      </c>
      <c r="E28" s="20" t="n">
        <f aca="false">C28-D28</f>
        <v>0</v>
      </c>
      <c r="F28" s="0" t="str">
        <f aca="false">IF(ABS(E28)&lt;=0.01,"OK","ERROR")</f>
        <v>OK</v>
      </c>
      <c r="G28" s="5" t="s">
        <v>3966</v>
      </c>
    </row>
    <row r="29" customFormat="false" ht="17.15" hidden="false" customHeight="false" outlineLevel="0" collapsed="false">
      <c r="A29" s="0" t="s">
        <v>3981</v>
      </c>
      <c r="B29" s="0" t="s">
        <v>3982</v>
      </c>
      <c r="C29" s="24" t="n">
        <f aca="false">Pipeline!F170</f>
        <v>25.3371433333333</v>
      </c>
      <c r="D29" s="24" t="n">
        <f aca="false">Players!F307</f>
        <v>25.3371433333333</v>
      </c>
      <c r="E29" s="20" t="n">
        <f aca="false">C29-D29</f>
        <v>0</v>
      </c>
      <c r="F29" s="0" t="str">
        <f aca="false">IF(ABS(E29)&lt;=0.01,"OK","ERROR")</f>
        <v>OK</v>
      </c>
      <c r="G29" s="5" t="s">
        <v>3966</v>
      </c>
    </row>
    <row r="30" customFormat="false" ht="17.15" hidden="false" customHeight="false" outlineLevel="0" collapsed="false">
      <c r="A30" s="0" t="s">
        <v>3983</v>
      </c>
      <c r="B30" s="0" t="s">
        <v>3984</v>
      </c>
      <c r="C30" s="24" t="n">
        <f aca="false">Pipeline!G170</f>
        <v>37.8525147943925</v>
      </c>
      <c r="D30" s="24" t="n">
        <f aca="false">Players!G307</f>
        <v>37.8525147943925</v>
      </c>
      <c r="E30" s="20" t="n">
        <f aca="false">C30-D30</f>
        <v>0</v>
      </c>
      <c r="F30" s="0" t="str">
        <f aca="false">IF(ABS(E30)&lt;=0.01,"OK","ERROR")</f>
        <v>OK</v>
      </c>
      <c r="G30" s="5" t="s">
        <v>3966</v>
      </c>
    </row>
    <row r="31" customFormat="false" ht="17.15" hidden="false" customHeight="false" outlineLevel="0" collapsed="false">
      <c r="A31" s="0" t="s">
        <v>3985</v>
      </c>
      <c r="B31" s="0" t="s">
        <v>3986</v>
      </c>
      <c r="C31" s="24" t="n">
        <f aca="false">Pipeline!H170</f>
        <v>46.3211599188997</v>
      </c>
      <c r="D31" s="24" t="n">
        <f aca="false">Players!H307</f>
        <v>46.3211599188997</v>
      </c>
      <c r="E31" s="20" t="n">
        <f aca="false">C31-D31</f>
        <v>0</v>
      </c>
      <c r="F31" s="0" t="str">
        <f aca="false">IF(ABS(E31)&lt;=0.01,"OK","ERROR")</f>
        <v>OK</v>
      </c>
      <c r="G31" s="5" t="s">
        <v>3966</v>
      </c>
    </row>
    <row r="32" customFormat="false" ht="17.15" hidden="false" customHeight="false" outlineLevel="0" collapsed="false">
      <c r="A32" s="0" t="s">
        <v>3987</v>
      </c>
      <c r="B32" s="0" t="s">
        <v>3988</v>
      </c>
      <c r="C32" s="24" t="n">
        <f aca="false">Pipeline!I170</f>
        <v>64.7090406464754</v>
      </c>
      <c r="D32" s="24" t="n">
        <f aca="false">Players!I307</f>
        <v>64.7090406464754</v>
      </c>
      <c r="E32" s="20" t="n">
        <f aca="false">C32-D32</f>
        <v>0</v>
      </c>
      <c r="F32" s="0" t="str">
        <f aca="false">IF(ABS(E32)&lt;=0.01,"OK","ERROR")</f>
        <v>OK</v>
      </c>
      <c r="G32" s="5" t="s">
        <v>3966</v>
      </c>
    </row>
    <row r="33" customFormat="false" ht="17.15" hidden="false" customHeight="false" outlineLevel="0" collapsed="false">
      <c r="A33" s="0" t="s">
        <v>3989</v>
      </c>
      <c r="B33" s="0" t="s">
        <v>3990</v>
      </c>
      <c r="C33" s="24" t="n">
        <f aca="false">Pipeline!J170</f>
        <v>70.4380619774728</v>
      </c>
      <c r="D33" s="24" t="n">
        <f aca="false">Players!J307</f>
        <v>70.4380619774728</v>
      </c>
      <c r="E33" s="20" t="n">
        <f aca="false">C33-D33</f>
        <v>0</v>
      </c>
      <c r="F33" s="0" t="str">
        <f aca="false">IF(ABS(E33)&lt;=0.01,"OK","ERROR")</f>
        <v>OK</v>
      </c>
      <c r="G33" s="5" t="s">
        <v>3966</v>
      </c>
    </row>
    <row r="34" customFormat="false" ht="17.15" hidden="false" customHeight="false" outlineLevel="0" collapsed="false">
      <c r="A34" s="0" t="s">
        <v>3991</v>
      </c>
      <c r="B34" s="0" t="s">
        <v>3992</v>
      </c>
      <c r="C34" s="24" t="n">
        <f aca="false">Pipeline!K170</f>
        <v>76.3131169995207</v>
      </c>
      <c r="D34" s="24" t="n">
        <f aca="false">Players!K307</f>
        <v>76.3131169995207</v>
      </c>
      <c r="E34" s="20" t="n">
        <f aca="false">C34-D34</f>
        <v>0</v>
      </c>
      <c r="F34" s="0" t="str">
        <f aca="false">IF(ABS(E34)&lt;=0.01,"OK","ERROR")</f>
        <v>OK</v>
      </c>
      <c r="G34" s="5" t="s">
        <v>3966</v>
      </c>
    </row>
    <row r="35" customFormat="false" ht="17.15" hidden="false" customHeight="false" outlineLevel="0" collapsed="false">
      <c r="A35" s="0" t="s">
        <v>3993</v>
      </c>
      <c r="B35" s="0" t="s">
        <v>3994</v>
      </c>
      <c r="C35" s="24" t="n">
        <f aca="false">Pipeline!L170</f>
        <v>79.6169631533669</v>
      </c>
      <c r="D35" s="24" t="n">
        <f aca="false">Players!L307</f>
        <v>79.6169631533669</v>
      </c>
      <c r="E35" s="20" t="n">
        <f aca="false">C35-D35</f>
        <v>0</v>
      </c>
      <c r="F35" s="0" t="str">
        <f aca="false">IF(ABS(E35)&lt;=0.01,"OK","ERROR")</f>
        <v>OK</v>
      </c>
      <c r="G35" s="5" t="s">
        <v>3966</v>
      </c>
    </row>
    <row r="36" customFormat="false" ht="17.15" hidden="false" customHeight="false" outlineLevel="0" collapsed="false">
      <c r="A36" s="0" t="s">
        <v>3995</v>
      </c>
      <c r="B36" s="0" t="s">
        <v>3996</v>
      </c>
      <c r="C36" s="24" t="n">
        <f aca="false">Pipeline!M170</f>
        <v>81.9861939225977</v>
      </c>
      <c r="D36" s="24" t="n">
        <f aca="false">Players!M307</f>
        <v>81.9861939225977</v>
      </c>
      <c r="E36" s="20" t="n">
        <f aca="false">C36-D36</f>
        <v>0</v>
      </c>
      <c r="F36" s="0" t="str">
        <f aca="false">IF(ABS(E36)&lt;=0.01,"OK","ERROR")</f>
        <v>OK</v>
      </c>
      <c r="G36" s="5" t="s">
        <v>3966</v>
      </c>
    </row>
    <row r="37" customFormat="false" ht="17.15" hidden="false" customHeight="false" outlineLevel="0" collapsed="false">
      <c r="A37" s="0" t="s">
        <v>3997</v>
      </c>
      <c r="B37" s="0" t="s">
        <v>3998</v>
      </c>
      <c r="C37" s="24" t="n">
        <f aca="false">Pipeline!E171</f>
        <v>6.20938570515285</v>
      </c>
      <c r="D37" s="24" t="n">
        <f aca="false">Pipeline!E170</f>
        <v>6.20938570515285</v>
      </c>
      <c r="F37" s="0" t="str">
        <f aca="false">IF(AND(Pipeline!E170&gt;=Pipeline!E171-0.000000001,Pipeline!E171&gt;=Pipeline!E172-0.000000001),"OK","ERROR")</f>
        <v>OK</v>
      </c>
      <c r="G37" s="5" t="s">
        <v>3999</v>
      </c>
    </row>
    <row r="38" customFormat="false" ht="17.15" hidden="false" customHeight="false" outlineLevel="0" collapsed="false">
      <c r="A38" s="0" t="s">
        <v>4000</v>
      </c>
      <c r="B38" s="0" t="s">
        <v>4001</v>
      </c>
      <c r="C38" s="24" t="n">
        <f aca="false">Pipeline!F171</f>
        <v>25.3371433333333</v>
      </c>
      <c r="D38" s="24" t="n">
        <f aca="false">Pipeline!F170</f>
        <v>25.3371433333333</v>
      </c>
      <c r="F38" s="0" t="str">
        <f aca="false">IF(AND(Pipeline!F170&gt;=Pipeline!F171-0.000000001,Pipeline!F171&gt;=Pipeline!F172-0.000000001),"OK","ERROR")</f>
        <v>OK</v>
      </c>
      <c r="G38" s="5" t="s">
        <v>3999</v>
      </c>
    </row>
    <row r="39" customFormat="false" ht="17.15" hidden="false" customHeight="false" outlineLevel="0" collapsed="false">
      <c r="A39" s="0" t="s">
        <v>4002</v>
      </c>
      <c r="B39" s="0" t="s">
        <v>4003</v>
      </c>
      <c r="C39" s="24" t="n">
        <f aca="false">Pipeline!G171</f>
        <v>37.048055095226</v>
      </c>
      <c r="D39" s="24" t="n">
        <f aca="false">Pipeline!G170</f>
        <v>37.8525147943925</v>
      </c>
      <c r="F39" s="0" t="str">
        <f aca="false">IF(AND(Pipeline!G170&gt;=Pipeline!G171-0.000000001,Pipeline!G171&gt;=Pipeline!G172-0.000000001),"OK","ERROR")</f>
        <v>OK</v>
      </c>
      <c r="G39" s="5" t="s">
        <v>3999</v>
      </c>
    </row>
    <row r="40" customFormat="false" ht="17.15" hidden="false" customHeight="false" outlineLevel="0" collapsed="false">
      <c r="A40" s="0" t="s">
        <v>4004</v>
      </c>
      <c r="B40" s="0" t="s">
        <v>4005</v>
      </c>
      <c r="C40" s="24" t="n">
        <f aca="false">Pipeline!H171</f>
        <v>44.6516053554443</v>
      </c>
      <c r="D40" s="24" t="n">
        <f aca="false">Pipeline!H170</f>
        <v>46.3211599188997</v>
      </c>
      <c r="F40" s="0" t="str">
        <f aca="false">IF(AND(Pipeline!H170&gt;=Pipeline!H171-0.000000001,Pipeline!H171&gt;=Pipeline!H172-0.000000001),"OK","ERROR")</f>
        <v>OK</v>
      </c>
      <c r="G40" s="5" t="s">
        <v>3999</v>
      </c>
    </row>
    <row r="41" customFormat="false" ht="17.15" hidden="false" customHeight="false" outlineLevel="0" collapsed="false">
      <c r="A41" s="0" t="s">
        <v>4006</v>
      </c>
      <c r="B41" s="0" t="s">
        <v>4007</v>
      </c>
      <c r="C41" s="24" t="n">
        <f aca="false">Pipeline!I171</f>
        <v>61.057307352483</v>
      </c>
      <c r="D41" s="24" t="n">
        <f aca="false">Pipeline!I170</f>
        <v>64.7090406464754</v>
      </c>
      <c r="F41" s="0" t="str">
        <f aca="false">IF(AND(Pipeline!I170&gt;=Pipeline!I171-0.000000001,Pipeline!I171&gt;=Pipeline!I172-0.000000001),"OK","ERROR")</f>
        <v>OK</v>
      </c>
      <c r="G41" s="5" t="s">
        <v>3999</v>
      </c>
    </row>
    <row r="42" customFormat="false" ht="17.15" hidden="false" customHeight="false" outlineLevel="0" collapsed="false">
      <c r="A42" s="0" t="s">
        <v>4008</v>
      </c>
      <c r="B42" s="0" t="s">
        <v>4009</v>
      </c>
      <c r="C42" s="24" t="n">
        <f aca="false">Pipeline!J171</f>
        <v>69.1808582445483</v>
      </c>
      <c r="D42" s="24" t="n">
        <f aca="false">Pipeline!J170</f>
        <v>70.4380619774728</v>
      </c>
      <c r="F42" s="0" t="str">
        <f aca="false">IF(AND(Pipeline!J170&gt;=Pipeline!J171-0.000000001,Pipeline!J171&gt;=Pipeline!J172-0.000000001),"OK","ERROR")</f>
        <v>OK</v>
      </c>
      <c r="G42" s="5" t="s">
        <v>3999</v>
      </c>
    </row>
    <row r="43" customFormat="false" ht="17.15" hidden="false" customHeight="false" outlineLevel="0" collapsed="false">
      <c r="A43" s="0" t="s">
        <v>4010</v>
      </c>
      <c r="B43" s="0" t="s">
        <v>4011</v>
      </c>
      <c r="C43" s="24" t="n">
        <f aca="false">Pipeline!K171</f>
        <v>75.0489073706624</v>
      </c>
      <c r="D43" s="24" t="n">
        <f aca="false">Pipeline!K170</f>
        <v>76.3131169995207</v>
      </c>
      <c r="F43" s="0" t="str">
        <f aca="false">IF(AND(Pipeline!K170&gt;=Pipeline!K171-0.000000001,Pipeline!K171&gt;=Pipeline!K172-0.000000001),"OK","ERROR")</f>
        <v>OK</v>
      </c>
      <c r="G43" s="5" t="s">
        <v>3999</v>
      </c>
    </row>
    <row r="44" customFormat="false" ht="17.15" hidden="false" customHeight="false" outlineLevel="0" collapsed="false">
      <c r="A44" s="0" t="s">
        <v>4012</v>
      </c>
      <c r="B44" s="0" t="s">
        <v>4013</v>
      </c>
      <c r="C44" s="24" t="n">
        <f aca="false">Pipeline!L171</f>
        <v>78.8375400764438</v>
      </c>
      <c r="D44" s="24" t="n">
        <f aca="false">Pipeline!L170</f>
        <v>79.6169631533669</v>
      </c>
      <c r="F44" s="0" t="str">
        <f aca="false">IF(AND(Pipeline!L170&gt;=Pipeline!L171-0.000000001,Pipeline!L171&gt;=Pipeline!L172-0.000000001),"OK","ERROR")</f>
        <v>OK</v>
      </c>
      <c r="G44" s="5" t="s">
        <v>3999</v>
      </c>
    </row>
    <row r="45" customFormat="false" ht="17.15" hidden="false" customHeight="false" outlineLevel="0" collapsed="false">
      <c r="A45" s="0" t="s">
        <v>4014</v>
      </c>
      <c r="B45" s="0" t="s">
        <v>4015</v>
      </c>
      <c r="C45" s="24" t="n">
        <f aca="false">Pipeline!M171</f>
        <v>81.5715785379823</v>
      </c>
      <c r="D45" s="24" t="n">
        <f aca="false">Pipeline!M170</f>
        <v>81.9861939225977</v>
      </c>
      <c r="F45" s="0" t="str">
        <f aca="false">IF(AND(Pipeline!M170&gt;=Pipeline!M171-0.000000001,Pipeline!M171&gt;=Pipeline!M172-0.000000001),"OK","ERROR")</f>
        <v>OK</v>
      </c>
      <c r="G45" s="5" t="s">
        <v>3999</v>
      </c>
    </row>
    <row r="46" customFormat="false" ht="17.15" hidden="false" customHeight="false" outlineLevel="0" collapsed="false">
      <c r="A46" s="0" t="s">
        <v>4016</v>
      </c>
      <c r="B46" s="5" t="s">
        <v>4017</v>
      </c>
      <c r="C46" s="0" t="n">
        <f aca="false">Pipeline!M170-Pipeline!M172</f>
        <v>0.414615384615388</v>
      </c>
      <c r="D46" s="0" t="n">
        <f aca="false">SUMPRODUCT(ABS(Pipeline!E118:M118),1-Pipeline!E158:M158)+SUMPRODUCT(Pipeline!L5:L64,Pipeline!Q5:Q64)</f>
        <v>26.7754487179487</v>
      </c>
      <c r="F46" s="0" t="str">
        <f aca="false">IF(C46&lt;=D46+0.000000001,"OK","ERROR")</f>
        <v>OK</v>
      </c>
      <c r="G46" s="5" t="s">
        <v>3999</v>
      </c>
    </row>
    <row r="47" customFormat="false" ht="17.15" hidden="false" customHeight="false" outlineLevel="0" collapsed="false">
      <c r="A47" s="0" t="s">
        <v>4018</v>
      </c>
      <c r="B47" s="0" t="s">
        <v>4019</v>
      </c>
      <c r="C47" s="22" t="n">
        <f aca="false">Players!D10</f>
        <v>1</v>
      </c>
      <c r="D47" s="0" t="n">
        <v>1</v>
      </c>
      <c r="F47" s="0" t="str">
        <f aca="false">IF(ABS(C47-1)&lt;0.000000001,"OK","ERROR")</f>
        <v>OK</v>
      </c>
      <c r="G47" s="5" t="s">
        <v>3999</v>
      </c>
    </row>
    <row r="48" customFormat="false" ht="17.15" hidden="false" customHeight="false" outlineLevel="0" collapsed="false">
      <c r="A48" s="0" t="s">
        <v>4020</v>
      </c>
      <c r="B48" s="0" t="s">
        <v>4021</v>
      </c>
      <c r="C48" s="22" t="n">
        <f aca="false">Players!E10</f>
        <v>1</v>
      </c>
      <c r="D48" s="0" t="n">
        <v>1</v>
      </c>
      <c r="F48" s="0" t="str">
        <f aca="false">IF(ABS(C48-1)&lt;0.000000001,"OK","ERROR")</f>
        <v>OK</v>
      </c>
      <c r="G48" s="5" t="s">
        <v>3999</v>
      </c>
    </row>
    <row r="49" customFormat="false" ht="17.15" hidden="false" customHeight="false" outlineLevel="0" collapsed="false">
      <c r="A49" s="0" t="s">
        <v>4022</v>
      </c>
      <c r="B49" s="0" t="s">
        <v>4023</v>
      </c>
      <c r="C49" s="22" t="n">
        <f aca="false">Players!F10</f>
        <v>1</v>
      </c>
      <c r="D49" s="0" t="n">
        <v>1</v>
      </c>
      <c r="F49" s="0" t="str">
        <f aca="false">IF(ABS(C49-1)&lt;0.000000001,"OK","ERROR")</f>
        <v>OK</v>
      </c>
      <c r="G49" s="5" t="s">
        <v>3999</v>
      </c>
    </row>
    <row r="50" customFormat="false" ht="17.15" hidden="false" customHeight="false" outlineLevel="0" collapsed="false">
      <c r="A50" s="0" t="s">
        <v>4024</v>
      </c>
      <c r="B50" s="0" t="s">
        <v>4025</v>
      </c>
      <c r="C50" s="22" t="n">
        <f aca="false">Players!G10</f>
        <v>1</v>
      </c>
      <c r="D50" s="0" t="n">
        <v>1</v>
      </c>
      <c r="F50" s="0" t="str">
        <f aca="false">IF(ABS(C50-1)&lt;0.000000001,"OK","ERROR")</f>
        <v>OK</v>
      </c>
      <c r="G50" s="5" t="s">
        <v>3999</v>
      </c>
    </row>
    <row r="51" customFormat="false" ht="17.15" hidden="false" customHeight="false" outlineLevel="0" collapsed="false">
      <c r="A51" s="0" t="s">
        <v>4026</v>
      </c>
      <c r="B51" s="0" t="s">
        <v>4027</v>
      </c>
      <c r="C51" s="22" t="n">
        <f aca="false">Players!H10</f>
        <v>1</v>
      </c>
      <c r="D51" s="0" t="n">
        <v>1</v>
      </c>
      <c r="F51" s="0" t="str">
        <f aca="false">IF(ABS(C51-1)&lt;0.000000001,"OK","ERROR")</f>
        <v>OK</v>
      </c>
      <c r="G51" s="5" t="s">
        <v>3999</v>
      </c>
    </row>
    <row r="52" customFormat="false" ht="17.15" hidden="false" customHeight="false" outlineLevel="0" collapsed="false">
      <c r="A52" s="0" t="s">
        <v>4028</v>
      </c>
      <c r="B52" s="0" t="s">
        <v>4029</v>
      </c>
      <c r="C52" s="22" t="n">
        <f aca="false">Players!I10</f>
        <v>1</v>
      </c>
      <c r="D52" s="0" t="n">
        <v>1</v>
      </c>
      <c r="F52" s="0" t="str">
        <f aca="false">IF(ABS(C52-1)&lt;0.000000001,"OK","ERROR")</f>
        <v>OK</v>
      </c>
      <c r="G52" s="5" t="s">
        <v>3999</v>
      </c>
    </row>
    <row r="53" customFormat="false" ht="17.15" hidden="false" customHeight="false" outlineLevel="0" collapsed="false">
      <c r="A53" s="0" t="s">
        <v>4030</v>
      </c>
      <c r="B53" s="0" t="s">
        <v>4031</v>
      </c>
      <c r="C53" s="22" t="n">
        <f aca="false">Players!J10</f>
        <v>1</v>
      </c>
      <c r="D53" s="0" t="n">
        <v>1</v>
      </c>
      <c r="F53" s="0" t="str">
        <f aca="false">IF(ABS(C53-1)&lt;0.000000001,"OK","ERROR")</f>
        <v>OK</v>
      </c>
      <c r="G53" s="5" t="s">
        <v>3999</v>
      </c>
    </row>
    <row r="54" customFormat="false" ht="17.15" hidden="false" customHeight="false" outlineLevel="0" collapsed="false">
      <c r="A54" s="0" t="s">
        <v>4032</v>
      </c>
      <c r="B54" s="0" t="s">
        <v>4033</v>
      </c>
      <c r="C54" s="22" t="n">
        <f aca="false">Players!K10</f>
        <v>1</v>
      </c>
      <c r="D54" s="0" t="n">
        <v>1</v>
      </c>
      <c r="F54" s="0" t="str">
        <f aca="false">IF(ABS(C54-1)&lt;0.000000001,"OK","ERROR")</f>
        <v>OK</v>
      </c>
      <c r="G54" s="5" t="s">
        <v>3999</v>
      </c>
    </row>
    <row r="55" customFormat="false" ht="17.15" hidden="false" customHeight="false" outlineLevel="0" collapsed="false">
      <c r="A55" s="0" t="s">
        <v>4034</v>
      </c>
      <c r="B55" s="0" t="s">
        <v>4035</v>
      </c>
      <c r="C55" s="22" t="n">
        <f aca="false">Players!L10</f>
        <v>1</v>
      </c>
      <c r="D55" s="0" t="n">
        <v>1</v>
      </c>
      <c r="F55" s="0" t="str">
        <f aca="false">IF(ABS(C55-1)&lt;0.000000001,"OK","ERROR")</f>
        <v>OK</v>
      </c>
      <c r="G55" s="5" t="s">
        <v>3999</v>
      </c>
    </row>
    <row r="56" customFormat="false" ht="17.15" hidden="false" customHeight="false" outlineLevel="0" collapsed="false">
      <c r="A56" s="0" t="s">
        <v>4036</v>
      </c>
      <c r="B56" s="0" t="s">
        <v>4037</v>
      </c>
      <c r="C56" s="22" t="n">
        <f aca="false">Players!M10</f>
        <v>1</v>
      </c>
      <c r="D56" s="0" t="n">
        <v>1</v>
      </c>
      <c r="F56" s="0" t="str">
        <f aca="false">IF(ABS(C56-1)&lt;0.000000001,"OK","ERROR")</f>
        <v>OK</v>
      </c>
      <c r="G56" s="5" t="s">
        <v>3999</v>
      </c>
    </row>
    <row r="57" customFormat="false" ht="17.15" hidden="false" customHeight="false" outlineLevel="0" collapsed="false">
      <c r="A57" s="0" t="s">
        <v>4038</v>
      </c>
      <c r="B57" s="0" t="s">
        <v>4039</v>
      </c>
      <c r="C57" s="24" t="n">
        <f aca="false">Pipeline!E121</f>
        <v>1.61980834349181</v>
      </c>
      <c r="D57" s="24" t="n">
        <f aca="false">Players!E313</f>
        <v>1.61980834349181</v>
      </c>
      <c r="E57" s="20" t="n">
        <f aca="false">C57-D57</f>
        <v>0</v>
      </c>
      <c r="F57" s="0" t="str">
        <f aca="false">IF(ABS(E57)&lt;0.000000001,"OK","ERROR")</f>
        <v>OK</v>
      </c>
      <c r="G57" s="5" t="s">
        <v>3966</v>
      </c>
    </row>
    <row r="58" customFormat="false" ht="17.15" hidden="false" customHeight="false" outlineLevel="0" collapsed="false">
      <c r="A58" s="0" t="s">
        <v>4040</v>
      </c>
      <c r="B58" s="0" t="s">
        <v>4041</v>
      </c>
      <c r="C58" s="24" t="n">
        <f aca="false">Pipeline!F121</f>
        <v>9.04912429484715</v>
      </c>
      <c r="D58" s="24" t="n">
        <f aca="false">Players!F313</f>
        <v>9.04912429484715</v>
      </c>
      <c r="E58" s="20" t="n">
        <f aca="false">C58-D58</f>
        <v>0</v>
      </c>
      <c r="F58" s="0" t="str">
        <f aca="false">IF(ABS(E58)&lt;0.000000001,"OK","ERROR")</f>
        <v>OK</v>
      </c>
      <c r="G58" s="5" t="s">
        <v>3966</v>
      </c>
    </row>
    <row r="59" customFormat="false" ht="17.15" hidden="false" customHeight="false" outlineLevel="0" collapsed="false">
      <c r="A59" s="0" t="s">
        <v>4042</v>
      </c>
      <c r="B59" s="0" t="s">
        <v>4043</v>
      </c>
      <c r="C59" s="24" t="n">
        <f aca="false">Pipeline!G121</f>
        <v>12.5153714610592</v>
      </c>
      <c r="D59" s="24" t="n">
        <f aca="false">Players!G313</f>
        <v>12.5153714610592</v>
      </c>
      <c r="E59" s="20" t="n">
        <f aca="false">C59-D59</f>
        <v>0</v>
      </c>
      <c r="F59" s="0" t="str">
        <f aca="false">IF(ABS(E59)&lt;0.000000001,"OK","ERROR")</f>
        <v>OK</v>
      </c>
      <c r="G59" s="5" t="s">
        <v>3966</v>
      </c>
    </row>
    <row r="60" customFormat="false" ht="17.15" hidden="false" customHeight="false" outlineLevel="0" collapsed="false">
      <c r="A60" s="0" t="s">
        <v>4044</v>
      </c>
      <c r="B60" s="0" t="s">
        <v>4045</v>
      </c>
      <c r="C60" s="24" t="n">
        <f aca="false">Pipeline!H121</f>
        <v>8.46864512450717</v>
      </c>
      <c r="D60" s="24" t="n">
        <f aca="false">Players!H313</f>
        <v>8.46864512450717</v>
      </c>
      <c r="E60" s="20" t="n">
        <f aca="false">C60-D60</f>
        <v>0</v>
      </c>
      <c r="F60" s="0" t="str">
        <f aca="false">IF(ABS(E60)&lt;0.000000001,"OK","ERROR")</f>
        <v>OK</v>
      </c>
      <c r="G60" s="5" t="s">
        <v>3966</v>
      </c>
    </row>
    <row r="61" customFormat="false" ht="17.15" hidden="false" customHeight="false" outlineLevel="0" collapsed="false">
      <c r="A61" s="0" t="s">
        <v>4046</v>
      </c>
      <c r="B61" s="0" t="s">
        <v>4047</v>
      </c>
      <c r="C61" s="24" t="n">
        <f aca="false">Pipeline!I121</f>
        <v>18.3878807275757</v>
      </c>
      <c r="D61" s="24" t="n">
        <f aca="false">Players!I313</f>
        <v>18.3878807275757</v>
      </c>
      <c r="E61" s="20" t="n">
        <f aca="false">C61-D61</f>
        <v>0</v>
      </c>
      <c r="F61" s="0" t="str">
        <f aca="false">IF(ABS(E61)&lt;0.000000001,"OK","ERROR")</f>
        <v>OK</v>
      </c>
      <c r="G61" s="5" t="s">
        <v>3966</v>
      </c>
    </row>
    <row r="62" customFormat="false" ht="17.15" hidden="false" customHeight="false" outlineLevel="0" collapsed="false">
      <c r="A62" s="0" t="s">
        <v>4048</v>
      </c>
      <c r="B62" s="0" t="s">
        <v>4049</v>
      </c>
      <c r="C62" s="24" t="n">
        <f aca="false">Pipeline!J121</f>
        <v>5.72902133099745</v>
      </c>
      <c r="D62" s="24" t="n">
        <f aca="false">Players!J313</f>
        <v>5.72902133099745</v>
      </c>
      <c r="E62" s="20" t="n">
        <f aca="false">C62-D62</f>
        <v>0</v>
      </c>
      <c r="F62" s="0" t="str">
        <f aca="false">IF(ABS(E62)&lt;0.000000001,"OK","ERROR")</f>
        <v>OK</v>
      </c>
      <c r="G62" s="5" t="s">
        <v>3966</v>
      </c>
    </row>
    <row r="63" customFormat="false" ht="17.15" hidden="false" customHeight="false" outlineLevel="0" collapsed="false">
      <c r="A63" s="0" t="s">
        <v>4050</v>
      </c>
      <c r="B63" s="0" t="s">
        <v>4051</v>
      </c>
      <c r="C63" s="24" t="n">
        <f aca="false">Pipeline!K121</f>
        <v>5.8750550220479</v>
      </c>
      <c r="D63" s="24" t="n">
        <f aca="false">Players!K313</f>
        <v>5.8750550220479</v>
      </c>
      <c r="E63" s="20" t="n">
        <f aca="false">C63-D63</f>
        <v>0</v>
      </c>
      <c r="F63" s="0" t="str">
        <f aca="false">IF(ABS(E63)&lt;0.000000001,"OK","ERROR")</f>
        <v>OK</v>
      </c>
      <c r="G63" s="5" t="s">
        <v>3966</v>
      </c>
    </row>
    <row r="64" customFormat="false" ht="17.15" hidden="false" customHeight="false" outlineLevel="0" collapsed="false">
      <c r="A64" s="0" t="s">
        <v>4052</v>
      </c>
      <c r="B64" s="0" t="s">
        <v>4053</v>
      </c>
      <c r="C64" s="24" t="n">
        <f aca="false">Pipeline!L121</f>
        <v>3.30384615384616</v>
      </c>
      <c r="D64" s="24" t="n">
        <f aca="false">Players!L313</f>
        <v>3.30384615384616</v>
      </c>
      <c r="E64" s="20" t="n">
        <f aca="false">C64-D64</f>
        <v>0</v>
      </c>
      <c r="F64" s="0" t="str">
        <f aca="false">IF(ABS(E64)&lt;0.000000001,"OK","ERROR")</f>
        <v>OK</v>
      </c>
      <c r="G64" s="5" t="s">
        <v>3966</v>
      </c>
    </row>
    <row r="65" customFormat="false" ht="17.15" hidden="false" customHeight="false" outlineLevel="0" collapsed="false">
      <c r="A65" s="0" t="s">
        <v>4054</v>
      </c>
      <c r="B65" s="0" t="s">
        <v>4055</v>
      </c>
      <c r="C65" s="24" t="n">
        <f aca="false">Pipeline!M121</f>
        <v>2.36923076923077</v>
      </c>
      <c r="D65" s="24" t="n">
        <f aca="false">Players!M313</f>
        <v>2.36923076923077</v>
      </c>
      <c r="E65" s="20" t="n">
        <f aca="false">C65-D65</f>
        <v>0</v>
      </c>
      <c r="F65" s="0" t="str">
        <f aca="false">IF(ABS(E65)&lt;0.000000001,"OK","ERROR")</f>
        <v>OK</v>
      </c>
      <c r="G65" s="5" t="s">
        <v>3966</v>
      </c>
    </row>
    <row r="66" customFormat="false" ht="17.15" hidden="false" customHeight="false" outlineLevel="0" collapsed="false">
      <c r="A66" s="0" t="s">
        <v>4056</v>
      </c>
      <c r="B66" s="0" t="s">
        <v>4057</v>
      </c>
      <c r="C66" s="0" t="n">
        <f aca="false">lag_bldg</f>
        <v>18</v>
      </c>
      <c r="D66" s="0" t="s">
        <v>4058</v>
      </c>
      <c r="F66" s="0" t="str">
        <f aca="false">IF(AND(C66&gt;=0,C66&lt;=24),"OK","ERROR")</f>
        <v>OK</v>
      </c>
      <c r="G66" s="5" t="s">
        <v>3999</v>
      </c>
    </row>
    <row r="67" customFormat="false" ht="17.15" hidden="false" customHeight="false" outlineLevel="0" collapsed="false">
      <c r="A67" s="0" t="s">
        <v>4059</v>
      </c>
      <c r="B67" s="0" t="s">
        <v>4060</v>
      </c>
      <c r="C67" s="0" t="n">
        <f aca="false">lag_bldg_lo</f>
        <v>12</v>
      </c>
      <c r="D67" s="0" t="s">
        <v>4058</v>
      </c>
      <c r="F67" s="0" t="str">
        <f aca="false">IF(AND(C67&gt;=0,C67&lt;=24),"OK","ERROR")</f>
        <v>OK</v>
      </c>
      <c r="G67" s="5" t="s">
        <v>3999</v>
      </c>
    </row>
    <row r="68" customFormat="false" ht="17.15" hidden="false" customHeight="false" outlineLevel="0" collapsed="false">
      <c r="A68" s="0" t="s">
        <v>4061</v>
      </c>
      <c r="B68" s="0" t="s">
        <v>4062</v>
      </c>
      <c r="C68" s="0" t="n">
        <f aca="false">lag_bldg_hi</f>
        <v>24</v>
      </c>
      <c r="D68" s="0" t="s">
        <v>4058</v>
      </c>
      <c r="F68" s="0" t="str">
        <f aca="false">IF(AND(C68&gt;=0,C68&lt;=24),"OK","ERROR")</f>
        <v>OK</v>
      </c>
      <c r="G68" s="5" t="s">
        <v>3999</v>
      </c>
    </row>
    <row r="69" customFormat="false" ht="17.15" hidden="false" customHeight="false" outlineLevel="0" collapsed="false">
      <c r="A69" s="0" t="s">
        <v>4063</v>
      </c>
      <c r="B69" s="0" t="s">
        <v>4064</v>
      </c>
      <c r="C69" s="0" t="n">
        <f aca="false">dly_d1_m</f>
        <v>6</v>
      </c>
      <c r="D69" s="0" t="s">
        <v>4065</v>
      </c>
      <c r="F69" s="0" t="str">
        <f aca="false">IF(AND(C69&gt;=0,C69&lt;=36),"OK","ERROR")</f>
        <v>OK</v>
      </c>
      <c r="G69" s="5" t="s">
        <v>3999</v>
      </c>
    </row>
    <row r="70" customFormat="false" ht="17.15" hidden="false" customHeight="false" outlineLevel="0" collapsed="false">
      <c r="A70" s="0" t="s">
        <v>4066</v>
      </c>
      <c r="B70" s="0" t="s">
        <v>4067</v>
      </c>
      <c r="C70" s="0" t="n">
        <f aca="false">dly_d1_m_lo</f>
        <v>3</v>
      </c>
      <c r="D70" s="0" t="s">
        <v>4065</v>
      </c>
      <c r="F70" s="0" t="str">
        <f aca="false">IF(AND(C70&gt;=0,C70&lt;=36),"OK","ERROR")</f>
        <v>OK</v>
      </c>
      <c r="G70" s="5" t="s">
        <v>3999</v>
      </c>
    </row>
    <row r="71" customFormat="false" ht="17.15" hidden="false" customHeight="false" outlineLevel="0" collapsed="false">
      <c r="A71" s="0" t="s">
        <v>4068</v>
      </c>
      <c r="B71" s="0" t="s">
        <v>4069</v>
      </c>
      <c r="C71" s="0" t="n">
        <f aca="false">dly_d1_m_hi</f>
        <v>12</v>
      </c>
      <c r="D71" s="0" t="s">
        <v>4065</v>
      </c>
      <c r="F71" s="0" t="str">
        <f aca="false">IF(AND(C71&gt;=0,C71&lt;=36),"OK","ERROR")</f>
        <v>OK</v>
      </c>
      <c r="G71" s="5" t="s">
        <v>3999</v>
      </c>
    </row>
    <row r="72" customFormat="false" ht="17.15" hidden="false" customHeight="false" outlineLevel="0" collapsed="false">
      <c r="A72" s="0" t="s">
        <v>4070</v>
      </c>
      <c r="B72" s="0" t="s">
        <v>4071</v>
      </c>
      <c r="C72" s="23" t="n">
        <f aca="false">dly_d1_s</f>
        <v>0.35</v>
      </c>
      <c r="D72" s="20" t="s">
        <v>4072</v>
      </c>
      <c r="F72" s="0" t="str">
        <f aca="false">IF(AND(C72&gt;=0,C72&lt;=1),"OK","ERROR")</f>
        <v>OK</v>
      </c>
      <c r="G72" s="5" t="s">
        <v>3999</v>
      </c>
    </row>
    <row r="73" customFormat="false" ht="17.15" hidden="false" customHeight="false" outlineLevel="0" collapsed="false">
      <c r="A73" s="0" t="s">
        <v>4073</v>
      </c>
      <c r="B73" s="0" t="s">
        <v>4074</v>
      </c>
      <c r="C73" s="23" t="n">
        <f aca="false">dly_d1_s_lo</f>
        <v>0.25</v>
      </c>
      <c r="D73" s="20" t="s">
        <v>4072</v>
      </c>
      <c r="F73" s="0" t="str">
        <f aca="false">IF(AND(C73&gt;=0,C73&lt;=1),"OK","ERROR")</f>
        <v>OK</v>
      </c>
      <c r="G73" s="5" t="s">
        <v>3999</v>
      </c>
    </row>
    <row r="74" customFormat="false" ht="17.15" hidden="false" customHeight="false" outlineLevel="0" collapsed="false">
      <c r="A74" s="0" t="s">
        <v>4075</v>
      </c>
      <c r="B74" s="0" t="s">
        <v>4076</v>
      </c>
      <c r="C74" s="23" t="n">
        <f aca="false">dly_d1_s_hi</f>
        <v>0.45</v>
      </c>
      <c r="D74" s="20" t="s">
        <v>4072</v>
      </c>
      <c r="F74" s="0" t="str">
        <f aca="false">IF(AND(C74&gt;=0,C74&lt;=1),"OK","ERROR")</f>
        <v>OK</v>
      </c>
      <c r="G74" s="5" t="s">
        <v>3999</v>
      </c>
    </row>
    <row r="75" customFormat="false" ht="17.15" hidden="false" customHeight="false" outlineLevel="0" collapsed="false">
      <c r="A75" s="0" t="s">
        <v>4077</v>
      </c>
      <c r="B75" s="0" t="s">
        <v>4078</v>
      </c>
      <c r="C75" s="0" t="n">
        <f aca="false">dly_d2_m</f>
        <v>12</v>
      </c>
      <c r="D75" s="0" t="s">
        <v>4065</v>
      </c>
      <c r="F75" s="0" t="str">
        <f aca="false">IF(AND(C75&gt;=0,C75&lt;=36),"OK","ERROR")</f>
        <v>OK</v>
      </c>
      <c r="G75" s="5" t="s">
        <v>3999</v>
      </c>
    </row>
    <row r="76" customFormat="false" ht="17.15" hidden="false" customHeight="false" outlineLevel="0" collapsed="false">
      <c r="A76" s="0" t="s">
        <v>4079</v>
      </c>
      <c r="B76" s="0" t="s">
        <v>4080</v>
      </c>
      <c r="C76" s="0" t="n">
        <f aca="false">dly_d2_m_lo</f>
        <v>12</v>
      </c>
      <c r="D76" s="0" t="s">
        <v>4065</v>
      </c>
      <c r="F76" s="0" t="str">
        <f aca="false">IF(AND(C76&gt;=0,C76&lt;=36),"OK","ERROR")</f>
        <v>OK</v>
      </c>
      <c r="G76" s="5" t="s">
        <v>3999</v>
      </c>
    </row>
    <row r="77" customFormat="false" ht="17.15" hidden="false" customHeight="false" outlineLevel="0" collapsed="false">
      <c r="A77" s="0" t="s">
        <v>4081</v>
      </c>
      <c r="B77" s="0" t="s">
        <v>4082</v>
      </c>
      <c r="C77" s="0" t="n">
        <f aca="false">dly_d2_m_hi</f>
        <v>12</v>
      </c>
      <c r="D77" s="0" t="s">
        <v>4065</v>
      </c>
      <c r="F77" s="0" t="str">
        <f aca="false">IF(AND(C77&gt;=0,C77&lt;=36),"OK","ERROR")</f>
        <v>OK</v>
      </c>
      <c r="G77" s="5" t="s">
        <v>3999</v>
      </c>
    </row>
    <row r="78" customFormat="false" ht="17.15" hidden="false" customHeight="false" outlineLevel="0" collapsed="false">
      <c r="A78" s="0" t="s">
        <v>4083</v>
      </c>
      <c r="B78" s="0" t="s">
        <v>4084</v>
      </c>
      <c r="C78" s="23" t="n">
        <f aca="false">dly_d2_bind</f>
        <v>0.4</v>
      </c>
      <c r="D78" s="20" t="s">
        <v>4072</v>
      </c>
      <c r="F78" s="0" t="str">
        <f aca="false">IF(AND(C78&gt;=0,C78&lt;=1),"OK","ERROR")</f>
        <v>OK</v>
      </c>
      <c r="G78" s="5" t="s">
        <v>3999</v>
      </c>
    </row>
    <row r="79" customFormat="false" ht="17.15" hidden="false" customHeight="false" outlineLevel="0" collapsed="false">
      <c r="A79" s="0" t="s">
        <v>4085</v>
      </c>
      <c r="B79" s="0" t="s">
        <v>4086</v>
      </c>
      <c r="C79" s="23" t="n">
        <f aca="false">dly_d2_bind_lo</f>
        <v>0.3</v>
      </c>
      <c r="D79" s="20" t="s">
        <v>4072</v>
      </c>
      <c r="F79" s="0" t="str">
        <f aca="false">IF(AND(C79&gt;=0,C79&lt;=1),"OK","ERROR")</f>
        <v>OK</v>
      </c>
      <c r="G79" s="5" t="s">
        <v>3999</v>
      </c>
    </row>
    <row r="80" customFormat="false" ht="17.15" hidden="false" customHeight="false" outlineLevel="0" collapsed="false">
      <c r="A80" s="0" t="s">
        <v>4087</v>
      </c>
      <c r="B80" s="0" t="s">
        <v>4088</v>
      </c>
      <c r="C80" s="23" t="n">
        <f aca="false">dly_d2_bind_hi</f>
        <v>0.5</v>
      </c>
      <c r="D80" s="20" t="s">
        <v>4072</v>
      </c>
      <c r="F80" s="0" t="str">
        <f aca="false">IF(AND(C80&gt;=0,C80&lt;=1),"OK","ERROR")</f>
        <v>OK</v>
      </c>
      <c r="G80" s="5" t="s">
        <v>3999</v>
      </c>
    </row>
    <row r="81" customFormat="false" ht="17.15" hidden="false" customHeight="false" outlineLevel="0" collapsed="false">
      <c r="A81" s="0" t="s">
        <v>4089</v>
      </c>
      <c r="B81" s="0" t="s">
        <v>4090</v>
      </c>
      <c r="C81" s="23" t="n">
        <f aca="false">tolband</f>
        <v>0.15</v>
      </c>
      <c r="D81" s="20" t="s">
        <v>4072</v>
      </c>
      <c r="F81" s="0" t="str">
        <f aca="false">IF(AND(C81&gt;=0,C81&lt;=1),"OK","ERROR")</f>
        <v>OK</v>
      </c>
      <c r="G81" s="5" t="s">
        <v>3999</v>
      </c>
    </row>
    <row r="82" customFormat="false" ht="17.15" hidden="false" customHeight="false" outlineLevel="0" collapsed="false">
      <c r="A82" s="0" t="s">
        <v>4091</v>
      </c>
      <c r="B82" s="0" t="s">
        <v>4092</v>
      </c>
      <c r="C82" s="23" t="n">
        <f aca="false">tolband_lo</f>
        <v>0.1</v>
      </c>
      <c r="D82" s="20" t="s">
        <v>4072</v>
      </c>
      <c r="F82" s="0" t="str">
        <f aca="false">IF(AND(C82&gt;=0,C82&lt;=1),"OK","ERROR")</f>
        <v>OK</v>
      </c>
      <c r="G82" s="5" t="s">
        <v>3999</v>
      </c>
    </row>
    <row r="83" customFormat="false" ht="17.15" hidden="false" customHeight="false" outlineLevel="0" collapsed="false">
      <c r="A83" s="0" t="s">
        <v>4093</v>
      </c>
      <c r="B83" s="0" t="s">
        <v>4094</v>
      </c>
      <c r="C83" s="23" t="n">
        <f aca="false">tolband_hi</f>
        <v>0.2</v>
      </c>
      <c r="D83" s="20" t="s">
        <v>4072</v>
      </c>
      <c r="F83" s="0" t="str">
        <f aca="false">IF(AND(C83&gt;=0,C83&lt;=1),"OK","ERROR")</f>
        <v>OK</v>
      </c>
      <c r="G83" s="5" t="s">
        <v>3999</v>
      </c>
    </row>
    <row r="84" customFormat="false" ht="17.15" hidden="false" customHeight="false" outlineLevel="0" collapsed="false">
      <c r="A84" s="0" t="s">
        <v>4095</v>
      </c>
      <c r="B84" s="0" t="s">
        <v>4096</v>
      </c>
      <c r="C84" s="0" t="n">
        <f aca="false">k_chip2it</f>
        <v>1.85</v>
      </c>
      <c r="D84" s="0" t="s">
        <v>4097</v>
      </c>
      <c r="F84" s="0" t="str">
        <f aca="false">IF(AND(C84&gt;=1,C84&lt;=3),"OK","ERROR")</f>
        <v>OK</v>
      </c>
      <c r="G84" s="5" t="s">
        <v>3999</v>
      </c>
    </row>
    <row r="85" customFormat="false" ht="17.15" hidden="false" customHeight="false" outlineLevel="0" collapsed="false">
      <c r="A85" s="0" t="s">
        <v>4098</v>
      </c>
      <c r="B85" s="0" t="s">
        <v>4099</v>
      </c>
      <c r="C85" s="0" t="n">
        <f aca="false">k_chip2it_lo</f>
        <v>1.65</v>
      </c>
      <c r="D85" s="0" t="s">
        <v>4097</v>
      </c>
      <c r="F85" s="0" t="str">
        <f aca="false">IF(AND(C85&gt;=1,C85&lt;=3),"OK","ERROR")</f>
        <v>OK</v>
      </c>
      <c r="G85" s="5" t="s">
        <v>3999</v>
      </c>
    </row>
    <row r="86" customFormat="false" ht="17.15" hidden="false" customHeight="false" outlineLevel="0" collapsed="false">
      <c r="A86" s="0" t="s">
        <v>4100</v>
      </c>
      <c r="B86" s="0" t="s">
        <v>4101</v>
      </c>
      <c r="C86" s="0" t="n">
        <f aca="false">k_chip2it_hi</f>
        <v>2.08</v>
      </c>
      <c r="D86" s="0" t="s">
        <v>4097</v>
      </c>
      <c r="F86" s="0" t="str">
        <f aca="false">IF(AND(C86&gt;=1,C86&lt;=3),"OK","ERROR")</f>
        <v>OK</v>
      </c>
      <c r="G86" s="5" t="s">
        <v>3999</v>
      </c>
    </row>
    <row r="87" customFormat="false" ht="17.15" hidden="false" customHeight="false" outlineLevel="0" collapsed="false">
      <c r="A87" s="0" t="s">
        <v>4102</v>
      </c>
      <c r="B87" s="0" t="s">
        <v>4103</v>
      </c>
      <c r="C87" s="23" t="n">
        <f aca="false">g_lt</f>
        <v>0.1</v>
      </c>
      <c r="D87" s="20" t="s">
        <v>4104</v>
      </c>
      <c r="F87" s="0" t="str">
        <f aca="false">IF(AND(C87&gt;=-0.2,C87&lt;=0.5),"OK","ERROR")</f>
        <v>OK</v>
      </c>
      <c r="G87" s="5" t="s">
        <v>3999</v>
      </c>
    </row>
    <row r="88" customFormat="false" ht="17.15" hidden="false" customHeight="false" outlineLevel="0" collapsed="false">
      <c r="A88" s="0" t="s">
        <v>4105</v>
      </c>
      <c r="B88" s="0" t="s">
        <v>4106</v>
      </c>
      <c r="C88" s="23" t="n">
        <f aca="false">g_lt_lo</f>
        <v>0.05</v>
      </c>
      <c r="D88" s="20" t="s">
        <v>4104</v>
      </c>
      <c r="F88" s="0" t="str">
        <f aca="false">IF(AND(C88&gt;=-0.2,C88&lt;=0.5),"OK","ERROR")</f>
        <v>OK</v>
      </c>
      <c r="G88" s="5" t="s">
        <v>3999</v>
      </c>
    </row>
    <row r="89" customFormat="false" ht="17.15" hidden="false" customHeight="false" outlineLevel="0" collapsed="false">
      <c r="A89" s="0" t="s">
        <v>4107</v>
      </c>
      <c r="B89" s="0" t="s">
        <v>4108</v>
      </c>
      <c r="C89" s="23" t="n">
        <f aca="false">g_lt_hi</f>
        <v>0.15</v>
      </c>
      <c r="D89" s="20" t="s">
        <v>4104</v>
      </c>
      <c r="F89" s="0" t="str">
        <f aca="false">IF(AND(C89&gt;=-0.2,C89&lt;=0.5),"OK","ERROR")</f>
        <v>OK</v>
      </c>
      <c r="G89" s="5" t="s">
        <v>3999</v>
      </c>
    </row>
    <row r="90" customFormat="false" ht="17.15" hidden="false" customHeight="false" outlineLevel="0" collapsed="false">
      <c r="A90" s="0" t="s">
        <v>4109</v>
      </c>
      <c r="B90" s="5" t="s">
        <v>4110</v>
      </c>
      <c r="C90" s="0" t="n">
        <f aca="false">COUNTIF(Pipeline!E68:M82,"&lt;-1E-9")</f>
        <v>0</v>
      </c>
      <c r="F90" s="0" t="str">
        <f aca="false">IF(C90=0,"OK","WARN")</f>
        <v>OK</v>
      </c>
      <c r="G90" s="5" t="s">
        <v>3999</v>
      </c>
    </row>
    <row r="91" customFormat="false" ht="17.15" hidden="false" customHeight="false" outlineLevel="0" collapsed="false">
      <c r="A91" s="0" t="s">
        <v>4111</v>
      </c>
      <c r="B91" s="0" t="s">
        <v>4112</v>
      </c>
      <c r="C91" s="0" t="n">
        <v>0</v>
      </c>
      <c r="F91" s="0" t="str">
        <f aca="false">IF(C91=1,"OK","WARN")</f>
        <v>WARN</v>
      </c>
      <c r="G91" s="5" t="s">
        <v>4113</v>
      </c>
      <c r="H91" s="0" t="s">
        <v>4114</v>
      </c>
    </row>
    <row r="92" customFormat="false" ht="17.15" hidden="false" customHeight="false" outlineLevel="0" collapsed="false">
      <c r="A92" s="0" t="s">
        <v>4115</v>
      </c>
      <c r="B92" s="0" t="s">
        <v>4116</v>
      </c>
      <c r="C92" s="0" t="n">
        <f aca="false">COUNTIF(Matrix!K5:K19,"&lt;-1E-9")</f>
        <v>0</v>
      </c>
      <c r="F92" s="0" t="str">
        <f aca="false">IF(C92=0,"OK","ERROR")</f>
        <v>OK</v>
      </c>
      <c r="G92" s="5" t="s">
        <v>3999</v>
      </c>
    </row>
    <row r="93" customFormat="false" ht="17.15" hidden="false" customHeight="false" outlineLevel="0" collapsed="false">
      <c r="A93" s="0" t="s">
        <v>4117</v>
      </c>
      <c r="B93" s="0" t="s">
        <v>4118</v>
      </c>
      <c r="C93" s="0" t="n">
        <f aca="false">COUNTIF(Matrix!K26:K40,"&lt;-1E-9")</f>
        <v>0</v>
      </c>
      <c r="F93" s="0" t="str">
        <f aca="false">IF(C93=0,"OK","ERROR")</f>
        <v>OK</v>
      </c>
      <c r="G93" s="5" t="s">
        <v>3999</v>
      </c>
    </row>
    <row r="94" customFormat="false" ht="17.15" hidden="false" customHeight="false" outlineLevel="0" collapsed="false">
      <c r="A94" s="0" t="s">
        <v>4119</v>
      </c>
      <c r="B94" s="0" t="s">
        <v>4120</v>
      </c>
      <c r="C94" s="0" t="n">
        <f aca="false">COUNTIF(Matrix!K47:K61,"&lt;-1E-9")</f>
        <v>0</v>
      </c>
      <c r="F94" s="0" t="str">
        <f aca="false">IF(C94=0,"OK","ERROR")</f>
        <v>OK</v>
      </c>
      <c r="G94" s="5" t="s">
        <v>3999</v>
      </c>
    </row>
    <row r="95" customFormat="false" ht="17.15" hidden="false" customHeight="false" outlineLevel="0" collapsed="false">
      <c r="A95" s="0" t="s">
        <v>4121</v>
      </c>
      <c r="B95" s="0" t="s">
        <v>4122</v>
      </c>
      <c r="C95" s="0" t="n">
        <f aca="false">rng25_neo/1000</f>
        <v>0.5</v>
      </c>
      <c r="D95" s="24" t="n">
        <f aca="false">Players!F239</f>
        <v>0.5</v>
      </c>
      <c r="E95" s="20" t="n">
        <f aca="false">C95-D95</f>
        <v>0</v>
      </c>
      <c r="F95" s="0" t="str">
        <f aca="false">IF(ABS(E95)&lt;0.000001,"OK","ERROR")</f>
        <v>OK</v>
      </c>
      <c r="G95" s="5" t="s">
        <v>3966</v>
      </c>
    </row>
    <row r="96" customFormat="false" ht="17.15" hidden="false" customHeight="false" outlineLevel="0" collapsed="false">
      <c r="A96" s="0" t="s">
        <v>4123</v>
      </c>
      <c r="B96" s="0" t="s">
        <v>4124</v>
      </c>
      <c r="C96" s="0" t="n">
        <f aca="false">rng25_cn/1000/Players!F$13</f>
        <v>8.33333333333333</v>
      </c>
      <c r="D96" s="24" t="n">
        <f aca="false">Players!F277</f>
        <v>8.33333333333333</v>
      </c>
      <c r="E96" s="20" t="n">
        <f aca="false">C96-D96</f>
        <v>0</v>
      </c>
      <c r="F96" s="0" t="str">
        <f aca="false">IF(ABS(E96)&lt;0.000001,"OK","ERROR")</f>
        <v>OK</v>
      </c>
      <c r="G96" s="5" t="s">
        <v>3966</v>
      </c>
    </row>
    <row r="97" customFormat="false" ht="17.15" hidden="false" customHeight="false" outlineLevel="0" collapsed="false">
      <c r="A97" s="0" t="s">
        <v>4125</v>
      </c>
      <c r="B97" s="0" t="s">
        <v>4126</v>
      </c>
      <c r="C97" s="0" t="n">
        <f aca="false">rng26_cn/1000/Players!G$13</f>
        <v>11.6666666666667</v>
      </c>
      <c r="D97" s="24" t="n">
        <f aca="false">Players!G277</f>
        <v>11.6666666666667</v>
      </c>
      <c r="E97" s="20" t="n">
        <f aca="false">C97-D97</f>
        <v>0</v>
      </c>
      <c r="F97" s="0" t="str">
        <f aca="false">IF(ABS(E97)&lt;0.000001,"OK","ERROR")</f>
        <v>OK</v>
      </c>
      <c r="G97" s="5" t="s">
        <v>3966</v>
      </c>
    </row>
    <row r="98" customFormat="false" ht="17.15" hidden="false" customHeight="false" outlineLevel="0" collapsed="false">
      <c r="A98" s="0" t="s">
        <v>4127</v>
      </c>
      <c r="B98" s="0" t="s">
        <v>4128</v>
      </c>
      <c r="C98" s="0" t="n">
        <f aca="false">ovr25_googl/1000</f>
        <v>4.3</v>
      </c>
      <c r="D98" s="24" t="n">
        <f aca="false">Players!F49</f>
        <v>4.3</v>
      </c>
      <c r="E98" s="20" t="n">
        <f aca="false">C98-D98</f>
        <v>0</v>
      </c>
      <c r="F98" s="0" t="str">
        <f aca="false">IF(ABS(E98)&lt;0.000001,"OK","ERROR")</f>
        <v>OK</v>
      </c>
      <c r="G98" s="5" t="s">
        <v>3966</v>
      </c>
    </row>
    <row r="99" customFormat="false" ht="17.15" hidden="false" customHeight="false" outlineLevel="0" collapsed="false">
      <c r="A99" s="0" t="s">
        <v>4129</v>
      </c>
      <c r="B99" s="0" t="s">
        <v>4130</v>
      </c>
      <c r="C99" s="0" t="n">
        <f aca="false">ovr25_amzn/1000</f>
        <v>2.2</v>
      </c>
      <c r="D99" s="24" t="n">
        <f aca="false">Players!F68</f>
        <v>2.2</v>
      </c>
      <c r="E99" s="20" t="n">
        <f aca="false">C99-D99</f>
        <v>0</v>
      </c>
      <c r="F99" s="0" t="str">
        <f aca="false">IF(ABS(E99)&lt;0.000001,"OK","ERROR")</f>
        <v>OK</v>
      </c>
      <c r="G99" s="5" t="s">
        <v>3966</v>
      </c>
    </row>
    <row r="100" customFormat="false" ht="17.15" hidden="false" customHeight="false" outlineLevel="0" collapsed="false">
      <c r="A100" s="0" t="s">
        <v>4131</v>
      </c>
      <c r="B100" s="0" t="s">
        <v>4132</v>
      </c>
      <c r="C100" s="24" t="n">
        <f aca="false">Players!E307</f>
        <v>6.20938570515285</v>
      </c>
      <c r="D100" s="0" t="str">
        <f aca="false">TEXT(Players!E308,"0.0")&amp;"–"&amp;TEXT(Players!E309,"0.0")</f>
        <v>5.6–7.0</v>
      </c>
      <c r="F100" s="0" t="str">
        <f aca="false">IF(AND(Players!E308&lt;=C100+0.000000001,C100&lt;=Players!E309+0.000000001),"OK","ERROR")</f>
        <v>OK</v>
      </c>
      <c r="G100" s="5" t="s">
        <v>3999</v>
      </c>
    </row>
    <row r="101" customFormat="false" ht="17.15" hidden="false" customHeight="false" outlineLevel="0" collapsed="false">
      <c r="A101" s="0" t="s">
        <v>4133</v>
      </c>
      <c r="B101" s="0" t="s">
        <v>4134</v>
      </c>
      <c r="C101" s="24" t="n">
        <f aca="false">Players!F307</f>
        <v>25.3371433333333</v>
      </c>
      <c r="D101" s="0" t="str">
        <f aca="false">TEXT(Players!F308,"0.0")&amp;"–"&amp;TEXT(Players!F309,"0.0")</f>
        <v>19.1–30.3</v>
      </c>
      <c r="F101" s="0" t="str">
        <f aca="false">IF(AND(Players!F308&lt;=C101+0.000000001,C101&lt;=Players!F309+0.000000001),"OK","ERROR")</f>
        <v>OK</v>
      </c>
      <c r="G101" s="5" t="s">
        <v>3999</v>
      </c>
    </row>
    <row r="102" customFormat="false" ht="17.15" hidden="false" customHeight="false" outlineLevel="0" collapsed="false">
      <c r="A102" s="0" t="s">
        <v>4135</v>
      </c>
      <c r="B102" s="0" t="s">
        <v>4136</v>
      </c>
      <c r="C102" s="24" t="n">
        <f aca="false">Players!G307</f>
        <v>37.8525147943925</v>
      </c>
      <c r="D102" s="0" t="str">
        <f aca="false">TEXT(Players!G308,"0.0")&amp;"–"&amp;TEXT(Players!G309,"0.0")</f>
        <v>34.6–41.2</v>
      </c>
      <c r="F102" s="0" t="str">
        <f aca="false">IF(AND(Players!G308&lt;=C102+0.000000001,C102&lt;=Players!G309+0.000000001),"OK","ERROR")</f>
        <v>OK</v>
      </c>
      <c r="G102" s="5" t="s">
        <v>3999</v>
      </c>
    </row>
    <row r="103" customFormat="false" ht="17.15" hidden="false" customHeight="false" outlineLevel="0" collapsed="false">
      <c r="A103" s="0" t="s">
        <v>4137</v>
      </c>
      <c r="B103" s="0" t="s">
        <v>4138</v>
      </c>
      <c r="C103" s="24" t="n">
        <f aca="false">Players!H307</f>
        <v>46.3211599188997</v>
      </c>
      <c r="D103" s="0" t="str">
        <f aca="false">TEXT(Players!H308,"0.0")&amp;"–"&amp;TEXT(Players!H309,"0.0")</f>
        <v>46.3–46.3</v>
      </c>
      <c r="F103" s="0" t="str">
        <f aca="false">IF(AND(Players!H308&lt;=C103+0.000000001,C103&lt;=Players!H309+0.000000001),"OK","ERROR")</f>
        <v>OK</v>
      </c>
      <c r="G103" s="5" t="s">
        <v>3999</v>
      </c>
    </row>
    <row r="104" customFormat="false" ht="17.15" hidden="false" customHeight="false" outlineLevel="0" collapsed="false">
      <c r="A104" s="0" t="s">
        <v>4139</v>
      </c>
      <c r="B104" s="0" t="s">
        <v>4140</v>
      </c>
      <c r="C104" s="24" t="n">
        <f aca="false">Players!I307</f>
        <v>64.7090406464754</v>
      </c>
      <c r="D104" s="0" t="str">
        <f aca="false">TEXT(Players!I308,"0.0")&amp;"–"&amp;TEXT(Players!I309,"0.0")</f>
        <v>64.7–64.7</v>
      </c>
      <c r="F104" s="0" t="str">
        <f aca="false">IF(AND(Players!I308&lt;=C104+0.000000001,C104&lt;=Players!I309+0.000000001),"OK","ERROR")</f>
        <v>OK</v>
      </c>
      <c r="G104" s="5" t="s">
        <v>3999</v>
      </c>
    </row>
    <row r="105" customFormat="false" ht="17.15" hidden="false" customHeight="false" outlineLevel="0" collapsed="false">
      <c r="A105" s="0" t="s">
        <v>4141</v>
      </c>
      <c r="B105" s="0" t="s">
        <v>4142</v>
      </c>
      <c r="C105" s="24" t="n">
        <f aca="false">Players!J307</f>
        <v>70.4380619774728</v>
      </c>
      <c r="D105" s="0" t="str">
        <f aca="false">TEXT(Players!J308,"0.0")&amp;"–"&amp;TEXT(Players!J309,"0.0")</f>
        <v>70.4–70.4</v>
      </c>
      <c r="F105" s="0" t="str">
        <f aca="false">IF(AND(Players!J308&lt;=C105+0.000000001,C105&lt;=Players!J309+0.000000001),"OK","ERROR")</f>
        <v>OK</v>
      </c>
      <c r="G105" s="5" t="s">
        <v>3999</v>
      </c>
    </row>
    <row r="106" customFormat="false" ht="17.15" hidden="false" customHeight="false" outlineLevel="0" collapsed="false">
      <c r="A106" s="0" t="s">
        <v>4143</v>
      </c>
      <c r="B106" s="0" t="s">
        <v>4144</v>
      </c>
      <c r="C106" s="24" t="n">
        <f aca="false">Players!K307</f>
        <v>76.3131169995207</v>
      </c>
      <c r="D106" s="0" t="str">
        <f aca="false">TEXT(Players!K308,"0.0")&amp;"–"&amp;TEXT(Players!K309,"0.0")</f>
        <v>76.3–76.3</v>
      </c>
      <c r="F106" s="0" t="str">
        <f aca="false">IF(AND(Players!K308&lt;=C106+0.000000001,C106&lt;=Players!K309+0.000000001),"OK","ERROR")</f>
        <v>OK</v>
      </c>
      <c r="G106" s="5" t="s">
        <v>3999</v>
      </c>
    </row>
    <row r="107" customFormat="false" ht="17.15" hidden="false" customHeight="false" outlineLevel="0" collapsed="false">
      <c r="A107" s="0" t="s">
        <v>4145</v>
      </c>
      <c r="B107" s="0" t="s">
        <v>4146</v>
      </c>
      <c r="C107" s="24" t="n">
        <f aca="false">Players!L307</f>
        <v>79.6169631533669</v>
      </c>
      <c r="D107" s="0" t="str">
        <f aca="false">TEXT(Players!L308,"0.0")&amp;"–"&amp;TEXT(Players!L309,"0.0")</f>
        <v>79.6–79.6</v>
      </c>
      <c r="F107" s="0" t="str">
        <f aca="false">IF(AND(Players!L308&lt;=C107+0.000000001,C107&lt;=Players!L309+0.000000001),"OK","ERROR")</f>
        <v>OK</v>
      </c>
      <c r="G107" s="5" t="s">
        <v>3999</v>
      </c>
    </row>
    <row r="108" customFormat="false" ht="17.15" hidden="false" customHeight="false" outlineLevel="0" collapsed="false">
      <c r="A108" s="0" t="s">
        <v>4147</v>
      </c>
      <c r="B108" s="0" t="s">
        <v>4148</v>
      </c>
      <c r="C108" s="24" t="n">
        <f aca="false">Players!M307</f>
        <v>81.9861939225977</v>
      </c>
      <c r="D108" s="0" t="str">
        <f aca="false">TEXT(Players!M308,"0.0")&amp;"–"&amp;TEXT(Players!M309,"0.0")</f>
        <v>82.0–82.0</v>
      </c>
      <c r="F108" s="0" t="str">
        <f aca="false">IF(AND(Players!M308&lt;=C108+0.000000001,C108&lt;=Players!M309+0.000000001),"OK","ERROR")</f>
        <v>OK</v>
      </c>
      <c r="G108" s="5" t="s">
        <v>3999</v>
      </c>
    </row>
    <row r="109" customFormat="false" ht="17.15" hidden="false" customHeight="false" outlineLevel="0" collapsed="false">
      <c r="A109" s="0" t="s">
        <v>4149</v>
      </c>
      <c r="B109" s="0" t="s">
        <v>4150</v>
      </c>
      <c r="C109" s="0" t="n">
        <v>0</v>
      </c>
      <c r="F109" s="0" t="str">
        <f aca="false">IF(C109=0,"OK","ERROR")</f>
        <v>OK</v>
      </c>
      <c r="G109" s="5" t="s">
        <v>4151</v>
      </c>
      <c r="H109" s="5" t="s">
        <v>4152</v>
      </c>
    </row>
    <row r="110" customFormat="false" ht="17.15" hidden="false" customHeight="false" outlineLevel="0" collapsed="false">
      <c r="A110" s="0" t="s">
        <v>4153</v>
      </c>
      <c r="B110" s="0" t="s">
        <v>4154</v>
      </c>
      <c r="C110" s="0" t="n">
        <v>622</v>
      </c>
      <c r="F110" s="0" t="str">
        <f aca="false">IF(C110&gt;0,"OK","WARN")</f>
        <v>OK</v>
      </c>
      <c r="G110" s="5" t="s">
        <v>4151</v>
      </c>
    </row>
    <row r="111" customFormat="false" ht="17.15" hidden="false" customHeight="false" outlineLevel="0" collapsed="false">
      <c r="A111" s="0" t="s">
        <v>4155</v>
      </c>
      <c r="B111" s="5" t="s">
        <v>4156</v>
      </c>
      <c r="C111" s="0" t="n">
        <f aca="false">COUNTIF(Interface!D7:L7,"&lt;0.5")</f>
        <v>4</v>
      </c>
      <c r="F111" s="0" t="str">
        <f aca="false">IF(C111=0,"OK","WARN")</f>
        <v>WARN</v>
      </c>
      <c r="G111" s="5" t="s">
        <v>4157</v>
      </c>
      <c r="H111" s="0" t="s">
        <v>4158</v>
      </c>
    </row>
    <row r="112" customFormat="false" ht="17.15" hidden="false" customHeight="false" outlineLevel="0" collapsed="false">
      <c r="A112" s="0" t="s">
        <v>4159</v>
      </c>
      <c r="B112" s="0" t="s">
        <v>4160</v>
      </c>
      <c r="C112" s="24" t="n">
        <f aca="false">Deploy!E13</f>
        <v>6.20938570515285</v>
      </c>
      <c r="D112" s="24" t="n">
        <f aca="false">Deploy!E62</f>
        <v>6.20938570515285</v>
      </c>
      <c r="E112" s="20" t="n">
        <f aca="false">C112-D112</f>
        <v>0</v>
      </c>
      <c r="F112" s="0" t="str">
        <f aca="false">IF(ABS(E112)&lt;0.000000001,"OK","ERROR")</f>
        <v>OK</v>
      </c>
      <c r="G112" s="5" t="s">
        <v>3966</v>
      </c>
    </row>
    <row r="113" customFormat="false" ht="17.15" hidden="false" customHeight="false" outlineLevel="0" collapsed="false">
      <c r="A113" s="0" t="s">
        <v>4161</v>
      </c>
      <c r="B113" s="0" t="s">
        <v>4162</v>
      </c>
      <c r="C113" s="24" t="n">
        <f aca="false">Deploy!F13</f>
        <v>25.3371433333333</v>
      </c>
      <c r="D113" s="24" t="n">
        <f aca="false">Deploy!F62</f>
        <v>25.3371433333333</v>
      </c>
      <c r="E113" s="20" t="n">
        <f aca="false">C113-D113</f>
        <v>0</v>
      </c>
      <c r="F113" s="0" t="str">
        <f aca="false">IF(ABS(E113)&lt;0.000000001,"OK","ERROR")</f>
        <v>OK</v>
      </c>
      <c r="G113" s="5" t="s">
        <v>3966</v>
      </c>
    </row>
    <row r="114" customFormat="false" ht="17.15" hidden="false" customHeight="false" outlineLevel="0" collapsed="false">
      <c r="A114" s="0" t="s">
        <v>4163</v>
      </c>
      <c r="B114" s="0" t="s">
        <v>4164</v>
      </c>
      <c r="C114" s="24" t="n">
        <f aca="false">Deploy!G13</f>
        <v>37.8525147943925</v>
      </c>
      <c r="D114" s="24" t="n">
        <f aca="false">Deploy!G62</f>
        <v>37.8525147943925</v>
      </c>
      <c r="E114" s="20" t="n">
        <f aca="false">C114-D114</f>
        <v>0</v>
      </c>
      <c r="F114" s="0" t="str">
        <f aca="false">IF(ABS(E114)&lt;0.000000001,"OK","ERROR")</f>
        <v>OK</v>
      </c>
      <c r="G114" s="5" t="s">
        <v>3966</v>
      </c>
    </row>
    <row r="115" customFormat="false" ht="17.15" hidden="false" customHeight="false" outlineLevel="0" collapsed="false">
      <c r="A115" s="0" t="s">
        <v>4165</v>
      </c>
      <c r="B115" s="5" t="s">
        <v>4166</v>
      </c>
      <c r="C115" s="0" t="n">
        <f aca="false">COUNTIF(CapexGW!D20:M20,"&lt;0")+COUNTIF(CapexGW!D39:M39,"&lt;0")+COUNTIF(CapexGW!D58:M58,"&lt;0")+COUNTIF(CapexGW!D77:M77,"&lt;0")+COUNTIF(CapexGW!D96:M96,"&lt;0")+COUNTIF(CapexGW!D115:M115,"&lt;0")+COUNTIF(CapexGW!D134:M134,"&lt;0")</f>
        <v>0</v>
      </c>
      <c r="F115" s="0" t="str">
        <f aca="false">IF(C115=0,"OK","ERROR")</f>
        <v>OK</v>
      </c>
      <c r="G115" s="5" t="s">
        <v>3999</v>
      </c>
    </row>
    <row r="116" customFormat="false" ht="17.15" hidden="false" customHeight="false" outlineLevel="0" collapsed="false">
      <c r="A116" s="0" t="s">
        <v>4167</v>
      </c>
      <c r="B116" s="0" t="s">
        <v>4168</v>
      </c>
      <c r="C116" s="0" t="n">
        <f aca="false">SUMPRODUCT(Pipeline!L5:L64,Pipeline!Q5:Q64,(Pipeline!K5:K64&gt;asof)*1,((Pipeline!J5:J64&gt;0)+(Pipeline!J5:J64&lt;=0)*dly_d1_s)*(Pipeline!O5:O64-Pipeline!M5:M64)*12)</f>
        <v>52.25815</v>
      </c>
      <c r="D116" s="0" t="n">
        <f aca="false">SUMPRODUCT(ISTEXT(Pipeline!J5:J64)*1)</f>
        <v>0</v>
      </c>
      <c r="F116" s="0" t="str">
        <f aca="false">IF(AND(C116&gt;0,D116=0),"OK","ERROR")</f>
        <v>OK</v>
      </c>
      <c r="G116" s="5" t="s">
        <v>3999</v>
      </c>
      <c r="H116" s="0" t="s">
        <v>4169</v>
      </c>
    </row>
    <row r="117" customFormat="false" ht="17.15" hidden="false" customHeight="false" outlineLevel="0" collapsed="false">
      <c r="A117" s="0" t="s">
        <v>4170</v>
      </c>
      <c r="B117" s="0" t="s">
        <v>4171</v>
      </c>
      <c r="C117" s="24" t="n">
        <f aca="false">Deploy!H63</f>
        <v>44.6516053554443</v>
      </c>
      <c r="D117" s="24" t="n">
        <f aca="false">Deploy!H62</f>
        <v>46.3211599188997</v>
      </c>
      <c r="F117" s="0" t="str">
        <f aca="false">IF(C117&lt;D117-0.000001,"OK","ERROR")</f>
        <v>OK</v>
      </c>
      <c r="G117" s="5" t="s">
        <v>3999</v>
      </c>
    </row>
    <row r="118" customFormat="false" ht="17.15" hidden="false" customHeight="false" outlineLevel="0" collapsed="false">
      <c r="A118" s="0" t="s">
        <v>4172</v>
      </c>
      <c r="B118" s="0" t="s">
        <v>4173</v>
      </c>
      <c r="C118" s="24" t="n">
        <f aca="false">Deploy!J63</f>
        <v>69.1808582445483</v>
      </c>
      <c r="D118" s="24" t="n">
        <f aca="false">Deploy!J62</f>
        <v>70.4380619774728</v>
      </c>
      <c r="F118" s="0" t="str">
        <f aca="false">IF(C118&lt;D118-0.000001,"OK","ERROR")</f>
        <v>OK</v>
      </c>
      <c r="G118" s="5" t="s">
        <v>3999</v>
      </c>
    </row>
    <row r="119" customFormat="false" ht="17.15" hidden="false" customHeight="false" outlineLevel="0" collapsed="false">
      <c r="A119" s="0" t="s">
        <v>4174</v>
      </c>
      <c r="B119" s="0" t="s">
        <v>4175</v>
      </c>
      <c r="C119" s="29" t="n">
        <f aca="false">Facility!D15</f>
        <v>12.67</v>
      </c>
      <c r="D119" s="29" t="n">
        <f aca="false">Facility!D4</f>
        <v>12.67</v>
      </c>
      <c r="E119" s="20" t="n">
        <f aca="false">C119-D119</f>
        <v>0</v>
      </c>
      <c r="F119" s="0" t="str">
        <f aca="false">IF(ABS(E119)&lt;0.000000001,"OK","ERROR")</f>
        <v>OK</v>
      </c>
      <c r="G119" s="5" t="s">
        <v>3966</v>
      </c>
    </row>
    <row r="120" customFormat="false" ht="17.15" hidden="false" customHeight="false" outlineLevel="0" collapsed="false">
      <c r="A120" s="0" t="s">
        <v>4176</v>
      </c>
      <c r="B120" s="0" t="s">
        <v>4177</v>
      </c>
      <c r="C120" s="29" t="n">
        <f aca="false">Facility!E15</f>
        <v>12.67</v>
      </c>
      <c r="D120" s="29" t="n">
        <f aca="false">Facility!E4</f>
        <v>12.67</v>
      </c>
      <c r="E120" s="20" t="n">
        <f aca="false">C120-D120</f>
        <v>0</v>
      </c>
      <c r="F120" s="0" t="str">
        <f aca="false">IF(ABS(E120)&lt;0.000000001,"OK","ERROR")</f>
        <v>OK</v>
      </c>
      <c r="G120" s="5" t="s">
        <v>3966</v>
      </c>
    </row>
    <row r="121" customFormat="false" ht="17.15" hidden="false" customHeight="false" outlineLevel="0" collapsed="false">
      <c r="A121" s="0" t="s">
        <v>4178</v>
      </c>
      <c r="B121" s="0" t="s">
        <v>4179</v>
      </c>
      <c r="C121" s="29" t="n">
        <f aca="false">Facility!F15</f>
        <v>12.67</v>
      </c>
      <c r="D121" s="29" t="n">
        <f aca="false">Facility!F4</f>
        <v>12.67</v>
      </c>
      <c r="E121" s="20" t="n">
        <f aca="false">C121-D121</f>
        <v>0</v>
      </c>
      <c r="F121" s="0" t="str">
        <f aca="false">IF(ABS(E121)&lt;0.000000001,"OK","ERROR")</f>
        <v>OK</v>
      </c>
      <c r="G121" s="5" t="s">
        <v>3966</v>
      </c>
    </row>
    <row r="122" customFormat="false" ht="17.15" hidden="false" customHeight="false" outlineLevel="0" collapsed="false">
      <c r="A122" s="0" t="s">
        <v>4180</v>
      </c>
      <c r="B122" s="0" t="s">
        <v>4181</v>
      </c>
      <c r="C122" s="29" t="n">
        <f aca="false">Facility!G15</f>
        <v>12.67</v>
      </c>
      <c r="D122" s="29" t="n">
        <f aca="false">Facility!G4</f>
        <v>12.67</v>
      </c>
      <c r="E122" s="20" t="n">
        <f aca="false">C122-D122</f>
        <v>0</v>
      </c>
      <c r="F122" s="0" t="str">
        <f aca="false">IF(ABS(E122)&lt;0.000000001,"OK","ERROR")</f>
        <v>OK</v>
      </c>
      <c r="G122" s="5" t="s">
        <v>3966</v>
      </c>
    </row>
    <row r="123" customFormat="false" ht="17.15" hidden="false" customHeight="false" outlineLevel="0" collapsed="false">
      <c r="A123" s="0" t="s">
        <v>4182</v>
      </c>
      <c r="B123" s="0" t="s">
        <v>4183</v>
      </c>
      <c r="C123" s="29" t="n">
        <f aca="false">Facility!H15</f>
        <v>12.67</v>
      </c>
      <c r="D123" s="29" t="n">
        <f aca="false">Facility!H4</f>
        <v>12.67</v>
      </c>
      <c r="E123" s="20" t="n">
        <f aca="false">C123-D123</f>
        <v>0</v>
      </c>
      <c r="F123" s="0" t="str">
        <f aca="false">IF(ABS(E123)&lt;0.000000001,"OK","ERROR")</f>
        <v>OK</v>
      </c>
      <c r="G123" s="5" t="s">
        <v>3966</v>
      </c>
    </row>
    <row r="124" customFormat="false" ht="17.15" hidden="false" customHeight="false" outlineLevel="0" collapsed="false">
      <c r="A124" s="0" t="s">
        <v>4184</v>
      </c>
      <c r="B124" s="0" t="s">
        <v>4185</v>
      </c>
      <c r="C124" s="29" t="n">
        <f aca="false">Facility!I15</f>
        <v>12.67</v>
      </c>
      <c r="D124" s="29" t="n">
        <f aca="false">Facility!I4</f>
        <v>12.67</v>
      </c>
      <c r="E124" s="20" t="n">
        <f aca="false">C124-D124</f>
        <v>0</v>
      </c>
      <c r="F124" s="0" t="str">
        <f aca="false">IF(ABS(E124)&lt;0.000000001,"OK","ERROR")</f>
        <v>OK</v>
      </c>
      <c r="G124" s="5" t="s">
        <v>3966</v>
      </c>
    </row>
    <row r="125" customFormat="false" ht="17.15" hidden="false" customHeight="false" outlineLevel="0" collapsed="false">
      <c r="A125" s="0" t="s">
        <v>4186</v>
      </c>
      <c r="B125" s="0" t="s">
        <v>4187</v>
      </c>
      <c r="C125" s="29" t="n">
        <f aca="false">Facility!J15</f>
        <v>12.67</v>
      </c>
      <c r="D125" s="29" t="n">
        <f aca="false">Facility!J4</f>
        <v>12.67</v>
      </c>
      <c r="E125" s="20" t="n">
        <f aca="false">C125-D125</f>
        <v>0</v>
      </c>
      <c r="F125" s="0" t="str">
        <f aca="false">IF(ABS(E125)&lt;0.000000001,"OK","ERROR")</f>
        <v>OK</v>
      </c>
      <c r="G125" s="5" t="s">
        <v>3966</v>
      </c>
    </row>
    <row r="126" customFormat="false" ht="17.15" hidden="false" customHeight="false" outlineLevel="0" collapsed="false">
      <c r="A126" s="0" t="s">
        <v>4188</v>
      </c>
      <c r="B126" s="0" t="s">
        <v>4189</v>
      </c>
      <c r="C126" s="29" t="n">
        <f aca="false">Facility!K15</f>
        <v>12.67</v>
      </c>
      <c r="D126" s="29" t="n">
        <f aca="false">Facility!K4</f>
        <v>12.67</v>
      </c>
      <c r="E126" s="20" t="n">
        <f aca="false">C126-D126</f>
        <v>0</v>
      </c>
      <c r="F126" s="0" t="str">
        <f aca="false">IF(ABS(E126)&lt;0.000000001,"OK","ERROR")</f>
        <v>OK</v>
      </c>
      <c r="G126" s="5" t="s">
        <v>3966</v>
      </c>
    </row>
    <row r="127" customFormat="false" ht="17.15" hidden="false" customHeight="false" outlineLevel="0" collapsed="false">
      <c r="A127" s="0" t="s">
        <v>4190</v>
      </c>
      <c r="B127" s="0" t="s">
        <v>4191</v>
      </c>
      <c r="C127" s="29" t="n">
        <f aca="false">Facility!L15</f>
        <v>12.67</v>
      </c>
      <c r="D127" s="29" t="n">
        <f aca="false">Facility!L4</f>
        <v>12.67</v>
      </c>
      <c r="E127" s="20" t="n">
        <f aca="false">C127-D127</f>
        <v>0</v>
      </c>
      <c r="F127" s="0" t="str">
        <f aca="false">IF(ABS(E127)&lt;0.000000001,"OK","ERROR")</f>
        <v>OK</v>
      </c>
      <c r="G127" s="5" t="s">
        <v>3966</v>
      </c>
    </row>
    <row r="128" customFormat="false" ht="17.15" hidden="false" customHeight="false" outlineLevel="0" collapsed="false">
      <c r="A128" s="0" t="s">
        <v>4192</v>
      </c>
      <c r="B128" s="0" t="s">
        <v>4193</v>
      </c>
      <c r="C128" s="29" t="n">
        <f aca="false">Facility!M15</f>
        <v>12.67</v>
      </c>
      <c r="D128" s="29" t="n">
        <f aca="false">Facility!M4</f>
        <v>12.67</v>
      </c>
      <c r="E128" s="20" t="n">
        <f aca="false">C128-D128</f>
        <v>0</v>
      </c>
      <c r="F128" s="0" t="str">
        <f aca="false">IF(ABS(E128)&lt;0.000000001,"OK","ERROR")</f>
        <v>OK</v>
      </c>
      <c r="G128" s="5" t="s">
        <v>3966</v>
      </c>
    </row>
    <row r="129" customFormat="false" ht="17.15" hidden="false" customHeight="false" outlineLevel="0" collapsed="false">
      <c r="A129" s="0" t="s">
        <v>4194</v>
      </c>
      <c r="B129" s="0" t="s">
        <v>4195</v>
      </c>
      <c r="C129" s="29" t="n">
        <f aca="false">Facility!G14</f>
        <v>0.0200000000000014</v>
      </c>
      <c r="F129" s="0" t="str">
        <f aca="false">IF(ABS(C129)&lt;=0.5,"OK","WARN")</f>
        <v>OK</v>
      </c>
      <c r="G129" s="5" t="s">
        <v>3999</v>
      </c>
    </row>
    <row r="130" customFormat="false" ht="17.15" hidden="false" customHeight="false" outlineLevel="0" collapsed="false">
      <c r="A130" s="0" t="s">
        <v>4196</v>
      </c>
      <c r="B130" s="0" t="s">
        <v>4197</v>
      </c>
      <c r="C130" s="23" t="n">
        <f aca="false">SegIn!C12</f>
        <v>1</v>
      </c>
      <c r="D130" s="0" t="n">
        <v>1</v>
      </c>
      <c r="F130" s="0" t="str">
        <f aca="false">IF(ABS(C130-1)&lt;0.001,"OK","ERROR")</f>
        <v>OK</v>
      </c>
      <c r="G130" s="5" t="s">
        <v>3966</v>
      </c>
    </row>
    <row r="131" customFormat="false" ht="17.15" hidden="false" customHeight="false" outlineLevel="0" collapsed="false">
      <c r="A131" s="0" t="s">
        <v>4198</v>
      </c>
      <c r="B131" s="0" t="s">
        <v>4199</v>
      </c>
      <c r="C131" s="32" t="n">
        <f aca="false">Spend!D16</f>
        <v>0</v>
      </c>
      <c r="D131" s="20" t="n">
        <f aca="false">Spend!D4*Spend!D5</f>
        <v>0</v>
      </c>
      <c r="E131" s="20" t="n">
        <f aca="false">C131-D131</f>
        <v>0</v>
      </c>
      <c r="F131" s="0" t="str">
        <f aca="false">IF(ABS(E131)&lt;0.000001,"OK","ERROR")</f>
        <v>OK</v>
      </c>
      <c r="G131" s="5" t="s">
        <v>3966</v>
      </c>
    </row>
    <row r="132" customFormat="false" ht="17.15" hidden="false" customHeight="false" outlineLevel="0" collapsed="false">
      <c r="A132" s="0" t="s">
        <v>4200</v>
      </c>
      <c r="B132" s="0" t="s">
        <v>4201</v>
      </c>
      <c r="C132" s="32" t="n">
        <f aca="false">Spend!E16</f>
        <v>43.663252190161</v>
      </c>
      <c r="D132" s="20" t="n">
        <f aca="false">Spend!E4*Spend!E5</f>
        <v>43.663252190161</v>
      </c>
      <c r="E132" s="20" t="n">
        <f aca="false">C132-D132</f>
        <v>0</v>
      </c>
      <c r="F132" s="0" t="str">
        <f aca="false">IF(ABS(E132)&lt;0.000001,"OK","ERROR")</f>
        <v>OK</v>
      </c>
      <c r="G132" s="5" t="s">
        <v>3966</v>
      </c>
    </row>
    <row r="133" customFormat="false" ht="17.15" hidden="false" customHeight="false" outlineLevel="0" collapsed="false">
      <c r="A133" s="0" t="s">
        <v>4202</v>
      </c>
      <c r="B133" s="0" t="s">
        <v>4203</v>
      </c>
      <c r="C133" s="32" t="n">
        <f aca="false">Spend!F16</f>
        <v>233.578450255195</v>
      </c>
      <c r="D133" s="20" t="n">
        <f aca="false">Spend!F4*Spend!F5</f>
        <v>233.578450255195</v>
      </c>
      <c r="E133" s="20" t="n">
        <f aca="false">C133-D133</f>
        <v>0</v>
      </c>
      <c r="F133" s="0" t="str">
        <f aca="false">IF(ABS(E133)&lt;0.000001,"OK","ERROR")</f>
        <v>OK</v>
      </c>
      <c r="G133" s="5" t="s">
        <v>3966</v>
      </c>
    </row>
    <row r="134" customFormat="false" ht="17.15" hidden="false" customHeight="false" outlineLevel="0" collapsed="false">
      <c r="A134" s="0" t="s">
        <v>4204</v>
      </c>
      <c r="B134" s="0" t="s">
        <v>4205</v>
      </c>
      <c r="C134" s="32" t="n">
        <f aca="false">Spend!G16</f>
        <v>393.649521615031</v>
      </c>
      <c r="D134" s="20" t="n">
        <f aca="false">Spend!G4*Spend!G5</f>
        <v>393.649521615031</v>
      </c>
      <c r="E134" s="20" t="n">
        <f aca="false">C134-D134</f>
        <v>0</v>
      </c>
      <c r="F134" s="0" t="str">
        <f aca="false">IF(ABS(E134)&lt;0.000001,"OK","ERROR")</f>
        <v>OK</v>
      </c>
      <c r="G134" s="5" t="s">
        <v>3966</v>
      </c>
    </row>
    <row r="135" customFormat="false" ht="17.15" hidden="false" customHeight="false" outlineLevel="0" collapsed="false">
      <c r="A135" s="0" t="s">
        <v>4206</v>
      </c>
      <c r="B135" s="0" t="s">
        <v>4207</v>
      </c>
      <c r="C135" s="32" t="n">
        <f aca="false">Spend!H16</f>
        <v>797.696676332878</v>
      </c>
      <c r="D135" s="20" t="n">
        <f aca="false">Spend!H4*Spend!H5</f>
        <v>797.696676332878</v>
      </c>
      <c r="E135" s="20" t="n">
        <f aca="false">C135-D135</f>
        <v>0</v>
      </c>
      <c r="F135" s="0" t="str">
        <f aca="false">IF(ABS(E135)&lt;0.000001,"OK","ERROR")</f>
        <v>OK</v>
      </c>
      <c r="G135" s="5" t="s">
        <v>3966</v>
      </c>
    </row>
    <row r="136" customFormat="false" ht="17.15" hidden="false" customHeight="false" outlineLevel="0" collapsed="false">
      <c r="A136" s="0" t="s">
        <v>4208</v>
      </c>
      <c r="B136" s="0" t="s">
        <v>4209</v>
      </c>
      <c r="C136" s="32" t="n">
        <f aca="false">Spend!I16</f>
        <v>995.577562853289</v>
      </c>
      <c r="D136" s="20" t="n">
        <f aca="false">Spend!I4*Spend!I5</f>
        <v>995.577562853289</v>
      </c>
      <c r="E136" s="20" t="n">
        <f aca="false">C136-D136</f>
        <v>0</v>
      </c>
      <c r="F136" s="0" t="str">
        <f aca="false">IF(ABS(E136)&lt;0.000001,"OK","ERROR")</f>
        <v>OK</v>
      </c>
      <c r="G136" s="5" t="s">
        <v>3966</v>
      </c>
    </row>
    <row r="137" customFormat="false" ht="17.15" hidden="false" customHeight="false" outlineLevel="0" collapsed="false">
      <c r="A137" s="0" t="s">
        <v>4210</v>
      </c>
      <c r="B137" s="0" t="s">
        <v>4211</v>
      </c>
      <c r="C137" s="32" t="n">
        <f aca="false">Spend!J16</f>
        <v>1021.80155343636</v>
      </c>
      <c r="D137" s="20" t="n">
        <f aca="false">Spend!J4*Spend!J5</f>
        <v>1021.80155343636</v>
      </c>
      <c r="E137" s="20" t="n">
        <f aca="false">C137-D137</f>
        <v>0</v>
      </c>
      <c r="F137" s="0" t="str">
        <f aca="false">IF(ABS(E137)&lt;0.000001,"OK","ERROR")</f>
        <v>OK</v>
      </c>
      <c r="G137" s="5" t="s">
        <v>3966</v>
      </c>
    </row>
    <row r="138" customFormat="false" ht="17.15" hidden="false" customHeight="false" outlineLevel="0" collapsed="false">
      <c r="A138" s="0" t="s">
        <v>4212</v>
      </c>
      <c r="B138" s="0" t="s">
        <v>4213</v>
      </c>
      <c r="C138" s="32" t="n">
        <f aca="false">Spend!K16</f>
        <v>1038.07280411256</v>
      </c>
      <c r="D138" s="20" t="n">
        <f aca="false">Spend!K4*Spend!K5</f>
        <v>1038.07280411256</v>
      </c>
      <c r="E138" s="20" t="n">
        <f aca="false">C138-D138</f>
        <v>0</v>
      </c>
      <c r="F138" s="0" t="str">
        <f aca="false">IF(ABS(E138)&lt;0.000001,"OK","ERROR")</f>
        <v>OK</v>
      </c>
      <c r="G138" s="5" t="s">
        <v>3966</v>
      </c>
    </row>
    <row r="139" customFormat="false" ht="17.15" hidden="false" customHeight="false" outlineLevel="0" collapsed="false">
      <c r="A139" s="0" t="s">
        <v>4214</v>
      </c>
      <c r="B139" s="0" t="s">
        <v>4215</v>
      </c>
      <c r="C139" s="32" t="n">
        <f aca="false">Spend!L16</f>
        <v>910.466826717916</v>
      </c>
      <c r="D139" s="20" t="n">
        <f aca="false">Spend!L4*Spend!L5</f>
        <v>910.466826717916</v>
      </c>
      <c r="E139" s="20" t="n">
        <f aca="false">C139-D139</f>
        <v>0</v>
      </c>
      <c r="F139" s="0" t="str">
        <f aca="false">IF(ABS(E139)&lt;0.000001,"OK","ERROR")</f>
        <v>OK</v>
      </c>
      <c r="G139" s="5" t="s">
        <v>3966</v>
      </c>
    </row>
    <row r="140" customFormat="false" ht="17.15" hidden="false" customHeight="false" outlineLevel="0" collapsed="false">
      <c r="A140" s="0" t="s">
        <v>4216</v>
      </c>
      <c r="B140" s="0" t="s">
        <v>4217</v>
      </c>
      <c r="C140" s="32" t="n">
        <f aca="false">Spend!M16</f>
        <v>621.092469348892</v>
      </c>
      <c r="D140" s="20" t="n">
        <f aca="false">Spend!M4*Spend!M5</f>
        <v>621.092469348892</v>
      </c>
      <c r="E140" s="20" t="n">
        <f aca="false">C140-D140</f>
        <v>0</v>
      </c>
      <c r="F140" s="0" t="str">
        <f aca="false">IF(ABS(E140)&lt;0.000001,"OK","ERROR")</f>
        <v>OK</v>
      </c>
      <c r="G140" s="5" t="s">
        <v>3966</v>
      </c>
    </row>
    <row r="141" customFormat="false" ht="17.15" hidden="false" customHeight="false" outlineLevel="0" collapsed="false">
      <c r="A141" s="0" t="s">
        <v>4218</v>
      </c>
      <c r="B141" s="0" t="s">
        <v>4219</v>
      </c>
      <c r="C141" s="0" t="n">
        <f aca="false">(ABS(N(Funding!X5)+N(Funding!Y5)+N(Funding!Z5)+N(Funding!AA5)+N(Funding!AB5)-N(Funding!W5))&gt;0.000000001)+(N(Funding!AB5)&lt;-0.000000001)+(ABS(N(Funding!X6)+N(Funding!Y6)+N(Funding!Z6)+N(Funding!AA6)+N(Funding!AB6)-N(Funding!W6))&gt;0.000000001)+(N(Funding!AB6)&lt;-0.000000001)+(ABS(N(Funding!X7)+N(Funding!Y7)+N(Funding!Z7)+N(Funding!AA7)+N(Funding!AB7)-N(Funding!W7))&gt;0.000000001)+(N(Funding!AB7)&lt;-0.000000001)+(ABS(N(Funding!X8)+N(Funding!Y8)+N(Funding!Z8)+N(Funding!AA8)+N(Funding!AB8)-N(Funding!W8))&gt;0.000000001)+(N(Funding!AB8)&lt;-0.000000001)+(ABS(N(Funding!X9)+N(Funding!Y9)+N(Funding!Z9)+N(Funding!AA9)+N(Funding!AB9)-N(Funding!W9))&gt;0.000000001)+(N(Funding!AB9)&lt;-0.000000001)+(ABS(N(Funding!X10)+N(Funding!Y10)+N(Funding!Z10)+N(Funding!AA10)+N(Funding!AB10)-N(Funding!W10))&gt;0.000000001)+(N(Funding!AB10)&lt;-0.000000001)+(ABS(N(Funding!X11)+N(Funding!Y11)+N(Funding!Z11)+N(Funding!AA11)+N(Funding!AB11)-N(Funding!W11))&gt;0.000000001)+(N(Funding!AB11)&lt;-0.000000001)+(ABS(N(Funding!X12)+N(Funding!Y12)+N(Funding!Z12)+N(Funding!AA12)+N(Funding!AB12)-N(Funding!W12))&gt;0.000000001)+(N(Funding!AB12)&lt;-0.000000001)+(ABS(N(Funding!X13)+N(Funding!Y13)+N(Funding!Z13)+N(Funding!AA13)+N(Funding!AB13)-N(Funding!W13))&gt;0.000000001)+(N(Funding!AB13)&lt;-0.000000001)+(ABS(N(Funding!X14)+N(Funding!Y14)+N(Funding!Z14)+N(Funding!AA14)+N(Funding!AB14)-N(Funding!W14))&gt;0.000000001)+(N(Funding!AB14)&lt;-0.000000001)+(ABS(N(Funding!X15)+N(Funding!Y15)+N(Funding!Z15)+N(Funding!AA15)+N(Funding!AB15)-N(Funding!W15))&gt;0.000000001)+(N(Funding!AB15)&lt;-0.000000001)+(ABS(N(Funding!X16)+N(Funding!Y16)+N(Funding!Z16)+N(Funding!AA16)+N(Funding!AB16)-N(Funding!W16))&gt;0.000000001)+(N(Funding!AB16)&lt;-0.000000001)+(ABS(N(Funding!X17)+N(Funding!Y17)+N(Funding!Z17)+N(Funding!AA17)+N(Funding!AB17)-N(Funding!W17))&gt;0.000000001)+(N(Funding!AB17)&lt;-0.000000001)+(ABS(N(Funding!X18)+N(Funding!Y18)+N(Funding!Z18)+N(Funding!AA18)+N(Funding!AB18)-N(Funding!W18))&gt;0.000000001)+(N(Funding!AB18)&lt;-0.000000001)+(ABS(N(Funding!X19)+N(Funding!Y19)+N(Funding!Z19)+N(Funding!AA19)+N(Funding!AB19)-N(Funding!W19))&gt;0.000000001)+(N(Funding!AB19)&lt;-0.000000001)+(ABS(N(Funding!X20)+N(Funding!Y20)+N(Funding!Z20)+N(Funding!AA20)+N(Funding!AB20)-N(Funding!W20))&gt;0.000000001)+(N(Funding!AB20)&lt;-0.000000001)+(ABS(N(Funding!X21)+N(Funding!Y21)+N(Funding!Z21)+N(Funding!AA21)+N(Funding!AB21)-N(Funding!W21))&gt;0.000000001)+(N(Funding!AB21)&lt;-0.000000001)+(ABS(N(Funding!X22)+N(Funding!Y22)+N(Funding!Z22)+N(Funding!AA22)+N(Funding!AB22)-N(Funding!W22))&gt;0.000000001)+(N(Funding!AB22)&lt;-0.000000001)+(ABS(N(Funding!X23)+N(Funding!Y23)+N(Funding!Z23)+N(Funding!AA23)+N(Funding!AB23)-N(Funding!W23))&gt;0.000000001)+(N(Funding!AB23)&lt;-0.000000001)+(ABS(N(Funding!X24)+N(Funding!Y24)+N(Funding!Z24)+N(Funding!AA24)+N(Funding!AB24)-N(Funding!W24))&gt;0.000000001)+(N(Funding!AB24)&lt;-0.000000001)+(ABS(N(Funding!X25)+N(Funding!Y25)+N(Funding!Z25)+N(Funding!AA25)+N(Funding!AB25)-N(Funding!W25))&gt;0.000000001)+(N(Funding!AB25)&lt;-0.000000001)+(ABS(N(Funding!X26)+N(Funding!Y26)+N(Funding!Z26)+N(Funding!AA26)+N(Funding!AB26)-N(Funding!W26))&gt;0.000000001)+(N(Funding!AB26)&lt;-0.000000001)+(ABS(N(Funding!X27)+N(Funding!Y27)+N(Funding!Z27)+N(Funding!AA27)+N(Funding!AB27)-N(Funding!W27))&gt;0.000000001)+(N(Funding!AB27)&lt;-0.000000001)+(ABS(N(Funding!X28)+N(Funding!Y28)+N(Funding!Z28)+N(Funding!AA28)+N(Funding!AB28)-N(Funding!W28))&gt;0.000000001)+(N(Funding!AB28)&lt;-0.000000001)+(ABS(N(Funding!X29)+N(Funding!Y29)+N(Funding!Z29)+N(Funding!AA29)+N(Funding!AB29)-N(Funding!W29))&gt;0.000000001)+(N(Funding!AB29)&lt;-0.000000001)+(ABS(N(Funding!X30)+N(Funding!Y30)+N(Funding!Z30)+N(Funding!AA30)+N(Funding!AB30)-N(Funding!W30))&gt;0.000000001)+(N(Funding!AB30)&lt;-0.000000001)</f>
        <v>0</v>
      </c>
      <c r="F141" s="0" t="str">
        <f aca="false">IF(C141=0,"OK","ERROR")</f>
        <v>OK</v>
      </c>
      <c r="G141" s="5" t="s">
        <v>3966</v>
      </c>
    </row>
    <row r="142" customFormat="false" ht="17.15" hidden="false" customHeight="false" outlineLevel="0" collapsed="false">
      <c r="A142" s="0" t="s">
        <v>4220</v>
      </c>
      <c r="B142" s="0" t="s">
        <v>4221</v>
      </c>
      <c r="C142" s="0" t="n">
        <v>0</v>
      </c>
      <c r="F142" s="0" t="str">
        <f aca="false">IF(C142=0,"OK","ERROR")</f>
        <v>OK</v>
      </c>
      <c r="G142" s="5" t="s">
        <v>4151</v>
      </c>
    </row>
    <row r="143" customFormat="false" ht="17.15" hidden="false" customHeight="false" outlineLevel="0" collapsed="false">
      <c r="A143" s="0" t="s">
        <v>4222</v>
      </c>
      <c r="B143" s="0" t="s">
        <v>4223</v>
      </c>
      <c r="C143" s="0" t="n">
        <f aca="false">N(Funding!U30)</f>
        <v>36</v>
      </c>
      <c r="D143" s="0" t="n">
        <f aca="false">N(Funding!L30)</f>
        <v>35</v>
      </c>
      <c r="F143" s="0" t="str">
        <f aca="false">IF(AND(C143=36,D143=35),"OK","ERROR")</f>
        <v>OK</v>
      </c>
      <c r="G143" s="5" t="s">
        <v>4224</v>
      </c>
    </row>
    <row r="144" customFormat="false" ht="17.15" hidden="false" customHeight="false" outlineLevel="0" collapsed="false">
      <c r="A144" s="0" t="s">
        <v>4225</v>
      </c>
      <c r="B144" s="0" t="s">
        <v>4226</v>
      </c>
      <c r="C144" s="32" t="n">
        <f aca="false">Funding!AL9</f>
        <v>64.564</v>
      </c>
      <c r="D144" s="0" t="n">
        <v>64.564</v>
      </c>
      <c r="F144" s="0" t="str">
        <f aca="false">IF(C144&gt;=D144-0.000001,"OK","ERROR")</f>
        <v>OK</v>
      </c>
      <c r="G144" s="5" t="s">
        <v>4227</v>
      </c>
    </row>
    <row r="145" customFormat="false" ht="17.15" hidden="false" customHeight="false" outlineLevel="0" collapsed="false">
      <c r="A145" s="0" t="s">
        <v>4228</v>
      </c>
      <c r="B145" s="0" t="s">
        <v>4229</v>
      </c>
      <c r="C145" s="32" t="n">
        <f aca="false">Funding!AL15</f>
        <v>57.3</v>
      </c>
      <c r="D145" s="0" t="n">
        <v>57.3</v>
      </c>
      <c r="F145" s="0" t="str">
        <f aca="false">IF(C145&gt;=D145-0.000001,"OK","ERROR")</f>
        <v>OK</v>
      </c>
      <c r="G145" s="5" t="s">
        <v>4227</v>
      </c>
    </row>
    <row r="146" customFormat="false" ht="17.15" hidden="false" customHeight="false" outlineLevel="0" collapsed="false">
      <c r="A146" s="0" t="s">
        <v>4230</v>
      </c>
      <c r="B146" s="5" t="s">
        <v>4231</v>
      </c>
      <c r="C146" s="0" t="n">
        <v>17</v>
      </c>
      <c r="F146" s="0" t="str">
        <f aca="false">IF(C146=17,"OK","ERROR")</f>
        <v>OK</v>
      </c>
      <c r="G146" s="5" t="s">
        <v>3931</v>
      </c>
    </row>
    <row r="147" customFormat="false" ht="17.15" hidden="false" customHeight="false" outlineLevel="0" collapsed="false">
      <c r="A147" s="0" t="s">
        <v>4232</v>
      </c>
      <c r="B147" s="0" t="s">
        <v>4233</v>
      </c>
      <c r="C147" s="0" t="n">
        <f aca="false">(Deploy!M13&lt;Deploy!M14-0.000000001)+(Deploy!M14&lt;Deploy!M15-0.000000001)+(Deploy!M62&lt;Deploy!M63-0.000000001)+(Deploy!M63&lt;Deploy!M64-0.000000001)+(Deploy!M29&lt;Deploy!M30-0.000000001)+(Deploy!M30&lt;Deploy!M31-0.000000001)+(Deploy!M78&lt;Deploy!M79-0.000000001)+(Deploy!M79&lt;Deploy!M80-0.000000001)+(Deploy!M45&lt;Deploy!M46-0.000000001)+(Deploy!M46&lt;Deploy!M47-0.000000001)+(Deploy!M94&lt;Deploy!M95-0.000000001)+(Deploy!M95&lt;Deploy!M96-0.000000001)</f>
        <v>0</v>
      </c>
      <c r="F147" s="0" t="str">
        <f aca="false">IF(C147=0,"OK","WARN")</f>
        <v>OK</v>
      </c>
      <c r="G147" s="5" t="s">
        <v>3999</v>
      </c>
    </row>
    <row r="148" customFormat="false" ht="17.15" hidden="false" customHeight="false" outlineLevel="0" collapsed="false">
      <c r="A148" s="0" t="s">
        <v>4234</v>
      </c>
      <c r="B148" s="0" t="s">
        <v>4235</v>
      </c>
      <c r="C148" s="0" t="n">
        <f aca="false">SUMPRODUCT((In!S5:S245&lt;&gt;"")*(In!E5:E245=""))</f>
        <v>0</v>
      </c>
      <c r="F148" s="0" t="str">
        <f aca="false">IF(C148=0,"OK","ERROR")</f>
        <v>OK</v>
      </c>
      <c r="G148" s="5" t="s">
        <v>4236</v>
      </c>
    </row>
    <row r="149" customFormat="false" ht="17.15" hidden="false" customHeight="false" outlineLevel="0" collapsed="false">
      <c r="A149" s="0" t="s">
        <v>4237</v>
      </c>
      <c r="B149" s="0" t="s">
        <v>4238</v>
      </c>
      <c r="C149" s="0" t="n">
        <f aca="false">SUMPRODUCT((In!S5:S245&lt;&gt;"")*(In!F5:F245=""))</f>
        <v>0</v>
      </c>
      <c r="F149" s="0" t="str">
        <f aca="false">IF(C149=0,"OK","ERROR")</f>
        <v>OK</v>
      </c>
      <c r="G149" s="5" t="s">
        <v>4236</v>
      </c>
    </row>
    <row r="150" customFormat="false" ht="17.15" hidden="false" customHeight="false" outlineLevel="0" collapsed="false">
      <c r="A150" s="0" t="s">
        <v>4239</v>
      </c>
      <c r="B150" s="5" t="s">
        <v>4240</v>
      </c>
      <c r="C150" s="0" t="n">
        <f aca="false">SUMPRODUCT((In!S5:S245=1)*((ISNUMBER(SEARCH("Assumed",In!E5:E245))+ISNUMBER(SEARCH("Analogy",In!E5:E245)))&gt;0)*(((In!H5:H245="")+(In!J5:J245=""))&gt;0))</f>
        <v>0</v>
      </c>
      <c r="F150" s="0" t="str">
        <f aca="false">IF(C150=0,"OK","ERROR")</f>
        <v>OK</v>
      </c>
      <c r="G150" s="5" t="s">
        <v>4236</v>
      </c>
    </row>
    <row r="151" customFormat="false" ht="17.15" hidden="false" customHeight="false" outlineLevel="0" collapsed="false">
      <c r="A151" s="0" t="s">
        <v>4241</v>
      </c>
      <c r="B151" s="5" t="s">
        <v>4242</v>
      </c>
      <c r="C151" s="0" t="n">
        <f aca="false">SUMPRODUCT((In!S5:S245&gt;1)*((ISNUMBER(SEARCH("Assumed",In!E5:E245))+ISNUMBER(SEARCH("Analogy",In!E5:E245)))&gt;0))</f>
        <v>42</v>
      </c>
      <c r="F151" s="0" t="str">
        <f aca="false">IF(C151=0,"OK","WARN")</f>
        <v>WARN</v>
      </c>
      <c r="G151" s="5" t="s">
        <v>4236</v>
      </c>
    </row>
    <row r="152" customFormat="false" ht="17.15" hidden="false" customHeight="false" outlineLevel="0" collapsed="false">
      <c r="A152" s="0" t="s">
        <v>4243</v>
      </c>
      <c r="B152" s="0" t="s">
        <v>4244</v>
      </c>
      <c r="C152" s="0" t="n">
        <v>0</v>
      </c>
      <c r="F152" s="0" t="str">
        <f aca="false">IF(C152=0,"OK","ERROR")</f>
        <v>OK</v>
      </c>
      <c r="G152" s="5" t="s">
        <v>4236</v>
      </c>
    </row>
    <row r="153" customFormat="false" ht="17.15" hidden="false" customHeight="false" outlineLevel="0" collapsed="false">
      <c r="A153" s="0" t="s">
        <v>4245</v>
      </c>
      <c r="B153" s="5" t="s">
        <v>4246</v>
      </c>
      <c r="C153" s="0" t="n">
        <f aca="false">COUNTIF(In!E5:E245,"待證據")</f>
        <v>24</v>
      </c>
      <c r="F153" s="0" t="str">
        <f aca="false">IF(C153=0,"OK","WARN")</f>
        <v>WARN</v>
      </c>
      <c r="G153" s="5" t="s">
        <v>4236</v>
      </c>
      <c r="H153" s="0" t="s">
        <v>4247</v>
      </c>
    </row>
    <row r="154" customFormat="false" ht="15" hidden="false" customHeight="false" outlineLevel="0" collapsed="false">
      <c r="A154" s="0" t="s">
        <v>4248</v>
      </c>
      <c r="B154" s="5" t="s">
        <v>4249</v>
      </c>
      <c r="C154" s="0" t="n">
        <f aca="false">COUNTIF(In!G5:G245,"*【佔位】*")</f>
        <v>0</v>
      </c>
      <c r="F154" s="0" t="str">
        <f aca="false">IF(C154=0,"OK","WARN")</f>
        <v>OK</v>
      </c>
      <c r="G154" s="5" t="s">
        <v>4236</v>
      </c>
    </row>
    <row r="156" customFormat="false" ht="15" hidden="false" customHeight="false" outlineLevel="0" collapsed="false">
      <c r="A156" s="8" t="s">
        <v>4250</v>
      </c>
      <c r="C156" s="42" t="n">
        <f aca="false">COUNTIF(F4:F154,"ERROR")</f>
        <v>0</v>
      </c>
    </row>
    <row r="157" customFormat="false" ht="15" hidden="false" customHeight="false" outlineLevel="0" collapsed="false">
      <c r="A157" s="8" t="s">
        <v>4251</v>
      </c>
      <c r="C157" s="42" t="n">
        <f aca="false">COUNTIF(F4:F154,"WARN")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80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14"/>
  </cols>
  <sheetData>
    <row r="1" customFormat="false" ht="17.15" hidden="false" customHeight="false" outlineLevel="0" collapsed="false">
      <c r="A1" s="0" t="s">
        <v>4252</v>
      </c>
    </row>
    <row r="3" customFormat="false" ht="17.15" hidden="false" customHeight="false" outlineLevel="0" collapsed="false">
      <c r="A3" s="6" t="s">
        <v>4253</v>
      </c>
      <c r="B3" s="6" t="s">
        <v>1333</v>
      </c>
      <c r="C3" s="6" t="s">
        <v>15</v>
      </c>
      <c r="D3" s="6" t="s">
        <v>4254</v>
      </c>
      <c r="E3" s="6" t="s">
        <v>4255</v>
      </c>
      <c r="F3" s="6" t="s">
        <v>4256</v>
      </c>
      <c r="G3" s="6" t="s">
        <v>4257</v>
      </c>
    </row>
    <row r="4" customFormat="false" ht="32.8" hidden="false" customHeight="false" outlineLevel="0" collapsed="false">
      <c r="A4" s="3" t="s">
        <v>4258</v>
      </c>
      <c r="B4" s="2" t="s">
        <v>4259</v>
      </c>
      <c r="C4" s="2" t="s">
        <v>4260</v>
      </c>
      <c r="D4" s="2" t="s">
        <v>4261</v>
      </c>
      <c r="E4" s="3" t="s">
        <v>4262</v>
      </c>
      <c r="F4" s="3" t="s">
        <v>4263</v>
      </c>
      <c r="G4" s="2" t="s">
        <v>4264</v>
      </c>
    </row>
    <row r="5" customFormat="false" ht="32.8" hidden="false" customHeight="false" outlineLevel="0" collapsed="false">
      <c r="A5" s="3" t="s">
        <v>4265</v>
      </c>
      <c r="B5" s="2" t="s">
        <v>4259</v>
      </c>
      <c r="C5" s="2" t="s">
        <v>4266</v>
      </c>
      <c r="D5" s="2" t="s">
        <v>4267</v>
      </c>
      <c r="E5" s="3" t="s">
        <v>4262</v>
      </c>
      <c r="F5" s="2" t="s">
        <v>4268</v>
      </c>
      <c r="G5" s="2" t="s">
        <v>4264</v>
      </c>
    </row>
    <row r="6" customFormat="false" ht="64.15" hidden="false" customHeight="false" outlineLevel="0" collapsed="false">
      <c r="A6" s="43" t="s">
        <v>4269</v>
      </c>
      <c r="B6" s="44" t="s">
        <v>4259</v>
      </c>
      <c r="C6" s="44" t="s">
        <v>4270</v>
      </c>
      <c r="D6" s="44" t="s">
        <v>4271</v>
      </c>
      <c r="E6" s="43" t="s">
        <v>4262</v>
      </c>
      <c r="F6" s="43" t="s">
        <v>4272</v>
      </c>
      <c r="G6" s="44" t="s">
        <v>4273</v>
      </c>
    </row>
    <row r="7" customFormat="false" ht="32.8" hidden="false" customHeight="false" outlineLevel="0" collapsed="false">
      <c r="A7" s="43" t="s">
        <v>4274</v>
      </c>
      <c r="B7" s="44" t="s">
        <v>4259</v>
      </c>
      <c r="C7" s="44" t="s">
        <v>4275</v>
      </c>
      <c r="D7" s="43" t="s">
        <v>4276</v>
      </c>
      <c r="E7" s="43" t="s">
        <v>4262</v>
      </c>
      <c r="F7" s="44" t="s">
        <v>4277</v>
      </c>
      <c r="G7" s="44" t="s">
        <v>4273</v>
      </c>
    </row>
    <row r="8" customFormat="false" ht="32.8" hidden="false" customHeight="false" outlineLevel="0" collapsed="false">
      <c r="A8" s="3" t="s">
        <v>4278</v>
      </c>
      <c r="B8" s="2" t="s">
        <v>4259</v>
      </c>
      <c r="C8" s="3" t="s">
        <v>4279</v>
      </c>
      <c r="D8" s="2" t="s">
        <v>4280</v>
      </c>
      <c r="E8" s="3" t="s">
        <v>4262</v>
      </c>
      <c r="F8" s="2" t="s">
        <v>4281</v>
      </c>
      <c r="G8" s="2" t="s">
        <v>4264</v>
      </c>
    </row>
    <row r="9" customFormat="false" ht="48.5" hidden="false" customHeight="false" outlineLevel="0" collapsed="false">
      <c r="A9" s="3" t="s">
        <v>4282</v>
      </c>
      <c r="B9" s="2" t="s">
        <v>4259</v>
      </c>
      <c r="C9" s="2" t="s">
        <v>4283</v>
      </c>
      <c r="D9" s="2" t="s">
        <v>4284</v>
      </c>
      <c r="E9" s="3" t="s">
        <v>4262</v>
      </c>
      <c r="F9" s="3" t="s">
        <v>4285</v>
      </c>
      <c r="G9" s="2" t="s">
        <v>4264</v>
      </c>
    </row>
    <row r="10" customFormat="false" ht="64.15" hidden="false" customHeight="false" outlineLevel="0" collapsed="false">
      <c r="A10" s="43" t="s">
        <v>4286</v>
      </c>
      <c r="B10" s="44" t="s">
        <v>4259</v>
      </c>
      <c r="C10" s="44" t="s">
        <v>4287</v>
      </c>
      <c r="D10" s="43" t="s">
        <v>4288</v>
      </c>
      <c r="E10" s="43" t="s">
        <v>4262</v>
      </c>
      <c r="F10" s="44" t="s">
        <v>4289</v>
      </c>
      <c r="G10" s="44" t="s">
        <v>4273</v>
      </c>
    </row>
    <row r="11" customFormat="false" ht="48.5" hidden="false" customHeight="false" outlineLevel="0" collapsed="false">
      <c r="A11" s="43" t="s">
        <v>4290</v>
      </c>
      <c r="B11" s="44" t="s">
        <v>4259</v>
      </c>
      <c r="C11" s="43" t="s">
        <v>4291</v>
      </c>
      <c r="D11" s="43" t="s">
        <v>4292</v>
      </c>
      <c r="E11" s="43" t="s">
        <v>4262</v>
      </c>
      <c r="F11" s="44" t="s">
        <v>4293</v>
      </c>
      <c r="G11" s="44" t="s">
        <v>4273</v>
      </c>
    </row>
    <row r="12" customFormat="false" ht="32.8" hidden="false" customHeight="false" outlineLevel="0" collapsed="false">
      <c r="A12" s="3" t="s">
        <v>4294</v>
      </c>
      <c r="B12" s="2" t="s">
        <v>4259</v>
      </c>
      <c r="C12" s="3" t="s">
        <v>4295</v>
      </c>
      <c r="D12" s="2" t="s">
        <v>4296</v>
      </c>
      <c r="E12" s="3" t="s">
        <v>4262</v>
      </c>
      <c r="F12" s="2" t="s">
        <v>4297</v>
      </c>
      <c r="G12" s="2" t="s">
        <v>4264</v>
      </c>
    </row>
    <row r="13" customFormat="false" ht="17.15" hidden="false" customHeight="false" outlineLevel="0" collapsed="false">
      <c r="A13" s="3" t="s">
        <v>4298</v>
      </c>
      <c r="B13" s="2" t="s">
        <v>4259</v>
      </c>
      <c r="C13" s="2" t="s">
        <v>4299</v>
      </c>
      <c r="D13" s="2" t="s">
        <v>4300</v>
      </c>
      <c r="E13" s="3" t="s">
        <v>4262</v>
      </c>
      <c r="F13" s="2" t="s">
        <v>4301</v>
      </c>
      <c r="G13" s="2" t="s">
        <v>4264</v>
      </c>
    </row>
    <row r="14" customFormat="false" ht="48.5" hidden="false" customHeight="false" outlineLevel="0" collapsed="false">
      <c r="A14" s="43" t="s">
        <v>4302</v>
      </c>
      <c r="B14" s="44" t="s">
        <v>4259</v>
      </c>
      <c r="C14" s="44" t="s">
        <v>4303</v>
      </c>
      <c r="D14" s="43" t="s">
        <v>4304</v>
      </c>
      <c r="E14" s="43" t="s">
        <v>4262</v>
      </c>
      <c r="F14" s="43" t="s">
        <v>4305</v>
      </c>
      <c r="G14" s="44" t="s">
        <v>4273</v>
      </c>
    </row>
    <row r="15" customFormat="false" ht="32.8" hidden="false" customHeight="false" outlineLevel="0" collapsed="false">
      <c r="A15" s="3" t="s">
        <v>4306</v>
      </c>
      <c r="B15" s="2" t="s">
        <v>4259</v>
      </c>
      <c r="C15" s="2" t="s">
        <v>4307</v>
      </c>
      <c r="D15" s="2" t="s">
        <v>4308</v>
      </c>
      <c r="E15" s="3" t="s">
        <v>4262</v>
      </c>
      <c r="F15" s="3" t="s">
        <v>4309</v>
      </c>
      <c r="G15" s="2" t="s">
        <v>4264</v>
      </c>
    </row>
    <row r="16" customFormat="false" ht="64.15" hidden="false" customHeight="false" outlineLevel="0" collapsed="false">
      <c r="A16" s="43" t="s">
        <v>4310</v>
      </c>
      <c r="B16" s="44" t="s">
        <v>4259</v>
      </c>
      <c r="C16" s="43" t="s">
        <v>4311</v>
      </c>
      <c r="D16" s="43" t="s">
        <v>4312</v>
      </c>
      <c r="E16" s="43" t="s">
        <v>4262</v>
      </c>
      <c r="F16" s="43" t="s">
        <v>4313</v>
      </c>
      <c r="G16" s="44" t="s">
        <v>4273</v>
      </c>
    </row>
    <row r="17" customFormat="false" ht="30.55" hidden="false" customHeight="false" outlineLevel="0" collapsed="false">
      <c r="A17" s="43" t="s">
        <v>4314</v>
      </c>
      <c r="B17" s="44" t="s">
        <v>4259</v>
      </c>
      <c r="C17" s="43" t="s">
        <v>4315</v>
      </c>
      <c r="D17" s="44" t="s">
        <v>4316</v>
      </c>
      <c r="E17" s="43" t="s">
        <v>4262</v>
      </c>
      <c r="F17" s="43" t="s">
        <v>4309</v>
      </c>
      <c r="G17" s="44" t="s">
        <v>4273</v>
      </c>
    </row>
    <row r="18" customFormat="false" ht="32.8" hidden="false" customHeight="false" outlineLevel="0" collapsed="false">
      <c r="A18" s="3" t="s">
        <v>4317</v>
      </c>
      <c r="B18" s="2" t="s">
        <v>4259</v>
      </c>
      <c r="C18" s="2" t="s">
        <v>4318</v>
      </c>
      <c r="D18" s="3" t="s">
        <v>4319</v>
      </c>
      <c r="E18" s="3" t="s">
        <v>4262</v>
      </c>
      <c r="F18" s="2" t="s">
        <v>4259</v>
      </c>
      <c r="G18" s="2" t="s">
        <v>4264</v>
      </c>
    </row>
    <row r="19" customFormat="false" ht="95.5" hidden="false" customHeight="false" outlineLevel="0" collapsed="false">
      <c r="A19" s="43" t="s">
        <v>4320</v>
      </c>
      <c r="B19" s="44" t="s">
        <v>4259</v>
      </c>
      <c r="C19" s="44" t="s">
        <v>4321</v>
      </c>
      <c r="D19" s="44" t="s">
        <v>4322</v>
      </c>
      <c r="E19" s="43" t="s">
        <v>4262</v>
      </c>
      <c r="F19" s="43" t="s">
        <v>4323</v>
      </c>
      <c r="G19" s="44" t="s">
        <v>4273</v>
      </c>
    </row>
    <row r="20" customFormat="false" ht="48.5" hidden="false" customHeight="false" outlineLevel="0" collapsed="false">
      <c r="A20" s="43" t="s">
        <v>4324</v>
      </c>
      <c r="B20" s="44" t="s">
        <v>4259</v>
      </c>
      <c r="C20" s="44" t="s">
        <v>4325</v>
      </c>
      <c r="D20" s="43" t="s">
        <v>4326</v>
      </c>
      <c r="E20" s="43" t="s">
        <v>4262</v>
      </c>
      <c r="F20" s="43" t="s">
        <v>4327</v>
      </c>
      <c r="G20" s="44" t="s">
        <v>4273</v>
      </c>
    </row>
    <row r="21" customFormat="false" ht="48.5" hidden="false" customHeight="false" outlineLevel="0" collapsed="false">
      <c r="A21" s="43" t="s">
        <v>4328</v>
      </c>
      <c r="B21" s="44" t="s">
        <v>4329</v>
      </c>
      <c r="C21" s="44" t="s">
        <v>4330</v>
      </c>
      <c r="D21" s="44" t="s">
        <v>4331</v>
      </c>
      <c r="E21" s="43" t="s">
        <v>4262</v>
      </c>
      <c r="F21" s="44" t="s">
        <v>4332</v>
      </c>
      <c r="G21" s="44" t="s">
        <v>4273</v>
      </c>
    </row>
    <row r="22" customFormat="false" ht="48.5" hidden="false" customHeight="false" outlineLevel="0" collapsed="false">
      <c r="A22" s="43" t="s">
        <v>4333</v>
      </c>
      <c r="B22" s="44" t="s">
        <v>4259</v>
      </c>
      <c r="C22" s="44" t="s">
        <v>4334</v>
      </c>
      <c r="D22" s="43" t="s">
        <v>4335</v>
      </c>
      <c r="E22" s="43" t="s">
        <v>4262</v>
      </c>
      <c r="F22" s="44" t="s">
        <v>4336</v>
      </c>
      <c r="G22" s="44" t="s">
        <v>4273</v>
      </c>
    </row>
    <row r="23" customFormat="false" ht="48.5" hidden="false" customHeight="false" outlineLevel="0" collapsed="false">
      <c r="A23" s="3" t="s">
        <v>4337</v>
      </c>
      <c r="B23" s="2" t="s">
        <v>4259</v>
      </c>
      <c r="C23" s="2" t="s">
        <v>4338</v>
      </c>
      <c r="D23" s="2" t="s">
        <v>4339</v>
      </c>
      <c r="E23" s="3" t="s">
        <v>4262</v>
      </c>
      <c r="F23" s="2" t="s">
        <v>4340</v>
      </c>
      <c r="G23" s="2" t="s">
        <v>4264</v>
      </c>
    </row>
    <row r="24" customFormat="false" ht="48.5" hidden="false" customHeight="false" outlineLevel="0" collapsed="false">
      <c r="A24" s="3" t="s">
        <v>4341</v>
      </c>
      <c r="B24" s="2" t="s">
        <v>4342</v>
      </c>
      <c r="C24" s="3" t="s">
        <v>4343</v>
      </c>
      <c r="D24" s="3" t="s">
        <v>4344</v>
      </c>
      <c r="E24" s="3" t="s">
        <v>4262</v>
      </c>
      <c r="F24" s="2" t="s">
        <v>4345</v>
      </c>
      <c r="G24" s="2" t="s">
        <v>4264</v>
      </c>
    </row>
    <row r="25" customFormat="false" ht="48.5" hidden="false" customHeight="false" outlineLevel="0" collapsed="false">
      <c r="A25" s="3" t="s">
        <v>4346</v>
      </c>
      <c r="B25" s="2" t="s">
        <v>4259</v>
      </c>
      <c r="C25" s="2" t="s">
        <v>4347</v>
      </c>
      <c r="D25" s="3" t="s">
        <v>4348</v>
      </c>
      <c r="E25" s="3" t="s">
        <v>4262</v>
      </c>
      <c r="F25" s="3" t="s">
        <v>4349</v>
      </c>
      <c r="G25" s="2" t="s">
        <v>4264</v>
      </c>
    </row>
    <row r="26" customFormat="false" ht="79.85" hidden="false" customHeight="false" outlineLevel="0" collapsed="false">
      <c r="A26" s="43" t="s">
        <v>4350</v>
      </c>
      <c r="B26" s="44" t="s">
        <v>4259</v>
      </c>
      <c r="C26" s="44" t="s">
        <v>4351</v>
      </c>
      <c r="D26" s="44" t="s">
        <v>4352</v>
      </c>
      <c r="E26" s="43" t="s">
        <v>4262</v>
      </c>
      <c r="F26" s="43" t="s">
        <v>4353</v>
      </c>
      <c r="G26" s="44" t="s">
        <v>4273</v>
      </c>
    </row>
    <row r="27" customFormat="false" ht="79.85" hidden="false" customHeight="false" outlineLevel="0" collapsed="false">
      <c r="A27" s="3" t="s">
        <v>4354</v>
      </c>
      <c r="B27" s="2" t="s">
        <v>4259</v>
      </c>
      <c r="C27" s="3" t="s">
        <v>4355</v>
      </c>
      <c r="D27" s="2" t="s">
        <v>4356</v>
      </c>
      <c r="E27" s="3" t="s">
        <v>4262</v>
      </c>
      <c r="F27" s="3" t="s">
        <v>4357</v>
      </c>
      <c r="G27" s="2" t="s">
        <v>4264</v>
      </c>
    </row>
    <row r="28" customFormat="false" ht="32.8" hidden="false" customHeight="false" outlineLevel="0" collapsed="false">
      <c r="A28" s="43" t="s">
        <v>4358</v>
      </c>
      <c r="B28" s="44" t="s">
        <v>4259</v>
      </c>
      <c r="C28" s="43" t="s">
        <v>4359</v>
      </c>
      <c r="D28" s="43" t="s">
        <v>4360</v>
      </c>
      <c r="E28" s="43" t="s">
        <v>4262</v>
      </c>
      <c r="F28" s="43" t="s">
        <v>4361</v>
      </c>
      <c r="G28" s="44" t="s">
        <v>4273</v>
      </c>
    </row>
    <row r="29" customFormat="false" ht="64.15" hidden="false" customHeight="false" outlineLevel="0" collapsed="false">
      <c r="A29" s="43" t="s">
        <v>4362</v>
      </c>
      <c r="B29" s="44" t="s">
        <v>4259</v>
      </c>
      <c r="C29" s="43" t="s">
        <v>4363</v>
      </c>
      <c r="D29" s="44" t="s">
        <v>4364</v>
      </c>
      <c r="E29" s="43" t="s">
        <v>4262</v>
      </c>
      <c r="F29" s="43" t="s">
        <v>4365</v>
      </c>
      <c r="G29" s="44" t="s">
        <v>4273</v>
      </c>
    </row>
    <row r="30" customFormat="false" ht="32.8" hidden="false" customHeight="false" outlineLevel="0" collapsed="false">
      <c r="A30" s="43" t="s">
        <v>4366</v>
      </c>
      <c r="B30" s="44" t="s">
        <v>4259</v>
      </c>
      <c r="C30" s="43" t="s">
        <v>4367</v>
      </c>
      <c r="D30" s="43" t="s">
        <v>4368</v>
      </c>
      <c r="E30" s="43" t="s">
        <v>4262</v>
      </c>
      <c r="F30" s="44" t="s">
        <v>4369</v>
      </c>
      <c r="G30" s="44" t="s">
        <v>4273</v>
      </c>
    </row>
    <row r="31" customFormat="false" ht="48.5" hidden="false" customHeight="false" outlineLevel="0" collapsed="false">
      <c r="A31" s="43" t="s">
        <v>4370</v>
      </c>
      <c r="B31" s="44" t="s">
        <v>4329</v>
      </c>
      <c r="C31" s="44" t="s">
        <v>4371</v>
      </c>
      <c r="D31" s="44" t="s">
        <v>4372</v>
      </c>
      <c r="E31" s="43" t="s">
        <v>4262</v>
      </c>
      <c r="F31" s="43" t="s">
        <v>4373</v>
      </c>
      <c r="G31" s="44" t="s">
        <v>4273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40"/>
    <col collapsed="false" customWidth="true" hidden="false" outlineLevel="0" max="10" min="10" style="0" width="24"/>
    <col collapsed="false" customWidth="true" hidden="false" outlineLevel="0" max="11" min="11" style="0" width="14"/>
    <col collapsed="false" customWidth="true" hidden="false" outlineLevel="0" max="12" min="12" style="0" width="40"/>
  </cols>
  <sheetData>
    <row r="1" customFormat="false" ht="17.15" hidden="false" customHeight="false" outlineLevel="0" collapsed="false">
      <c r="A1" s="0" t="s">
        <v>4374</v>
      </c>
    </row>
    <row r="2" customFormat="false" ht="17.15" hidden="false" customHeight="false" outlineLevel="0" collapsed="false">
      <c r="A2" s="5" t="s">
        <v>4375</v>
      </c>
    </row>
    <row r="3" customFormat="false" ht="17.15" hidden="false" customHeight="false" outlineLevel="0" collapsed="false">
      <c r="A3" s="7" t="s">
        <v>1698</v>
      </c>
      <c r="B3" s="6" t="s">
        <v>4376</v>
      </c>
      <c r="C3" s="6" t="s">
        <v>4377</v>
      </c>
      <c r="D3" s="6" t="s">
        <v>1697</v>
      </c>
      <c r="E3" s="6" t="s">
        <v>16</v>
      </c>
      <c r="F3" s="7" t="s">
        <v>4378</v>
      </c>
      <c r="G3" s="6" t="s">
        <v>4379</v>
      </c>
      <c r="H3" s="7" t="s">
        <v>4380</v>
      </c>
      <c r="I3" s="7" t="s">
        <v>4381</v>
      </c>
      <c r="J3" s="6" t="s">
        <v>4382</v>
      </c>
      <c r="K3" s="6" t="s">
        <v>1851</v>
      </c>
      <c r="L3" s="6" t="s">
        <v>1849</v>
      </c>
    </row>
    <row r="4" customFormat="false" ht="17.15" hidden="false" customHeight="false" outlineLevel="0" collapsed="false">
      <c r="A4" s="12" t="s">
        <v>4383</v>
      </c>
      <c r="B4" s="12" t="s">
        <v>1683</v>
      </c>
      <c r="C4" s="12" t="s">
        <v>4384</v>
      </c>
      <c r="D4" s="12" t="s">
        <v>4385</v>
      </c>
      <c r="E4" s="12" t="s">
        <v>4386</v>
      </c>
      <c r="F4" s="12" t="s">
        <v>2526</v>
      </c>
      <c r="G4" s="12" t="s">
        <v>1909</v>
      </c>
      <c r="H4" s="13" t="s">
        <v>1887</v>
      </c>
      <c r="I4" s="12"/>
      <c r="J4" s="12"/>
      <c r="K4" s="12" t="s">
        <v>35</v>
      </c>
      <c r="L4" s="12" t="s">
        <v>4387</v>
      </c>
    </row>
    <row r="5" customFormat="false" ht="17.15" hidden="false" customHeight="false" outlineLevel="0" collapsed="false">
      <c r="A5" s="0" t="s">
        <v>4388</v>
      </c>
      <c r="B5" s="0" t="s">
        <v>1683</v>
      </c>
      <c r="C5" s="0" t="s">
        <v>4389</v>
      </c>
      <c r="D5" s="0" t="s">
        <v>4390</v>
      </c>
      <c r="E5" s="0" t="s">
        <v>4386</v>
      </c>
      <c r="F5" s="0" t="s">
        <v>4391</v>
      </c>
      <c r="G5" s="0" t="s">
        <v>1909</v>
      </c>
      <c r="H5" s="5" t="s">
        <v>1704</v>
      </c>
      <c r="K5" s="0" t="s">
        <v>35</v>
      </c>
      <c r="L5" s="0" t="s">
        <v>4392</v>
      </c>
    </row>
    <row r="6" customFormat="false" ht="17.15" hidden="false" customHeight="false" outlineLevel="0" collapsed="false">
      <c r="A6" s="0" t="s">
        <v>4393</v>
      </c>
      <c r="B6" s="0" t="s">
        <v>1683</v>
      </c>
      <c r="C6" s="0" t="s">
        <v>4394</v>
      </c>
      <c r="D6" s="0" t="s">
        <v>4390</v>
      </c>
      <c r="E6" s="0" t="s">
        <v>4386</v>
      </c>
      <c r="F6" s="0" t="s">
        <v>4395</v>
      </c>
      <c r="G6" s="0" t="s">
        <v>1909</v>
      </c>
      <c r="H6" s="5" t="s">
        <v>1704</v>
      </c>
      <c r="K6" s="0" t="s">
        <v>35</v>
      </c>
      <c r="L6" s="0" t="s">
        <v>4396</v>
      </c>
    </row>
    <row r="7" customFormat="false" ht="17.15" hidden="false" customHeight="false" outlineLevel="0" collapsed="false">
      <c r="A7" s="0" t="s">
        <v>4397</v>
      </c>
      <c r="B7" s="0" t="s">
        <v>1683</v>
      </c>
      <c r="C7" s="0" t="s">
        <v>4398</v>
      </c>
      <c r="D7" s="0" t="s">
        <v>4390</v>
      </c>
      <c r="E7" s="0" t="s">
        <v>4386</v>
      </c>
      <c r="F7" s="0" t="s">
        <v>4399</v>
      </c>
      <c r="G7" s="0" t="s">
        <v>1909</v>
      </c>
      <c r="H7" s="5" t="s">
        <v>1704</v>
      </c>
      <c r="K7" s="0" t="s">
        <v>35</v>
      </c>
      <c r="L7" s="0" t="s">
        <v>4400</v>
      </c>
    </row>
    <row r="8" customFormat="false" ht="17.15" hidden="false" customHeight="false" outlineLevel="0" collapsed="false">
      <c r="A8" s="0" t="s">
        <v>4401</v>
      </c>
      <c r="B8" s="0" t="s">
        <v>1683</v>
      </c>
      <c r="C8" s="0" t="s">
        <v>4402</v>
      </c>
      <c r="D8" s="0" t="s">
        <v>4403</v>
      </c>
      <c r="E8" s="0" t="s">
        <v>4386</v>
      </c>
      <c r="F8" s="0" t="s">
        <v>4404</v>
      </c>
      <c r="G8" s="0" t="s">
        <v>1909</v>
      </c>
      <c r="H8" s="5" t="s">
        <v>1704</v>
      </c>
      <c r="K8" s="0" t="s">
        <v>35</v>
      </c>
      <c r="L8" s="0" t="s">
        <v>4405</v>
      </c>
    </row>
    <row r="9" customFormat="false" ht="17.15" hidden="false" customHeight="false" outlineLevel="0" collapsed="false">
      <c r="A9" s="0" t="s">
        <v>4406</v>
      </c>
      <c r="B9" s="0" t="s">
        <v>1683</v>
      </c>
      <c r="C9" s="0" t="s">
        <v>4407</v>
      </c>
      <c r="D9" s="0" t="s">
        <v>4408</v>
      </c>
      <c r="E9" s="0" t="s">
        <v>4386</v>
      </c>
      <c r="F9" s="0" t="s">
        <v>2342</v>
      </c>
      <c r="G9" s="0" t="s">
        <v>1909</v>
      </c>
      <c r="H9" s="5" t="s">
        <v>1704</v>
      </c>
      <c r="I9" s="0" t="s">
        <v>4409</v>
      </c>
      <c r="J9" s="0" t="s">
        <v>209</v>
      </c>
      <c r="K9" s="5" t="s">
        <v>1851</v>
      </c>
      <c r="L9" s="0" t="s">
        <v>4410</v>
      </c>
    </row>
    <row r="10" customFormat="false" ht="17.15" hidden="false" customHeight="false" outlineLevel="0" collapsed="false">
      <c r="A10" s="0" t="s">
        <v>4411</v>
      </c>
      <c r="B10" s="0" t="s">
        <v>1683</v>
      </c>
      <c r="C10" s="0" t="s">
        <v>4412</v>
      </c>
      <c r="D10" s="0" t="s">
        <v>4413</v>
      </c>
      <c r="E10" s="0" t="s">
        <v>4386</v>
      </c>
      <c r="F10" s="0" t="s">
        <v>2342</v>
      </c>
      <c r="G10" s="0" t="s">
        <v>1909</v>
      </c>
      <c r="H10" s="5" t="s">
        <v>1704</v>
      </c>
      <c r="J10" s="0" t="s">
        <v>209</v>
      </c>
      <c r="K10" s="5" t="s">
        <v>1851</v>
      </c>
      <c r="L10" s="0" t="s">
        <v>4410</v>
      </c>
    </row>
    <row r="11" customFormat="false" ht="17.15" hidden="false" customHeight="false" outlineLevel="0" collapsed="false">
      <c r="A11" s="0" t="s">
        <v>4414</v>
      </c>
      <c r="B11" s="0" t="s">
        <v>1683</v>
      </c>
      <c r="C11" s="0" t="s">
        <v>4415</v>
      </c>
      <c r="D11" s="0" t="s">
        <v>4416</v>
      </c>
      <c r="E11" s="0" t="s">
        <v>4386</v>
      </c>
      <c r="F11" s="0" t="s">
        <v>4417</v>
      </c>
      <c r="G11" s="0" t="s">
        <v>1909</v>
      </c>
      <c r="H11" s="5" t="s">
        <v>1858</v>
      </c>
      <c r="K11" s="0" t="s">
        <v>35</v>
      </c>
      <c r="L11" s="0" t="s">
        <v>4418</v>
      </c>
    </row>
    <row r="12" customFormat="false" ht="17.15" hidden="false" customHeight="false" outlineLevel="0" collapsed="false">
      <c r="A12" s="0" t="s">
        <v>4419</v>
      </c>
      <c r="B12" s="0" t="s">
        <v>1683</v>
      </c>
      <c r="C12" s="0" t="s">
        <v>4420</v>
      </c>
      <c r="D12" s="0" t="s">
        <v>4421</v>
      </c>
      <c r="E12" s="0" t="s">
        <v>4386</v>
      </c>
      <c r="F12" s="0" t="s">
        <v>4422</v>
      </c>
      <c r="G12" s="0" t="s">
        <v>4423</v>
      </c>
      <c r="H12" s="5" t="s">
        <v>1704</v>
      </c>
      <c r="J12" s="0" t="s">
        <v>324</v>
      </c>
      <c r="K12" s="5" t="s">
        <v>1851</v>
      </c>
      <c r="L12" s="0" t="s">
        <v>4424</v>
      </c>
    </row>
    <row r="13" customFormat="false" ht="17.15" hidden="false" customHeight="false" outlineLevel="0" collapsed="false">
      <c r="A13" s="0" t="s">
        <v>4425</v>
      </c>
      <c r="B13" s="0" t="s">
        <v>1683</v>
      </c>
      <c r="C13" s="0" t="s">
        <v>4426</v>
      </c>
      <c r="D13" s="0" t="s">
        <v>4427</v>
      </c>
      <c r="E13" s="0" t="s">
        <v>4386</v>
      </c>
      <c r="F13" s="0" t="s">
        <v>4428</v>
      </c>
      <c r="G13" s="0" t="s">
        <v>4423</v>
      </c>
      <c r="H13" s="5" t="s">
        <v>1704</v>
      </c>
      <c r="J13" s="0" t="s">
        <v>324</v>
      </c>
      <c r="K13" s="5" t="s">
        <v>1851</v>
      </c>
      <c r="L13" s="0" t="s">
        <v>4424</v>
      </c>
    </row>
    <row r="14" customFormat="false" ht="17.15" hidden="false" customHeight="false" outlineLevel="0" collapsed="false">
      <c r="A14" s="0" t="s">
        <v>4429</v>
      </c>
      <c r="B14" s="0" t="s">
        <v>1683</v>
      </c>
      <c r="C14" s="0" t="s">
        <v>4430</v>
      </c>
      <c r="D14" s="0" t="s">
        <v>4431</v>
      </c>
      <c r="E14" s="0" t="s">
        <v>4386</v>
      </c>
      <c r="F14" s="0" t="s">
        <v>2440</v>
      </c>
      <c r="G14" s="0" t="s">
        <v>4423</v>
      </c>
      <c r="H14" s="5" t="s">
        <v>1704</v>
      </c>
      <c r="K14" s="0" t="s">
        <v>35</v>
      </c>
      <c r="L14" s="0" t="s">
        <v>4424</v>
      </c>
    </row>
    <row r="15" customFormat="false" ht="17.15" hidden="false" customHeight="false" outlineLevel="0" collapsed="false">
      <c r="A15" s="0" t="s">
        <v>4432</v>
      </c>
      <c r="B15" s="0" t="s">
        <v>1683</v>
      </c>
      <c r="C15" s="0" t="s">
        <v>4433</v>
      </c>
      <c r="D15" s="0" t="s">
        <v>4434</v>
      </c>
      <c r="E15" s="0" t="s">
        <v>111</v>
      </c>
      <c r="F15" s="0" t="s">
        <v>119</v>
      </c>
      <c r="G15" s="0" t="s">
        <v>1866</v>
      </c>
      <c r="H15" s="5" t="s">
        <v>1858</v>
      </c>
      <c r="J15" s="0" t="s">
        <v>109</v>
      </c>
      <c r="K15" s="5" t="s">
        <v>4435</v>
      </c>
      <c r="L15" s="0" t="s">
        <v>4436</v>
      </c>
    </row>
    <row r="16" customFormat="false" ht="17.15" hidden="false" customHeight="false" outlineLevel="0" collapsed="false">
      <c r="A16" s="0" t="s">
        <v>4437</v>
      </c>
      <c r="B16" s="0" t="s">
        <v>1683</v>
      </c>
      <c r="C16" s="0" t="s">
        <v>4438</v>
      </c>
      <c r="D16" s="0" t="s">
        <v>4439</v>
      </c>
      <c r="E16" s="0" t="s">
        <v>111</v>
      </c>
      <c r="F16" s="0" t="s">
        <v>119</v>
      </c>
      <c r="G16" s="0" t="s">
        <v>1866</v>
      </c>
      <c r="H16" s="5" t="s">
        <v>1858</v>
      </c>
      <c r="K16" s="0" t="s">
        <v>35</v>
      </c>
      <c r="L16" s="0" t="s">
        <v>4436</v>
      </c>
    </row>
    <row r="17" customFormat="false" ht="17.15" hidden="false" customHeight="false" outlineLevel="0" collapsed="false">
      <c r="A17" s="0" t="s">
        <v>4440</v>
      </c>
      <c r="B17" s="0" t="s">
        <v>1683</v>
      </c>
      <c r="C17" s="0" t="s">
        <v>4441</v>
      </c>
      <c r="D17" s="0" t="s">
        <v>4442</v>
      </c>
      <c r="E17" s="0" t="s">
        <v>111</v>
      </c>
      <c r="F17" s="0" t="s">
        <v>4443</v>
      </c>
      <c r="G17" s="0" t="s">
        <v>4423</v>
      </c>
      <c r="H17" s="5" t="s">
        <v>1704</v>
      </c>
      <c r="J17" s="0" t="s">
        <v>560</v>
      </c>
      <c r="K17" s="5" t="s">
        <v>1851</v>
      </c>
      <c r="L17" s="0" t="s">
        <v>4444</v>
      </c>
    </row>
    <row r="18" customFormat="false" ht="17.15" hidden="false" customHeight="false" outlineLevel="0" collapsed="false">
      <c r="A18" s="0" t="s">
        <v>4445</v>
      </c>
      <c r="B18" s="0" t="s">
        <v>1683</v>
      </c>
      <c r="C18" s="0" t="s">
        <v>4446</v>
      </c>
      <c r="D18" s="0" t="s">
        <v>4447</v>
      </c>
      <c r="E18" s="0" t="s">
        <v>111</v>
      </c>
      <c r="F18" s="0" t="s">
        <v>4448</v>
      </c>
      <c r="G18" s="0" t="s">
        <v>4423</v>
      </c>
      <c r="H18" s="5" t="s">
        <v>1712</v>
      </c>
      <c r="I18" s="0" t="s">
        <v>4449</v>
      </c>
      <c r="J18" s="0" t="s">
        <v>563</v>
      </c>
      <c r="K18" s="5" t="s">
        <v>1851</v>
      </c>
      <c r="L18" s="0" t="s">
        <v>4450</v>
      </c>
    </row>
    <row r="19" customFormat="false" ht="17.15" hidden="false" customHeight="false" outlineLevel="0" collapsed="false">
      <c r="A19" s="0" t="s">
        <v>4451</v>
      </c>
      <c r="B19" s="0" t="s">
        <v>1683</v>
      </c>
      <c r="C19" s="0" t="s">
        <v>4452</v>
      </c>
      <c r="D19" s="0" t="s">
        <v>4453</v>
      </c>
      <c r="E19" s="0" t="s">
        <v>111</v>
      </c>
      <c r="F19" s="0" t="s">
        <v>4448</v>
      </c>
      <c r="G19" s="0" t="s">
        <v>4423</v>
      </c>
      <c r="H19" s="5" t="s">
        <v>1704</v>
      </c>
      <c r="J19" s="0" t="s">
        <v>566</v>
      </c>
      <c r="K19" s="5" t="s">
        <v>1851</v>
      </c>
      <c r="L19" s="0" t="s">
        <v>4450</v>
      </c>
    </row>
    <row r="20" customFormat="false" ht="17.15" hidden="false" customHeight="false" outlineLevel="0" collapsed="false">
      <c r="A20" s="0" t="s">
        <v>4454</v>
      </c>
      <c r="B20" s="0" t="s">
        <v>1683</v>
      </c>
      <c r="C20" s="0" t="s">
        <v>4455</v>
      </c>
      <c r="D20" s="0" t="s">
        <v>4456</v>
      </c>
      <c r="E20" s="0" t="s">
        <v>4386</v>
      </c>
      <c r="F20" s="0" t="s">
        <v>4457</v>
      </c>
      <c r="G20" s="0" t="s">
        <v>1909</v>
      </c>
      <c r="H20" s="5" t="s">
        <v>1704</v>
      </c>
      <c r="I20" s="0" t="s">
        <v>4458</v>
      </c>
      <c r="J20" s="0" t="s">
        <v>569</v>
      </c>
      <c r="K20" s="5" t="s">
        <v>1851</v>
      </c>
      <c r="L20" s="0" t="s">
        <v>4459</v>
      </c>
    </row>
    <row r="21" customFormat="false" ht="17.15" hidden="false" customHeight="false" outlineLevel="0" collapsed="false">
      <c r="A21" s="0" t="s">
        <v>4460</v>
      </c>
      <c r="B21" s="0" t="s">
        <v>1683</v>
      </c>
      <c r="C21" s="0" t="s">
        <v>4461</v>
      </c>
      <c r="D21" s="0" t="s">
        <v>4462</v>
      </c>
      <c r="E21" s="0" t="s">
        <v>4386</v>
      </c>
      <c r="F21" s="0" t="s">
        <v>2338</v>
      </c>
      <c r="G21" s="0" t="s">
        <v>1909</v>
      </c>
      <c r="H21" s="5" t="s">
        <v>1712</v>
      </c>
      <c r="I21" s="0" t="s">
        <v>4463</v>
      </c>
      <c r="J21" s="0" t="s">
        <v>200</v>
      </c>
      <c r="K21" s="5" t="s">
        <v>1851</v>
      </c>
      <c r="L21" s="0" t="s">
        <v>4464</v>
      </c>
    </row>
    <row r="22" customFormat="false" ht="17.15" hidden="false" customHeight="false" outlineLevel="0" collapsed="false">
      <c r="A22" s="0" t="s">
        <v>4465</v>
      </c>
      <c r="B22" s="0" t="s">
        <v>1683</v>
      </c>
      <c r="C22" s="0" t="s">
        <v>4466</v>
      </c>
      <c r="D22" s="0" t="s">
        <v>4467</v>
      </c>
      <c r="E22" s="0" t="s">
        <v>4386</v>
      </c>
      <c r="F22" s="0" t="s">
        <v>1926</v>
      </c>
      <c r="G22" s="0" t="s">
        <v>1855</v>
      </c>
      <c r="H22" s="5" t="s">
        <v>1858</v>
      </c>
      <c r="K22" s="0" t="s">
        <v>35</v>
      </c>
      <c r="L22" s="0" t="s">
        <v>4468</v>
      </c>
    </row>
    <row r="23" customFormat="false" ht="17.15" hidden="false" customHeight="false" outlineLevel="0" collapsed="false">
      <c r="A23" s="0" t="s">
        <v>4469</v>
      </c>
      <c r="B23" s="0" t="s">
        <v>1683</v>
      </c>
      <c r="C23" s="0" t="s">
        <v>4470</v>
      </c>
      <c r="D23" s="0" t="s">
        <v>4471</v>
      </c>
      <c r="F23" s="0" t="s">
        <v>4404</v>
      </c>
      <c r="G23" s="0" t="s">
        <v>1909</v>
      </c>
      <c r="H23" s="5" t="s">
        <v>1712</v>
      </c>
      <c r="I23" s="5" t="s">
        <v>4472</v>
      </c>
      <c r="K23" s="0" t="s">
        <v>35</v>
      </c>
      <c r="L23" s="0" t="s">
        <v>4473</v>
      </c>
    </row>
    <row r="24" customFormat="false" ht="17.15" hidden="false" customHeight="false" outlineLevel="0" collapsed="false">
      <c r="A24" s="0" t="s">
        <v>4474</v>
      </c>
      <c r="B24" s="0" t="s">
        <v>1683</v>
      </c>
      <c r="C24" s="0" t="s">
        <v>4475</v>
      </c>
      <c r="F24" s="0" t="s">
        <v>4262</v>
      </c>
      <c r="G24" s="0" t="s">
        <v>4476</v>
      </c>
      <c r="H24" s="5" t="s">
        <v>1858</v>
      </c>
      <c r="K24" s="0" t="s">
        <v>35</v>
      </c>
      <c r="L24" s="0" t="s">
        <v>4477</v>
      </c>
    </row>
    <row r="25" customFormat="false" ht="17.15" hidden="false" customHeight="false" outlineLevel="0" collapsed="false">
      <c r="A25" s="0" t="s">
        <v>4478</v>
      </c>
      <c r="B25" s="0" t="s">
        <v>4479</v>
      </c>
      <c r="C25" s="0" t="s">
        <v>4480</v>
      </c>
      <c r="D25" s="0" t="s">
        <v>4481</v>
      </c>
      <c r="E25" s="0" t="s">
        <v>4386</v>
      </c>
      <c r="F25" s="0" t="s">
        <v>4422</v>
      </c>
      <c r="G25" s="0" t="s">
        <v>4423</v>
      </c>
      <c r="H25" s="5" t="s">
        <v>1704</v>
      </c>
      <c r="J25" s="0" t="s">
        <v>327</v>
      </c>
      <c r="K25" s="5" t="s">
        <v>1851</v>
      </c>
      <c r="L25" s="0" t="s">
        <v>4424</v>
      </c>
    </row>
    <row r="26" customFormat="false" ht="17.15" hidden="false" customHeight="false" outlineLevel="0" collapsed="false">
      <c r="A26" s="0" t="s">
        <v>4482</v>
      </c>
      <c r="B26" s="0" t="s">
        <v>4479</v>
      </c>
      <c r="C26" s="0" t="s">
        <v>4483</v>
      </c>
      <c r="D26" s="0" t="s">
        <v>4484</v>
      </c>
      <c r="E26" s="0" t="s">
        <v>4386</v>
      </c>
      <c r="F26" s="0" t="s">
        <v>4428</v>
      </c>
      <c r="G26" s="0" t="s">
        <v>4423</v>
      </c>
      <c r="H26" s="5" t="s">
        <v>1704</v>
      </c>
      <c r="J26" s="0" t="s">
        <v>327</v>
      </c>
      <c r="K26" s="5" t="s">
        <v>1851</v>
      </c>
      <c r="L26" s="0" t="s">
        <v>4424</v>
      </c>
    </row>
    <row r="27" customFormat="false" ht="17.15" hidden="false" customHeight="false" outlineLevel="0" collapsed="false">
      <c r="A27" s="0" t="s">
        <v>4485</v>
      </c>
      <c r="B27" s="0" t="s">
        <v>4479</v>
      </c>
      <c r="C27" s="0" t="s">
        <v>4486</v>
      </c>
      <c r="D27" s="0" t="s">
        <v>4487</v>
      </c>
      <c r="E27" s="0" t="s">
        <v>111</v>
      </c>
      <c r="F27" s="0" t="s">
        <v>2204</v>
      </c>
      <c r="G27" s="0" t="s">
        <v>1866</v>
      </c>
      <c r="H27" s="5" t="s">
        <v>1704</v>
      </c>
      <c r="K27" s="0" t="s">
        <v>35</v>
      </c>
      <c r="L27" s="0" t="s">
        <v>4488</v>
      </c>
    </row>
    <row r="28" customFormat="false" ht="17.15" hidden="false" customHeight="false" outlineLevel="0" collapsed="false">
      <c r="A28" s="0" t="s">
        <v>4489</v>
      </c>
      <c r="B28" s="0" t="s">
        <v>4479</v>
      </c>
      <c r="C28" s="0" t="s">
        <v>4490</v>
      </c>
      <c r="D28" s="0" t="s">
        <v>4491</v>
      </c>
      <c r="E28" s="0" t="s">
        <v>111</v>
      </c>
      <c r="F28" s="0" t="s">
        <v>119</v>
      </c>
      <c r="G28" s="0" t="s">
        <v>1866</v>
      </c>
      <c r="H28" s="5" t="s">
        <v>1858</v>
      </c>
      <c r="K28" s="0" t="s">
        <v>35</v>
      </c>
      <c r="L28" s="0" t="s">
        <v>4488</v>
      </c>
    </row>
    <row r="29" customFormat="false" ht="17.15" hidden="false" customHeight="false" outlineLevel="0" collapsed="false">
      <c r="A29" s="12" t="s">
        <v>4492</v>
      </c>
      <c r="B29" s="12" t="s">
        <v>4479</v>
      </c>
      <c r="C29" s="12" t="s">
        <v>4493</v>
      </c>
      <c r="D29" s="12" t="s">
        <v>4494</v>
      </c>
      <c r="E29" s="12" t="s">
        <v>4495</v>
      </c>
      <c r="F29" s="12" t="s">
        <v>23</v>
      </c>
      <c r="G29" s="12" t="s">
        <v>1866</v>
      </c>
      <c r="H29" s="13" t="s">
        <v>1887</v>
      </c>
      <c r="I29" s="12"/>
      <c r="J29" s="12"/>
      <c r="K29" s="12" t="s">
        <v>35</v>
      </c>
      <c r="L29" s="12" t="s">
        <v>4496</v>
      </c>
    </row>
    <row r="30" customFormat="false" ht="17.15" hidden="false" customHeight="false" outlineLevel="0" collapsed="false">
      <c r="A30" s="0" t="s">
        <v>4497</v>
      </c>
      <c r="B30" s="0" t="s">
        <v>4479</v>
      </c>
      <c r="C30" s="0" t="s">
        <v>4498</v>
      </c>
      <c r="D30" s="0" t="s">
        <v>4499</v>
      </c>
      <c r="E30" s="0" t="s">
        <v>111</v>
      </c>
      <c r="F30" s="0" t="s">
        <v>4500</v>
      </c>
      <c r="G30" s="0" t="s">
        <v>4423</v>
      </c>
      <c r="H30" s="5" t="s">
        <v>1858</v>
      </c>
      <c r="K30" s="0" t="s">
        <v>35</v>
      </c>
      <c r="L30" s="0" t="s">
        <v>4501</v>
      </c>
    </row>
    <row r="31" customFormat="false" ht="17.15" hidden="false" customHeight="false" outlineLevel="0" collapsed="false">
      <c r="A31" s="0" t="s">
        <v>4502</v>
      </c>
      <c r="B31" s="0" t="s">
        <v>4479</v>
      </c>
      <c r="C31" s="0" t="s">
        <v>4503</v>
      </c>
      <c r="D31" s="0" t="s">
        <v>4504</v>
      </c>
      <c r="E31" s="0" t="s">
        <v>4386</v>
      </c>
      <c r="F31" s="0" t="s">
        <v>4505</v>
      </c>
      <c r="G31" s="0" t="s">
        <v>1909</v>
      </c>
      <c r="H31" s="5" t="s">
        <v>1704</v>
      </c>
      <c r="I31" s="0" t="s">
        <v>4506</v>
      </c>
      <c r="J31" s="0" t="s">
        <v>4507</v>
      </c>
      <c r="K31" s="5" t="s">
        <v>1851</v>
      </c>
      <c r="L31" s="0" t="s">
        <v>4508</v>
      </c>
    </row>
    <row r="32" customFormat="false" ht="17.15" hidden="false" customHeight="false" outlineLevel="0" collapsed="false">
      <c r="A32" s="12" t="s">
        <v>4509</v>
      </c>
      <c r="B32" s="12" t="s">
        <v>4479</v>
      </c>
      <c r="C32" s="12" t="s">
        <v>4510</v>
      </c>
      <c r="D32" s="12" t="s">
        <v>4511</v>
      </c>
      <c r="E32" s="12" t="s">
        <v>4386</v>
      </c>
      <c r="F32" s="12" t="s">
        <v>4512</v>
      </c>
      <c r="G32" s="12" t="s">
        <v>4513</v>
      </c>
      <c r="H32" s="13" t="s">
        <v>1887</v>
      </c>
      <c r="I32" s="13" t="s">
        <v>4514</v>
      </c>
      <c r="J32" s="12" t="s">
        <v>512</v>
      </c>
      <c r="K32" s="13" t="s">
        <v>4435</v>
      </c>
      <c r="L32" s="12" t="s">
        <v>4515</v>
      </c>
    </row>
    <row r="33" customFormat="false" ht="17.15" hidden="false" customHeight="false" outlineLevel="0" collapsed="false">
      <c r="A33" s="0" t="s">
        <v>4516</v>
      </c>
      <c r="B33" s="0" t="s">
        <v>4479</v>
      </c>
      <c r="C33" s="0" t="s">
        <v>4517</v>
      </c>
      <c r="D33" s="0" t="s">
        <v>4518</v>
      </c>
      <c r="E33" s="0" t="s">
        <v>4386</v>
      </c>
      <c r="F33" s="0" t="s">
        <v>2485</v>
      </c>
      <c r="G33" s="0" t="s">
        <v>1909</v>
      </c>
      <c r="H33" s="5" t="s">
        <v>1858</v>
      </c>
      <c r="J33" s="0" t="s">
        <v>664</v>
      </c>
      <c r="K33" s="5" t="s">
        <v>4519</v>
      </c>
      <c r="L33" s="0" t="s">
        <v>4520</v>
      </c>
    </row>
    <row r="34" customFormat="false" ht="17.15" hidden="false" customHeight="false" outlineLevel="0" collapsed="false">
      <c r="A34" s="0" t="s">
        <v>4521</v>
      </c>
      <c r="B34" s="0" t="s">
        <v>4479</v>
      </c>
      <c r="C34" s="0" t="s">
        <v>4522</v>
      </c>
      <c r="D34" s="0" t="s">
        <v>4523</v>
      </c>
      <c r="E34" s="0" t="s">
        <v>4386</v>
      </c>
      <c r="F34" s="0" t="s">
        <v>119</v>
      </c>
      <c r="G34" s="0" t="s">
        <v>1855</v>
      </c>
      <c r="H34" s="5" t="s">
        <v>1858</v>
      </c>
      <c r="K34" s="0" t="s">
        <v>35</v>
      </c>
      <c r="L34" s="0" t="s">
        <v>1965</v>
      </c>
    </row>
    <row r="35" customFormat="false" ht="17.15" hidden="false" customHeight="false" outlineLevel="0" collapsed="false">
      <c r="A35" s="12" t="s">
        <v>4524</v>
      </c>
      <c r="B35" s="12" t="s">
        <v>4479</v>
      </c>
      <c r="C35" s="12" t="s">
        <v>4525</v>
      </c>
      <c r="D35" s="12" t="s">
        <v>4526</v>
      </c>
      <c r="E35" s="12" t="s">
        <v>111</v>
      </c>
      <c r="F35" s="12" t="s">
        <v>4527</v>
      </c>
      <c r="G35" s="12" t="s">
        <v>1866</v>
      </c>
      <c r="H35" s="13" t="s">
        <v>4528</v>
      </c>
      <c r="I35" s="13" t="s">
        <v>4529</v>
      </c>
      <c r="J35" s="12" t="s">
        <v>532</v>
      </c>
      <c r="K35" s="13" t="s">
        <v>4435</v>
      </c>
      <c r="L35" s="12" t="s">
        <v>4530</v>
      </c>
    </row>
    <row r="36" customFormat="false" ht="17.15" hidden="false" customHeight="false" outlineLevel="0" collapsed="false">
      <c r="A36" s="0" t="s">
        <v>4531</v>
      </c>
      <c r="B36" s="0" t="s">
        <v>4479</v>
      </c>
      <c r="C36" s="0" t="s">
        <v>4532</v>
      </c>
      <c r="D36" s="0" t="s">
        <v>4533</v>
      </c>
      <c r="F36" s="0" t="s">
        <v>4534</v>
      </c>
      <c r="G36" s="0" t="s">
        <v>1909</v>
      </c>
      <c r="H36" s="5" t="s">
        <v>1858</v>
      </c>
      <c r="K36" s="0" t="s">
        <v>35</v>
      </c>
      <c r="L36" s="0" t="s">
        <v>1986</v>
      </c>
    </row>
    <row r="37" customFormat="false" ht="17.15" hidden="false" customHeight="false" outlineLevel="0" collapsed="false">
      <c r="A37" s="0" t="s">
        <v>4535</v>
      </c>
      <c r="B37" s="0" t="s">
        <v>4536</v>
      </c>
      <c r="C37" s="0" t="s">
        <v>4537</v>
      </c>
      <c r="D37" s="0" t="s">
        <v>4538</v>
      </c>
      <c r="E37" s="0" t="s">
        <v>4386</v>
      </c>
      <c r="F37" s="0" t="s">
        <v>4539</v>
      </c>
      <c r="G37" s="0" t="s">
        <v>1909</v>
      </c>
      <c r="H37" s="5" t="s">
        <v>1704</v>
      </c>
      <c r="K37" s="0" t="s">
        <v>35</v>
      </c>
      <c r="L37" s="0" t="s">
        <v>4540</v>
      </c>
    </row>
    <row r="38" customFormat="false" ht="17.15" hidden="false" customHeight="false" outlineLevel="0" collapsed="false">
      <c r="A38" s="12" t="s">
        <v>4541</v>
      </c>
      <c r="B38" s="12" t="s">
        <v>4536</v>
      </c>
      <c r="C38" s="12" t="s">
        <v>4542</v>
      </c>
      <c r="D38" s="12" t="s">
        <v>4543</v>
      </c>
      <c r="E38" s="12" t="s">
        <v>4386</v>
      </c>
      <c r="F38" s="12" t="s">
        <v>2204</v>
      </c>
      <c r="G38" s="12" t="s">
        <v>1909</v>
      </c>
      <c r="H38" s="13" t="s">
        <v>1887</v>
      </c>
      <c r="I38" s="12"/>
      <c r="J38" s="12"/>
      <c r="K38" s="12" t="s">
        <v>35</v>
      </c>
      <c r="L38" s="12" t="s">
        <v>4544</v>
      </c>
    </row>
    <row r="39" customFormat="false" ht="17.15" hidden="false" customHeight="false" outlineLevel="0" collapsed="false">
      <c r="A39" s="0" t="s">
        <v>4545</v>
      </c>
      <c r="B39" s="0" t="s">
        <v>4536</v>
      </c>
      <c r="C39" s="0" t="s">
        <v>4546</v>
      </c>
      <c r="D39" s="0" t="s">
        <v>4547</v>
      </c>
      <c r="E39" s="0" t="s">
        <v>4386</v>
      </c>
      <c r="F39" s="0" t="s">
        <v>4548</v>
      </c>
      <c r="G39" s="0" t="s">
        <v>1909</v>
      </c>
      <c r="H39" s="5" t="s">
        <v>1704</v>
      </c>
      <c r="I39" s="0" t="s">
        <v>4549</v>
      </c>
      <c r="K39" s="0" t="s">
        <v>35</v>
      </c>
      <c r="L39" s="0" t="s">
        <v>4550</v>
      </c>
    </row>
    <row r="40" customFormat="false" ht="17.15" hidden="false" customHeight="false" outlineLevel="0" collapsed="false">
      <c r="A40" s="0" t="s">
        <v>4551</v>
      </c>
      <c r="B40" s="0" t="s">
        <v>4536</v>
      </c>
      <c r="C40" s="0" t="s">
        <v>4552</v>
      </c>
      <c r="D40" s="0" t="s">
        <v>4553</v>
      </c>
      <c r="E40" s="0" t="s">
        <v>4386</v>
      </c>
      <c r="F40" s="0" t="s">
        <v>4422</v>
      </c>
      <c r="G40" s="0" t="s">
        <v>4423</v>
      </c>
      <c r="H40" s="5" t="s">
        <v>1704</v>
      </c>
      <c r="J40" s="0" t="s">
        <v>330</v>
      </c>
      <c r="K40" s="5" t="s">
        <v>1851</v>
      </c>
      <c r="L40" s="0" t="s">
        <v>4424</v>
      </c>
    </row>
    <row r="41" customFormat="false" ht="17.15" hidden="false" customHeight="false" outlineLevel="0" collapsed="false">
      <c r="A41" s="0" t="s">
        <v>4554</v>
      </c>
      <c r="B41" s="0" t="s">
        <v>4536</v>
      </c>
      <c r="C41" s="0" t="s">
        <v>4555</v>
      </c>
      <c r="D41" s="0" t="s">
        <v>4556</v>
      </c>
      <c r="E41" s="0" t="s">
        <v>4386</v>
      </c>
      <c r="F41" s="0" t="s">
        <v>4428</v>
      </c>
      <c r="G41" s="0" t="s">
        <v>4423</v>
      </c>
      <c r="H41" s="5" t="s">
        <v>1704</v>
      </c>
      <c r="J41" s="0" t="s">
        <v>330</v>
      </c>
      <c r="K41" s="5" t="s">
        <v>1851</v>
      </c>
      <c r="L41" s="0" t="s">
        <v>4424</v>
      </c>
    </row>
    <row r="42" customFormat="false" ht="17.15" hidden="false" customHeight="false" outlineLevel="0" collapsed="false">
      <c r="A42" s="0" t="s">
        <v>4557</v>
      </c>
      <c r="B42" s="0" t="s">
        <v>4536</v>
      </c>
      <c r="C42" s="0" t="s">
        <v>4558</v>
      </c>
      <c r="D42" s="0" t="s">
        <v>4559</v>
      </c>
      <c r="E42" s="0" t="s">
        <v>111</v>
      </c>
      <c r="F42" s="0" t="s">
        <v>119</v>
      </c>
      <c r="G42" s="0" t="s">
        <v>1866</v>
      </c>
      <c r="H42" s="5" t="s">
        <v>1858</v>
      </c>
      <c r="J42" s="0" t="s">
        <v>127</v>
      </c>
      <c r="K42" s="5" t="s">
        <v>4435</v>
      </c>
      <c r="L42" s="0" t="s">
        <v>4560</v>
      </c>
    </row>
    <row r="43" customFormat="false" ht="17.15" hidden="false" customHeight="false" outlineLevel="0" collapsed="false">
      <c r="A43" s="0" t="s">
        <v>4561</v>
      </c>
      <c r="B43" s="0" t="s">
        <v>4536</v>
      </c>
      <c r="C43" s="0" t="s">
        <v>4562</v>
      </c>
      <c r="D43" s="0" t="s">
        <v>4563</v>
      </c>
      <c r="E43" s="0" t="s">
        <v>111</v>
      </c>
      <c r="F43" s="0" t="s">
        <v>4564</v>
      </c>
      <c r="G43" s="0" t="s">
        <v>4423</v>
      </c>
      <c r="H43" s="5" t="s">
        <v>1704</v>
      </c>
      <c r="J43" s="0" t="s">
        <v>4565</v>
      </c>
      <c r="K43" s="5" t="s">
        <v>1851</v>
      </c>
      <c r="L43" s="0" t="s">
        <v>4566</v>
      </c>
    </row>
    <row r="44" customFormat="false" ht="17.15" hidden="false" customHeight="false" outlineLevel="0" collapsed="false">
      <c r="A44" s="0" t="s">
        <v>4567</v>
      </c>
      <c r="B44" s="0" t="s">
        <v>4536</v>
      </c>
      <c r="C44" s="0" t="s">
        <v>4568</v>
      </c>
      <c r="D44" s="0" t="s">
        <v>4569</v>
      </c>
      <c r="E44" s="0" t="s">
        <v>4386</v>
      </c>
      <c r="F44" s="0" t="s">
        <v>4570</v>
      </c>
      <c r="G44" s="0" t="s">
        <v>1909</v>
      </c>
      <c r="H44" s="5" t="s">
        <v>1704</v>
      </c>
      <c r="K44" s="0" t="s">
        <v>35</v>
      </c>
      <c r="L44" s="0" t="s">
        <v>4571</v>
      </c>
    </row>
    <row r="45" customFormat="false" ht="17.15" hidden="false" customHeight="false" outlineLevel="0" collapsed="false">
      <c r="A45" s="0" t="s">
        <v>4572</v>
      </c>
      <c r="B45" s="0" t="s">
        <v>4536</v>
      </c>
      <c r="C45" s="0" t="s">
        <v>4573</v>
      </c>
      <c r="D45" s="0" t="s">
        <v>4574</v>
      </c>
      <c r="E45" s="0" t="s">
        <v>111</v>
      </c>
      <c r="F45" s="0" t="s">
        <v>4575</v>
      </c>
      <c r="G45" s="0" t="s">
        <v>4423</v>
      </c>
      <c r="H45" s="5" t="s">
        <v>1858</v>
      </c>
      <c r="J45" s="0" t="s">
        <v>520</v>
      </c>
      <c r="K45" s="5" t="s">
        <v>4435</v>
      </c>
      <c r="L45" s="0" t="s">
        <v>4576</v>
      </c>
    </row>
    <row r="46" customFormat="false" ht="17.15" hidden="false" customHeight="false" outlineLevel="0" collapsed="false">
      <c r="A46" s="0" t="s">
        <v>4577</v>
      </c>
      <c r="B46" s="0" t="s">
        <v>4536</v>
      </c>
      <c r="C46" s="0" t="s">
        <v>4578</v>
      </c>
      <c r="D46" s="0" t="s">
        <v>4579</v>
      </c>
      <c r="E46" s="0" t="s">
        <v>111</v>
      </c>
      <c r="F46" s="0" t="s">
        <v>4580</v>
      </c>
      <c r="G46" s="0" t="s">
        <v>4423</v>
      </c>
      <c r="H46" s="5" t="s">
        <v>1858</v>
      </c>
      <c r="K46" s="0" t="s">
        <v>35</v>
      </c>
      <c r="L46" s="0" t="s">
        <v>4581</v>
      </c>
    </row>
    <row r="47" customFormat="false" ht="17.15" hidden="false" customHeight="false" outlineLevel="0" collapsed="false">
      <c r="A47" s="0" t="s">
        <v>4582</v>
      </c>
      <c r="B47" s="0" t="s">
        <v>4536</v>
      </c>
      <c r="C47" s="0" t="s">
        <v>4583</v>
      </c>
      <c r="D47" s="0" t="s">
        <v>4584</v>
      </c>
      <c r="E47" s="0" t="s">
        <v>4386</v>
      </c>
      <c r="F47" s="0" t="s">
        <v>4585</v>
      </c>
      <c r="G47" s="0" t="s">
        <v>1855</v>
      </c>
      <c r="H47" s="5" t="s">
        <v>1712</v>
      </c>
      <c r="I47" s="5" t="s">
        <v>4586</v>
      </c>
      <c r="J47" s="0" t="s">
        <v>197</v>
      </c>
      <c r="K47" s="5" t="s">
        <v>1851</v>
      </c>
      <c r="L47" s="0" t="s">
        <v>2043</v>
      </c>
    </row>
    <row r="48" customFormat="false" ht="17.15" hidden="false" customHeight="false" outlineLevel="0" collapsed="false">
      <c r="A48" s="0" t="s">
        <v>4587</v>
      </c>
      <c r="B48" s="0" t="s">
        <v>4536</v>
      </c>
      <c r="C48" s="0" t="s">
        <v>4588</v>
      </c>
      <c r="D48" s="0" t="s">
        <v>4589</v>
      </c>
      <c r="E48" s="0" t="s">
        <v>4386</v>
      </c>
      <c r="F48" s="0" t="s">
        <v>2095</v>
      </c>
      <c r="G48" s="0" t="s">
        <v>1909</v>
      </c>
      <c r="H48" s="5" t="s">
        <v>1704</v>
      </c>
      <c r="K48" s="0" t="s">
        <v>35</v>
      </c>
      <c r="L48" s="0" t="s">
        <v>4590</v>
      </c>
    </row>
    <row r="49" customFormat="false" ht="17.15" hidden="false" customHeight="false" outlineLevel="0" collapsed="false">
      <c r="A49" s="0" t="s">
        <v>4591</v>
      </c>
      <c r="B49" s="0" t="s">
        <v>4536</v>
      </c>
      <c r="C49" s="0" t="s">
        <v>4592</v>
      </c>
      <c r="D49" s="0" t="s">
        <v>4467</v>
      </c>
      <c r="E49" s="0" t="s">
        <v>4386</v>
      </c>
      <c r="F49" s="0" t="s">
        <v>4593</v>
      </c>
      <c r="G49" s="0" t="s">
        <v>1909</v>
      </c>
      <c r="H49" s="5" t="s">
        <v>1858</v>
      </c>
      <c r="K49" s="0" t="s">
        <v>35</v>
      </c>
      <c r="L49" s="0" t="s">
        <v>4594</v>
      </c>
    </row>
    <row r="50" customFormat="false" ht="17.15" hidden="false" customHeight="false" outlineLevel="0" collapsed="false">
      <c r="A50" s="0" t="s">
        <v>4595</v>
      </c>
      <c r="B50" s="0" t="s">
        <v>4536</v>
      </c>
      <c r="C50" s="0" t="s">
        <v>4596</v>
      </c>
      <c r="D50" s="0" t="s">
        <v>4597</v>
      </c>
      <c r="E50" s="0" t="s">
        <v>111</v>
      </c>
      <c r="F50" s="0" t="s">
        <v>24</v>
      </c>
      <c r="G50" s="0" t="s">
        <v>1909</v>
      </c>
      <c r="H50" s="5" t="s">
        <v>1858</v>
      </c>
      <c r="J50" s="0" t="s">
        <v>661</v>
      </c>
      <c r="K50" s="5" t="s">
        <v>4519</v>
      </c>
      <c r="L50" s="0" t="s">
        <v>4560</v>
      </c>
    </row>
    <row r="51" customFormat="false" ht="17.15" hidden="false" customHeight="false" outlineLevel="0" collapsed="false">
      <c r="A51" s="0" t="s">
        <v>4598</v>
      </c>
      <c r="B51" s="0" t="s">
        <v>4536</v>
      </c>
      <c r="C51" s="0" t="s">
        <v>4599</v>
      </c>
      <c r="D51" s="0" t="s">
        <v>4600</v>
      </c>
      <c r="E51" s="0" t="s">
        <v>4386</v>
      </c>
      <c r="F51" s="0" t="s">
        <v>4601</v>
      </c>
      <c r="G51" s="0" t="s">
        <v>1909</v>
      </c>
      <c r="H51" s="5" t="s">
        <v>1858</v>
      </c>
      <c r="K51" s="0" t="s">
        <v>35</v>
      </c>
      <c r="L51" s="0" t="s">
        <v>4602</v>
      </c>
    </row>
    <row r="52" customFormat="false" ht="17.15" hidden="false" customHeight="false" outlineLevel="0" collapsed="false">
      <c r="A52" s="0" t="s">
        <v>4603</v>
      </c>
      <c r="B52" s="0" t="s">
        <v>4536</v>
      </c>
      <c r="C52" s="0" t="s">
        <v>4604</v>
      </c>
      <c r="D52" s="0" t="s">
        <v>4605</v>
      </c>
      <c r="F52" s="0" t="s">
        <v>4548</v>
      </c>
      <c r="G52" s="0" t="s">
        <v>1909</v>
      </c>
      <c r="H52" s="5" t="s">
        <v>1704</v>
      </c>
      <c r="K52" s="0" t="s">
        <v>35</v>
      </c>
      <c r="L52" s="0" t="s">
        <v>2050</v>
      </c>
    </row>
    <row r="53" customFormat="false" ht="17.15" hidden="false" customHeight="false" outlineLevel="0" collapsed="false">
      <c r="A53" s="0" t="s">
        <v>4606</v>
      </c>
      <c r="B53" s="0" t="s">
        <v>1038</v>
      </c>
      <c r="C53" s="0" t="s">
        <v>4607</v>
      </c>
      <c r="D53" s="0" t="s">
        <v>4608</v>
      </c>
      <c r="E53" s="0" t="s">
        <v>4386</v>
      </c>
      <c r="F53" s="0" t="s">
        <v>4422</v>
      </c>
      <c r="G53" s="0" t="s">
        <v>4423</v>
      </c>
      <c r="H53" s="5" t="s">
        <v>1704</v>
      </c>
      <c r="J53" s="0" t="s">
        <v>333</v>
      </c>
      <c r="K53" s="5" t="s">
        <v>1851</v>
      </c>
      <c r="L53" s="0" t="s">
        <v>4424</v>
      </c>
    </row>
    <row r="54" customFormat="false" ht="17.15" hidden="false" customHeight="false" outlineLevel="0" collapsed="false">
      <c r="A54" s="0" t="s">
        <v>4609</v>
      </c>
      <c r="B54" s="0" t="s">
        <v>1038</v>
      </c>
      <c r="C54" s="0" t="s">
        <v>4610</v>
      </c>
      <c r="D54" s="0" t="s">
        <v>4611</v>
      </c>
      <c r="E54" s="0" t="s">
        <v>4386</v>
      </c>
      <c r="F54" s="0" t="s">
        <v>4428</v>
      </c>
      <c r="G54" s="0" t="s">
        <v>4423</v>
      </c>
      <c r="H54" s="5" t="s">
        <v>1704</v>
      </c>
      <c r="J54" s="0" t="s">
        <v>333</v>
      </c>
      <c r="K54" s="5" t="s">
        <v>1851</v>
      </c>
      <c r="L54" s="0" t="s">
        <v>4424</v>
      </c>
    </row>
    <row r="55" customFormat="false" ht="17.15" hidden="false" customHeight="false" outlineLevel="0" collapsed="false">
      <c r="A55" s="0" t="s">
        <v>4612</v>
      </c>
      <c r="B55" s="0" t="s">
        <v>1038</v>
      </c>
      <c r="C55" s="0" t="s">
        <v>4613</v>
      </c>
      <c r="D55" s="0" t="s">
        <v>4614</v>
      </c>
      <c r="E55" s="0" t="s">
        <v>4386</v>
      </c>
      <c r="F55" s="0" t="s">
        <v>2440</v>
      </c>
      <c r="G55" s="0" t="s">
        <v>4423</v>
      </c>
      <c r="H55" s="5" t="s">
        <v>1704</v>
      </c>
      <c r="K55" s="0" t="s">
        <v>35</v>
      </c>
      <c r="L55" s="0" t="s">
        <v>4424</v>
      </c>
    </row>
    <row r="56" customFormat="false" ht="17.15" hidden="false" customHeight="false" outlineLevel="0" collapsed="false">
      <c r="A56" s="0" t="s">
        <v>4615</v>
      </c>
      <c r="B56" s="0" t="s">
        <v>1038</v>
      </c>
      <c r="C56" s="0" t="s">
        <v>4616</v>
      </c>
      <c r="D56" s="0" t="s">
        <v>4617</v>
      </c>
      <c r="E56" s="0" t="s">
        <v>4495</v>
      </c>
      <c r="F56" s="0" t="s">
        <v>22</v>
      </c>
      <c r="G56" s="0" t="s">
        <v>1866</v>
      </c>
      <c r="H56" s="5" t="s">
        <v>1704</v>
      </c>
      <c r="K56" s="0" t="s">
        <v>35</v>
      </c>
      <c r="L56" s="0" t="s">
        <v>4618</v>
      </c>
    </row>
    <row r="57" customFormat="false" ht="17.15" hidden="false" customHeight="false" outlineLevel="0" collapsed="false">
      <c r="A57" s="0" t="s">
        <v>4619</v>
      </c>
      <c r="B57" s="0" t="s">
        <v>1038</v>
      </c>
      <c r="C57" s="0" t="s">
        <v>4620</v>
      </c>
      <c r="D57" s="0" t="s">
        <v>4621</v>
      </c>
      <c r="E57" s="0" t="s">
        <v>111</v>
      </c>
      <c r="F57" s="0" t="s">
        <v>138</v>
      </c>
      <c r="G57" s="0" t="s">
        <v>4423</v>
      </c>
      <c r="H57" s="5" t="s">
        <v>1704</v>
      </c>
      <c r="J57" s="0" t="s">
        <v>4622</v>
      </c>
      <c r="K57" s="5" t="s">
        <v>1851</v>
      </c>
      <c r="L57" s="0" t="s">
        <v>4623</v>
      </c>
    </row>
    <row r="58" customFormat="false" ht="17.15" hidden="false" customHeight="false" outlineLevel="0" collapsed="false">
      <c r="A58" s="0" t="s">
        <v>4624</v>
      </c>
      <c r="B58" s="0" t="s">
        <v>1038</v>
      </c>
      <c r="C58" s="0" t="s">
        <v>4625</v>
      </c>
      <c r="D58" s="0" t="s">
        <v>4626</v>
      </c>
      <c r="E58" s="0" t="s">
        <v>4386</v>
      </c>
      <c r="F58" s="0" t="s">
        <v>4564</v>
      </c>
      <c r="G58" s="0" t="s">
        <v>1909</v>
      </c>
      <c r="H58" s="5" t="s">
        <v>1858</v>
      </c>
      <c r="I58" s="0" t="s">
        <v>4627</v>
      </c>
      <c r="K58" s="0" t="s">
        <v>35</v>
      </c>
      <c r="L58" s="0" t="s">
        <v>4628</v>
      </c>
    </row>
    <row r="59" customFormat="false" ht="17.15" hidden="false" customHeight="false" outlineLevel="0" collapsed="false">
      <c r="A59" s="0" t="s">
        <v>4629</v>
      </c>
      <c r="B59" s="0" t="s">
        <v>1038</v>
      </c>
      <c r="C59" s="0" t="s">
        <v>4630</v>
      </c>
      <c r="D59" s="0" t="s">
        <v>4631</v>
      </c>
      <c r="E59" s="0" t="s">
        <v>111</v>
      </c>
      <c r="F59" s="0" t="s">
        <v>4632</v>
      </c>
      <c r="G59" s="0" t="s">
        <v>4423</v>
      </c>
      <c r="H59" s="5" t="s">
        <v>1704</v>
      </c>
      <c r="J59" s="0" t="s">
        <v>590</v>
      </c>
      <c r="K59" s="5" t="s">
        <v>1851</v>
      </c>
      <c r="L59" s="0" t="s">
        <v>4633</v>
      </c>
    </row>
    <row r="60" customFormat="false" ht="17.15" hidden="false" customHeight="false" outlineLevel="0" collapsed="false">
      <c r="A60" s="0" t="s">
        <v>4634</v>
      </c>
      <c r="B60" s="0" t="s">
        <v>1038</v>
      </c>
      <c r="C60" s="0" t="s">
        <v>4635</v>
      </c>
      <c r="D60" s="0" t="s">
        <v>4636</v>
      </c>
      <c r="E60" s="0" t="s">
        <v>4386</v>
      </c>
      <c r="F60" s="0" t="s">
        <v>4637</v>
      </c>
      <c r="G60" s="0" t="s">
        <v>1909</v>
      </c>
      <c r="H60" s="5" t="s">
        <v>1712</v>
      </c>
      <c r="I60" s="0" t="s">
        <v>4638</v>
      </c>
      <c r="J60" s="0" t="s">
        <v>4639</v>
      </c>
      <c r="K60" s="5" t="s">
        <v>1851</v>
      </c>
      <c r="L60" s="0" t="s">
        <v>4640</v>
      </c>
    </row>
    <row r="61" customFormat="false" ht="17.15" hidden="false" customHeight="false" outlineLevel="0" collapsed="false">
      <c r="A61" s="0" t="s">
        <v>4641</v>
      </c>
      <c r="B61" s="0" t="s">
        <v>1038</v>
      </c>
      <c r="C61" s="0" t="s">
        <v>4642</v>
      </c>
      <c r="D61" s="0" t="s">
        <v>4643</v>
      </c>
      <c r="E61" s="0" t="s">
        <v>4386</v>
      </c>
      <c r="F61" s="0" t="s">
        <v>4644</v>
      </c>
      <c r="G61" s="0" t="s">
        <v>1909</v>
      </c>
      <c r="H61" s="5" t="s">
        <v>1704</v>
      </c>
      <c r="J61" s="0" t="s">
        <v>596</v>
      </c>
      <c r="K61" s="5" t="s">
        <v>1851</v>
      </c>
      <c r="L61" s="0" t="s">
        <v>4645</v>
      </c>
    </row>
    <row r="62" customFormat="false" ht="17.15" hidden="false" customHeight="false" outlineLevel="0" collapsed="false">
      <c r="A62" s="0" t="s">
        <v>4646</v>
      </c>
      <c r="B62" s="0" t="s">
        <v>1038</v>
      </c>
      <c r="C62" s="0" t="s">
        <v>4647</v>
      </c>
      <c r="D62" s="0" t="s">
        <v>4467</v>
      </c>
      <c r="E62" s="0" t="s">
        <v>4386</v>
      </c>
      <c r="F62" s="0" t="s">
        <v>4648</v>
      </c>
      <c r="G62" s="0" t="s">
        <v>1909</v>
      </c>
      <c r="H62" s="5" t="s">
        <v>1858</v>
      </c>
      <c r="K62" s="0" t="s">
        <v>35</v>
      </c>
      <c r="L62" s="0" t="s">
        <v>4649</v>
      </c>
    </row>
    <row r="63" customFormat="false" ht="17.15" hidden="false" customHeight="false" outlineLevel="0" collapsed="false">
      <c r="A63" s="0" t="s">
        <v>4650</v>
      </c>
      <c r="B63" s="0" t="s">
        <v>1038</v>
      </c>
      <c r="C63" s="0" t="s">
        <v>4651</v>
      </c>
      <c r="D63" s="0" t="s">
        <v>4467</v>
      </c>
      <c r="E63" s="0" t="s">
        <v>4386</v>
      </c>
      <c r="F63" s="0" t="s">
        <v>2034</v>
      </c>
      <c r="G63" s="0" t="s">
        <v>4652</v>
      </c>
      <c r="H63" s="5" t="s">
        <v>1858</v>
      </c>
      <c r="I63" s="0" t="s">
        <v>4653</v>
      </c>
      <c r="K63" s="0" t="s">
        <v>35</v>
      </c>
      <c r="L63" s="0" t="s">
        <v>4654</v>
      </c>
    </row>
    <row r="64" customFormat="false" ht="17.15" hidden="false" customHeight="false" outlineLevel="0" collapsed="false">
      <c r="A64" s="0" t="s">
        <v>4655</v>
      </c>
      <c r="B64" s="0" t="s">
        <v>1038</v>
      </c>
      <c r="C64" s="0" t="s">
        <v>4656</v>
      </c>
      <c r="D64" s="0" t="s">
        <v>4657</v>
      </c>
      <c r="E64" s="0" t="s">
        <v>4386</v>
      </c>
      <c r="F64" s="0" t="s">
        <v>2347</v>
      </c>
      <c r="G64" s="0" t="s">
        <v>1909</v>
      </c>
      <c r="H64" s="5" t="s">
        <v>1858</v>
      </c>
      <c r="K64" s="0" t="s">
        <v>35</v>
      </c>
      <c r="L64" s="0" t="s">
        <v>4658</v>
      </c>
    </row>
    <row r="65" customFormat="false" ht="17.15" hidden="false" customHeight="false" outlineLevel="0" collapsed="false">
      <c r="A65" s="0" t="s">
        <v>4659</v>
      </c>
      <c r="B65" s="0" t="s">
        <v>1038</v>
      </c>
      <c r="C65" s="0" t="s">
        <v>4660</v>
      </c>
      <c r="D65" s="0" t="s">
        <v>4661</v>
      </c>
      <c r="F65" s="0" t="s">
        <v>4662</v>
      </c>
      <c r="G65" s="0" t="s">
        <v>1909</v>
      </c>
      <c r="H65" s="5" t="s">
        <v>1704</v>
      </c>
      <c r="J65" s="0" t="s">
        <v>4663</v>
      </c>
      <c r="K65" s="5" t="s">
        <v>1851</v>
      </c>
      <c r="L65" s="0" t="s">
        <v>4664</v>
      </c>
    </row>
    <row r="66" customFormat="false" ht="17.15" hidden="false" customHeight="false" outlineLevel="0" collapsed="false">
      <c r="A66" s="0" t="s">
        <v>4665</v>
      </c>
      <c r="B66" s="0" t="s">
        <v>1693</v>
      </c>
      <c r="C66" s="0" t="s">
        <v>4666</v>
      </c>
      <c r="D66" s="0" t="s">
        <v>4667</v>
      </c>
      <c r="E66" s="0" t="s">
        <v>4386</v>
      </c>
      <c r="F66" s="0" t="s">
        <v>2149</v>
      </c>
      <c r="G66" s="0" t="s">
        <v>1909</v>
      </c>
      <c r="H66" s="5" t="s">
        <v>1704</v>
      </c>
      <c r="J66" s="0" t="s">
        <v>132</v>
      </c>
      <c r="K66" s="5" t="s">
        <v>1851</v>
      </c>
      <c r="L66" s="0" t="s">
        <v>4668</v>
      </c>
    </row>
    <row r="67" customFormat="false" ht="17.15" hidden="false" customHeight="false" outlineLevel="0" collapsed="false">
      <c r="A67" s="0" t="s">
        <v>4669</v>
      </c>
      <c r="B67" s="0" t="s">
        <v>1693</v>
      </c>
      <c r="C67" s="0" t="s">
        <v>4670</v>
      </c>
      <c r="D67" s="0" t="s">
        <v>4671</v>
      </c>
      <c r="E67" s="0" t="s">
        <v>4386</v>
      </c>
      <c r="F67" s="0" t="s">
        <v>138</v>
      </c>
      <c r="G67" s="0" t="s">
        <v>1909</v>
      </c>
      <c r="H67" s="5" t="s">
        <v>1704</v>
      </c>
      <c r="J67" s="0" t="s">
        <v>132</v>
      </c>
      <c r="K67" s="5" t="s">
        <v>1851</v>
      </c>
      <c r="L67" s="0" t="s">
        <v>2142</v>
      </c>
    </row>
    <row r="68" customFormat="false" ht="17.15" hidden="false" customHeight="false" outlineLevel="0" collapsed="false">
      <c r="A68" s="0" t="s">
        <v>4672</v>
      </c>
      <c r="B68" s="0" t="s">
        <v>1693</v>
      </c>
      <c r="C68" s="0" t="s">
        <v>4673</v>
      </c>
      <c r="D68" s="0" t="s">
        <v>4674</v>
      </c>
      <c r="E68" s="0" t="s">
        <v>111</v>
      </c>
      <c r="F68" s="0" t="s">
        <v>138</v>
      </c>
      <c r="G68" s="0" t="s">
        <v>1866</v>
      </c>
      <c r="H68" s="5" t="s">
        <v>1858</v>
      </c>
      <c r="K68" s="0" t="s">
        <v>35</v>
      </c>
      <c r="L68" s="0" t="s">
        <v>4675</v>
      </c>
    </row>
    <row r="69" customFormat="false" ht="17.15" hidden="false" customHeight="false" outlineLevel="0" collapsed="false">
      <c r="A69" s="0" t="s">
        <v>4676</v>
      </c>
      <c r="B69" s="0" t="s">
        <v>1693</v>
      </c>
      <c r="C69" s="0" t="s">
        <v>4677</v>
      </c>
      <c r="D69" s="0" t="s">
        <v>4678</v>
      </c>
      <c r="E69" s="0" t="s">
        <v>4386</v>
      </c>
      <c r="F69" s="0" t="s">
        <v>4422</v>
      </c>
      <c r="G69" s="0" t="s">
        <v>4423</v>
      </c>
      <c r="H69" s="5" t="s">
        <v>1704</v>
      </c>
      <c r="J69" s="0" t="s">
        <v>336</v>
      </c>
      <c r="K69" s="5" t="s">
        <v>1851</v>
      </c>
      <c r="L69" s="0" t="s">
        <v>4424</v>
      </c>
    </row>
    <row r="70" customFormat="false" ht="17.15" hidden="false" customHeight="false" outlineLevel="0" collapsed="false">
      <c r="A70" s="0" t="s">
        <v>4679</v>
      </c>
      <c r="B70" s="0" t="s">
        <v>1693</v>
      </c>
      <c r="C70" s="0" t="s">
        <v>4680</v>
      </c>
      <c r="D70" s="0" t="s">
        <v>4681</v>
      </c>
      <c r="E70" s="0" t="s">
        <v>4386</v>
      </c>
      <c r="F70" s="0" t="s">
        <v>4428</v>
      </c>
      <c r="G70" s="0" t="s">
        <v>4423</v>
      </c>
      <c r="H70" s="5" t="s">
        <v>1704</v>
      </c>
      <c r="J70" s="0" t="s">
        <v>336</v>
      </c>
      <c r="K70" s="5" t="s">
        <v>1851</v>
      </c>
      <c r="L70" s="0" t="s">
        <v>4424</v>
      </c>
    </row>
    <row r="71" customFormat="false" ht="17.15" hidden="false" customHeight="false" outlineLevel="0" collapsed="false">
      <c r="A71" s="0" t="s">
        <v>4682</v>
      </c>
      <c r="B71" s="0" t="s">
        <v>1693</v>
      </c>
      <c r="C71" s="0" t="s">
        <v>4683</v>
      </c>
      <c r="D71" s="0" t="s">
        <v>4684</v>
      </c>
      <c r="E71" s="0" t="s">
        <v>4386</v>
      </c>
      <c r="F71" s="0" t="s">
        <v>138</v>
      </c>
      <c r="G71" s="0" t="s">
        <v>1909</v>
      </c>
      <c r="H71" s="5" t="s">
        <v>1704</v>
      </c>
      <c r="J71" s="0" t="s">
        <v>4685</v>
      </c>
      <c r="K71" s="5" t="s">
        <v>1851</v>
      </c>
      <c r="L71" s="0" t="s">
        <v>2144</v>
      </c>
    </row>
    <row r="72" customFormat="false" ht="17.15" hidden="false" customHeight="false" outlineLevel="0" collapsed="false">
      <c r="A72" s="0" t="s">
        <v>4686</v>
      </c>
      <c r="B72" s="0" t="s">
        <v>1693</v>
      </c>
      <c r="C72" s="0" t="s">
        <v>4687</v>
      </c>
      <c r="D72" s="0" t="s">
        <v>4688</v>
      </c>
      <c r="E72" s="0" t="s">
        <v>4386</v>
      </c>
      <c r="F72" s="0" t="s">
        <v>2034</v>
      </c>
      <c r="G72" s="0" t="s">
        <v>1909</v>
      </c>
      <c r="H72" s="5" t="s">
        <v>1858</v>
      </c>
      <c r="I72" s="0" t="s">
        <v>4689</v>
      </c>
      <c r="K72" s="0" t="s">
        <v>35</v>
      </c>
      <c r="L72" s="0" t="s">
        <v>4690</v>
      </c>
    </row>
    <row r="73" customFormat="false" ht="17.15" hidden="false" customHeight="false" outlineLevel="0" collapsed="false">
      <c r="A73" s="0" t="s">
        <v>4691</v>
      </c>
      <c r="B73" s="0" t="s">
        <v>1693</v>
      </c>
      <c r="C73" s="0" t="s">
        <v>4692</v>
      </c>
      <c r="D73" s="0" t="s">
        <v>4693</v>
      </c>
      <c r="E73" s="0" t="s">
        <v>4386</v>
      </c>
      <c r="F73" s="0" t="s">
        <v>4694</v>
      </c>
      <c r="G73" s="0" t="s">
        <v>1909</v>
      </c>
      <c r="H73" s="5" t="s">
        <v>1858</v>
      </c>
      <c r="J73" s="0" t="s">
        <v>194</v>
      </c>
      <c r="K73" s="5" t="s">
        <v>4435</v>
      </c>
      <c r="L73" s="0" t="s">
        <v>4695</v>
      </c>
    </row>
    <row r="74" customFormat="false" ht="17.15" hidden="false" customHeight="false" outlineLevel="0" collapsed="false">
      <c r="A74" s="0" t="s">
        <v>4696</v>
      </c>
      <c r="B74" s="0" t="s">
        <v>1693</v>
      </c>
      <c r="C74" s="0" t="s">
        <v>4697</v>
      </c>
      <c r="D74" s="0" t="s">
        <v>4698</v>
      </c>
      <c r="E74" s="0" t="s">
        <v>4495</v>
      </c>
      <c r="F74" s="0" t="s">
        <v>4699</v>
      </c>
      <c r="G74" s="0" t="s">
        <v>4423</v>
      </c>
      <c r="H74" s="5" t="s">
        <v>1704</v>
      </c>
      <c r="I74" s="5" t="s">
        <v>4700</v>
      </c>
      <c r="J74" s="0" t="s">
        <v>4701</v>
      </c>
      <c r="K74" s="5" t="s">
        <v>1851</v>
      </c>
      <c r="L74" s="0" t="s">
        <v>4702</v>
      </c>
    </row>
    <row r="75" customFormat="false" ht="17.15" hidden="false" customHeight="false" outlineLevel="0" collapsed="false">
      <c r="A75" s="0" t="s">
        <v>4703</v>
      </c>
      <c r="B75" s="0" t="s">
        <v>1693</v>
      </c>
      <c r="C75" s="0" t="s">
        <v>4704</v>
      </c>
      <c r="D75" s="0" t="s">
        <v>4705</v>
      </c>
      <c r="E75" s="0" t="s">
        <v>4495</v>
      </c>
      <c r="F75" s="0" t="s">
        <v>4699</v>
      </c>
      <c r="G75" s="0" t="s">
        <v>4423</v>
      </c>
      <c r="H75" s="5" t="s">
        <v>1704</v>
      </c>
      <c r="J75" s="0" t="s">
        <v>608</v>
      </c>
      <c r="K75" s="5" t="s">
        <v>1851</v>
      </c>
      <c r="L75" s="0" t="s">
        <v>4702</v>
      </c>
    </row>
    <row r="76" customFormat="false" ht="17.15" hidden="false" customHeight="false" outlineLevel="0" collapsed="false">
      <c r="A76" s="0" t="s">
        <v>4706</v>
      </c>
      <c r="B76" s="0" t="s">
        <v>1693</v>
      </c>
      <c r="C76" s="0" t="s">
        <v>4707</v>
      </c>
      <c r="D76" s="0" t="s">
        <v>4708</v>
      </c>
      <c r="E76" s="0" t="s">
        <v>4495</v>
      </c>
      <c r="F76" s="0" t="s">
        <v>4699</v>
      </c>
      <c r="G76" s="0" t="s">
        <v>4423</v>
      </c>
      <c r="H76" s="5" t="s">
        <v>1704</v>
      </c>
      <c r="J76" s="0" t="s">
        <v>611</v>
      </c>
      <c r="K76" s="5" t="s">
        <v>1851</v>
      </c>
      <c r="L76" s="0" t="s">
        <v>4702</v>
      </c>
    </row>
    <row r="77" customFormat="false" ht="17.15" hidden="false" customHeight="false" outlineLevel="0" collapsed="false">
      <c r="A77" s="0" t="s">
        <v>4709</v>
      </c>
      <c r="B77" s="0" t="s">
        <v>1693</v>
      </c>
      <c r="C77" s="0" t="s">
        <v>4710</v>
      </c>
      <c r="D77" s="0" t="s">
        <v>4711</v>
      </c>
      <c r="E77" s="0" t="s">
        <v>4495</v>
      </c>
      <c r="F77" s="0" t="s">
        <v>4699</v>
      </c>
      <c r="G77" s="0" t="s">
        <v>4423</v>
      </c>
      <c r="H77" s="5" t="s">
        <v>1704</v>
      </c>
      <c r="J77" s="0" t="s">
        <v>614</v>
      </c>
      <c r="K77" s="5" t="s">
        <v>1851</v>
      </c>
      <c r="L77" s="0" t="s">
        <v>4702</v>
      </c>
    </row>
    <row r="78" customFormat="false" ht="17.15" hidden="false" customHeight="false" outlineLevel="0" collapsed="false">
      <c r="A78" s="0" t="s">
        <v>4712</v>
      </c>
      <c r="B78" s="0" t="s">
        <v>1693</v>
      </c>
      <c r="C78" s="0" t="s">
        <v>4713</v>
      </c>
      <c r="D78" s="0" t="s">
        <v>4714</v>
      </c>
      <c r="F78" s="0" t="s">
        <v>4715</v>
      </c>
      <c r="G78" s="0" t="s">
        <v>1909</v>
      </c>
      <c r="H78" s="5" t="s">
        <v>1704</v>
      </c>
      <c r="K78" s="0" t="s">
        <v>35</v>
      </c>
      <c r="L78" s="0" t="s">
        <v>2144</v>
      </c>
    </row>
    <row r="79" customFormat="false" ht="17.15" hidden="false" customHeight="false" outlineLevel="0" collapsed="false">
      <c r="A79" s="0" t="s">
        <v>4716</v>
      </c>
      <c r="B79" s="0" t="s">
        <v>1076</v>
      </c>
      <c r="C79" s="0" t="s">
        <v>4717</v>
      </c>
      <c r="D79" s="0" t="s">
        <v>4718</v>
      </c>
      <c r="E79" s="0" t="s">
        <v>4386</v>
      </c>
      <c r="F79" s="0" t="s">
        <v>4719</v>
      </c>
      <c r="G79" s="0" t="s">
        <v>1855</v>
      </c>
      <c r="H79" s="5" t="s">
        <v>1704</v>
      </c>
      <c r="J79" s="0" t="s">
        <v>354</v>
      </c>
      <c r="K79" s="5" t="s">
        <v>1851</v>
      </c>
      <c r="L79" s="0" t="s">
        <v>4720</v>
      </c>
    </row>
    <row r="80" customFormat="false" ht="17.15" hidden="false" customHeight="false" outlineLevel="0" collapsed="false">
      <c r="A80" s="0" t="s">
        <v>4721</v>
      </c>
      <c r="B80" s="0" t="s">
        <v>1076</v>
      </c>
      <c r="C80" s="0" t="s">
        <v>4717</v>
      </c>
      <c r="D80" s="0" t="s">
        <v>4722</v>
      </c>
      <c r="E80" s="0" t="s">
        <v>4386</v>
      </c>
      <c r="F80" s="0" t="s">
        <v>4723</v>
      </c>
      <c r="G80" s="0" t="s">
        <v>1855</v>
      </c>
      <c r="H80" s="5" t="s">
        <v>1704</v>
      </c>
      <c r="K80" s="0" t="s">
        <v>35</v>
      </c>
      <c r="L80" s="0" t="s">
        <v>4724</v>
      </c>
    </row>
    <row r="81" customFormat="false" ht="17.15" hidden="false" customHeight="false" outlineLevel="0" collapsed="false">
      <c r="A81" s="0" t="s">
        <v>4725</v>
      </c>
      <c r="B81" s="0" t="s">
        <v>1076</v>
      </c>
      <c r="C81" s="0" t="s">
        <v>4717</v>
      </c>
      <c r="D81" s="0" t="s">
        <v>4726</v>
      </c>
      <c r="E81" s="0" t="s">
        <v>4386</v>
      </c>
      <c r="F81" s="0" t="s">
        <v>2204</v>
      </c>
      <c r="G81" s="0" t="s">
        <v>1855</v>
      </c>
      <c r="H81" s="5" t="s">
        <v>1704</v>
      </c>
      <c r="I81" s="0" t="s">
        <v>4727</v>
      </c>
      <c r="K81" s="0" t="s">
        <v>35</v>
      </c>
      <c r="L81" s="0" t="s">
        <v>4720</v>
      </c>
    </row>
    <row r="82" customFormat="false" ht="17.15" hidden="false" customHeight="false" outlineLevel="0" collapsed="false">
      <c r="A82" s="0" t="s">
        <v>4728</v>
      </c>
      <c r="B82" s="0" t="s">
        <v>1076</v>
      </c>
      <c r="C82" s="0" t="s">
        <v>4717</v>
      </c>
      <c r="D82" s="0" t="s">
        <v>4729</v>
      </c>
      <c r="E82" s="0" t="s">
        <v>4386</v>
      </c>
      <c r="F82" s="0" t="s">
        <v>2270</v>
      </c>
      <c r="G82" s="0" t="s">
        <v>1909</v>
      </c>
      <c r="H82" s="5" t="s">
        <v>1858</v>
      </c>
      <c r="K82" s="0" t="s">
        <v>35</v>
      </c>
      <c r="L82" s="0" t="s">
        <v>4730</v>
      </c>
    </row>
    <row r="83" customFormat="false" ht="17.15" hidden="false" customHeight="false" outlineLevel="0" collapsed="false">
      <c r="A83" s="0" t="s">
        <v>4731</v>
      </c>
      <c r="B83" s="0" t="s">
        <v>1076</v>
      </c>
      <c r="C83" s="0" t="s">
        <v>4717</v>
      </c>
      <c r="D83" s="0" t="s">
        <v>4732</v>
      </c>
      <c r="E83" s="0" t="s">
        <v>4386</v>
      </c>
      <c r="F83" s="0" t="s">
        <v>119</v>
      </c>
      <c r="G83" s="0" t="s">
        <v>1909</v>
      </c>
      <c r="H83" s="5" t="s">
        <v>1704</v>
      </c>
      <c r="J83" s="0" t="s">
        <v>139</v>
      </c>
      <c r="K83" s="5" t="s">
        <v>1851</v>
      </c>
      <c r="L83" s="0" t="s">
        <v>4733</v>
      </c>
    </row>
    <row r="84" customFormat="false" ht="17.15" hidden="false" customHeight="false" outlineLevel="0" collapsed="false">
      <c r="A84" s="0" t="s">
        <v>4734</v>
      </c>
      <c r="B84" s="0" t="s">
        <v>1076</v>
      </c>
      <c r="C84" s="0" t="s">
        <v>4735</v>
      </c>
      <c r="D84" s="0" t="s">
        <v>4736</v>
      </c>
      <c r="E84" s="0" t="s">
        <v>4386</v>
      </c>
      <c r="F84" s="0" t="s">
        <v>4737</v>
      </c>
      <c r="G84" s="0" t="s">
        <v>1909</v>
      </c>
      <c r="H84" s="5" t="s">
        <v>1704</v>
      </c>
      <c r="J84" s="0" t="s">
        <v>354</v>
      </c>
      <c r="K84" s="5" t="s">
        <v>1851</v>
      </c>
      <c r="L84" s="0" t="s">
        <v>2225</v>
      </c>
    </row>
    <row r="85" customFormat="false" ht="17.15" hidden="false" customHeight="false" outlineLevel="0" collapsed="false">
      <c r="A85" s="12" t="s">
        <v>4738</v>
      </c>
      <c r="B85" s="12" t="s">
        <v>1076</v>
      </c>
      <c r="C85" s="12" t="s">
        <v>4739</v>
      </c>
      <c r="D85" s="12" t="s">
        <v>4740</v>
      </c>
      <c r="E85" s="12" t="s">
        <v>4386</v>
      </c>
      <c r="F85" s="12" t="s">
        <v>2204</v>
      </c>
      <c r="G85" s="12" t="s">
        <v>1855</v>
      </c>
      <c r="H85" s="13" t="s">
        <v>1887</v>
      </c>
      <c r="I85" s="12" t="s">
        <v>4741</v>
      </c>
      <c r="J85" s="12"/>
      <c r="K85" s="12" t="s">
        <v>35</v>
      </c>
      <c r="L85" s="12" t="s">
        <v>4720</v>
      </c>
    </row>
    <row r="86" customFormat="false" ht="17.15" hidden="false" customHeight="false" outlineLevel="0" collapsed="false">
      <c r="A86" s="0" t="s">
        <v>4742</v>
      </c>
      <c r="B86" s="0" t="s">
        <v>1076</v>
      </c>
      <c r="C86" s="0" t="s">
        <v>4739</v>
      </c>
      <c r="D86" s="0" t="s">
        <v>4743</v>
      </c>
      <c r="E86" s="0" t="s">
        <v>4386</v>
      </c>
      <c r="F86" s="0" t="s">
        <v>119</v>
      </c>
      <c r="G86" s="0" t="s">
        <v>1909</v>
      </c>
      <c r="H86" s="5" t="s">
        <v>1704</v>
      </c>
      <c r="K86" s="0" t="s">
        <v>35</v>
      </c>
      <c r="L86" s="0" t="s">
        <v>4733</v>
      </c>
    </row>
    <row r="87" customFormat="false" ht="17.15" hidden="false" customHeight="false" outlineLevel="0" collapsed="false">
      <c r="A87" s="0" t="s">
        <v>4744</v>
      </c>
      <c r="B87" s="0" t="s">
        <v>1076</v>
      </c>
      <c r="C87" s="0" t="s">
        <v>4739</v>
      </c>
      <c r="D87" s="0" t="s">
        <v>4745</v>
      </c>
      <c r="E87" s="0" t="s">
        <v>4386</v>
      </c>
      <c r="F87" s="0" t="s">
        <v>4737</v>
      </c>
      <c r="G87" s="0" t="s">
        <v>1909</v>
      </c>
      <c r="H87" s="5" t="s">
        <v>1704</v>
      </c>
      <c r="J87" s="0" t="s">
        <v>186</v>
      </c>
      <c r="K87" s="5" t="s">
        <v>1851</v>
      </c>
      <c r="L87" s="0" t="s">
        <v>4746</v>
      </c>
    </row>
    <row r="88" customFormat="false" ht="17.15" hidden="false" customHeight="false" outlineLevel="0" collapsed="false">
      <c r="A88" s="0" t="s">
        <v>4747</v>
      </c>
      <c r="B88" s="0" t="s">
        <v>1076</v>
      </c>
      <c r="C88" s="0" t="s">
        <v>4748</v>
      </c>
      <c r="D88" s="0" t="s">
        <v>4749</v>
      </c>
      <c r="E88" s="0" t="s">
        <v>4386</v>
      </c>
      <c r="F88" s="0" t="s">
        <v>2485</v>
      </c>
      <c r="G88" s="0" t="s">
        <v>1909</v>
      </c>
      <c r="H88" s="5" t="s">
        <v>1858</v>
      </c>
      <c r="J88" s="0" t="s">
        <v>354</v>
      </c>
      <c r="K88" s="5" t="s">
        <v>4435</v>
      </c>
      <c r="L88" s="0" t="s">
        <v>4730</v>
      </c>
    </row>
    <row r="89" customFormat="false" ht="17.15" hidden="false" customHeight="false" outlineLevel="0" collapsed="false">
      <c r="A89" s="0" t="s">
        <v>4750</v>
      </c>
      <c r="B89" s="0" t="s">
        <v>1076</v>
      </c>
      <c r="C89" s="0" t="s">
        <v>4751</v>
      </c>
      <c r="D89" s="0" t="s">
        <v>4752</v>
      </c>
      <c r="E89" s="0" t="s">
        <v>111</v>
      </c>
      <c r="F89" s="0" t="s">
        <v>4753</v>
      </c>
      <c r="G89" s="0" t="s">
        <v>1909</v>
      </c>
      <c r="H89" s="5" t="s">
        <v>1704</v>
      </c>
      <c r="J89" s="0" t="s">
        <v>617</v>
      </c>
      <c r="K89" s="5" t="s">
        <v>1851</v>
      </c>
      <c r="L89" s="0" t="s">
        <v>4754</v>
      </c>
    </row>
    <row r="90" customFormat="false" ht="17.15" hidden="false" customHeight="false" outlineLevel="0" collapsed="false">
      <c r="A90" s="0" t="s">
        <v>4755</v>
      </c>
      <c r="B90" s="0" t="s">
        <v>1076</v>
      </c>
      <c r="C90" s="0" t="s">
        <v>4756</v>
      </c>
      <c r="D90" s="0" t="s">
        <v>4757</v>
      </c>
      <c r="E90" s="0" t="s">
        <v>111</v>
      </c>
      <c r="F90" s="0" t="s">
        <v>4753</v>
      </c>
      <c r="G90" s="0" t="s">
        <v>1909</v>
      </c>
      <c r="H90" s="5" t="s">
        <v>1704</v>
      </c>
      <c r="J90" s="0" t="s">
        <v>617</v>
      </c>
      <c r="K90" s="5" t="s">
        <v>1851</v>
      </c>
      <c r="L90" s="0" t="s">
        <v>4754</v>
      </c>
    </row>
    <row r="91" customFormat="false" ht="17.15" hidden="false" customHeight="false" outlineLevel="0" collapsed="false">
      <c r="A91" s="0" t="s">
        <v>4758</v>
      </c>
      <c r="B91" s="0" t="s">
        <v>1076</v>
      </c>
      <c r="C91" s="0" t="s">
        <v>4759</v>
      </c>
      <c r="D91" s="0" t="s">
        <v>4760</v>
      </c>
      <c r="E91" s="0" t="s">
        <v>111</v>
      </c>
      <c r="F91" s="0" t="s">
        <v>2357</v>
      </c>
      <c r="G91" s="0" t="s">
        <v>1909</v>
      </c>
      <c r="H91" s="5" t="s">
        <v>1858</v>
      </c>
      <c r="K91" s="0" t="s">
        <v>35</v>
      </c>
      <c r="L91" s="0" t="s">
        <v>4761</v>
      </c>
    </row>
    <row r="92" customFormat="false" ht="17.15" hidden="false" customHeight="false" outlineLevel="0" collapsed="false">
      <c r="A92" s="0" t="s">
        <v>4762</v>
      </c>
      <c r="B92" s="0" t="s">
        <v>1076</v>
      </c>
      <c r="C92" s="0" t="s">
        <v>4763</v>
      </c>
      <c r="D92" s="0" t="s">
        <v>4764</v>
      </c>
      <c r="E92" s="0" t="s">
        <v>111</v>
      </c>
      <c r="F92" s="0" t="s">
        <v>4765</v>
      </c>
      <c r="G92" s="0" t="s">
        <v>1909</v>
      </c>
      <c r="H92" s="5" t="s">
        <v>1858</v>
      </c>
      <c r="K92" s="0" t="s">
        <v>35</v>
      </c>
      <c r="L92" s="0" t="s">
        <v>4766</v>
      </c>
    </row>
    <row r="93" customFormat="false" ht="17.15" hidden="false" customHeight="false" outlineLevel="0" collapsed="false">
      <c r="A93" s="0" t="s">
        <v>4767</v>
      </c>
      <c r="B93" s="0" t="s">
        <v>1076</v>
      </c>
      <c r="C93" s="0" t="s">
        <v>4768</v>
      </c>
      <c r="D93" s="0" t="s">
        <v>112</v>
      </c>
      <c r="E93" s="0" t="s">
        <v>4386</v>
      </c>
      <c r="F93" s="0" t="s">
        <v>4737</v>
      </c>
      <c r="G93" s="0" t="s">
        <v>1909</v>
      </c>
      <c r="H93" s="5" t="s">
        <v>1858</v>
      </c>
      <c r="K93" s="0" t="s">
        <v>35</v>
      </c>
      <c r="L93" s="0" t="s">
        <v>4724</v>
      </c>
    </row>
    <row r="94" customFormat="false" ht="17.15" hidden="false" customHeight="false" outlineLevel="0" collapsed="false">
      <c r="A94" s="0" t="s">
        <v>4769</v>
      </c>
      <c r="B94" s="0" t="s">
        <v>1076</v>
      </c>
      <c r="C94" s="0" t="s">
        <v>4770</v>
      </c>
      <c r="D94" s="0" t="s">
        <v>4771</v>
      </c>
      <c r="E94" s="0" t="s">
        <v>4386</v>
      </c>
      <c r="F94" s="0" t="s">
        <v>4737</v>
      </c>
      <c r="G94" s="0" t="s">
        <v>1909</v>
      </c>
      <c r="H94" s="5" t="s">
        <v>1858</v>
      </c>
      <c r="J94" s="0" t="s">
        <v>658</v>
      </c>
      <c r="K94" s="5" t="s">
        <v>4519</v>
      </c>
      <c r="L94" s="0" t="s">
        <v>4724</v>
      </c>
    </row>
    <row r="95" customFormat="false" ht="17.15" hidden="false" customHeight="false" outlineLevel="0" collapsed="false">
      <c r="A95" s="0" t="s">
        <v>4772</v>
      </c>
      <c r="B95" s="0" t="s">
        <v>1076</v>
      </c>
      <c r="C95" s="0" t="s">
        <v>4773</v>
      </c>
      <c r="D95" s="0" t="s">
        <v>4774</v>
      </c>
      <c r="E95" s="0" t="s">
        <v>4386</v>
      </c>
      <c r="F95" s="0" t="s">
        <v>4737</v>
      </c>
      <c r="G95" s="0" t="s">
        <v>1909</v>
      </c>
      <c r="H95" s="5" t="s">
        <v>1858</v>
      </c>
      <c r="K95" s="0" t="s">
        <v>35</v>
      </c>
      <c r="L95" s="0" t="s">
        <v>4724</v>
      </c>
    </row>
    <row r="96" customFormat="false" ht="17.15" hidden="false" customHeight="false" outlineLevel="0" collapsed="false">
      <c r="A96" s="0" t="s">
        <v>4775</v>
      </c>
      <c r="B96" s="0" t="s">
        <v>1076</v>
      </c>
      <c r="C96" s="0" t="s">
        <v>4776</v>
      </c>
      <c r="D96" s="0" t="s">
        <v>4777</v>
      </c>
      <c r="F96" s="0" t="s">
        <v>4737</v>
      </c>
      <c r="G96" s="0" t="s">
        <v>1909</v>
      </c>
      <c r="H96" s="5" t="s">
        <v>1704</v>
      </c>
      <c r="K96" s="0" t="s">
        <v>35</v>
      </c>
      <c r="L96" s="0" t="s">
        <v>2225</v>
      </c>
    </row>
    <row r="97" customFormat="false" ht="17.15" hidden="false" customHeight="false" outlineLevel="0" collapsed="false">
      <c r="A97" s="0" t="s">
        <v>4778</v>
      </c>
      <c r="B97" s="0" t="s">
        <v>1095</v>
      </c>
      <c r="C97" s="0" t="s">
        <v>4779</v>
      </c>
      <c r="D97" s="0" t="s">
        <v>4780</v>
      </c>
      <c r="E97" s="0" t="s">
        <v>111</v>
      </c>
      <c r="F97" s="0" t="s">
        <v>2204</v>
      </c>
      <c r="G97" s="0" t="s">
        <v>1909</v>
      </c>
      <c r="H97" s="5" t="s">
        <v>1704</v>
      </c>
      <c r="J97" s="0" t="s">
        <v>358</v>
      </c>
      <c r="K97" s="5" t="s">
        <v>1851</v>
      </c>
      <c r="L97" s="0" t="s">
        <v>4781</v>
      </c>
    </row>
    <row r="98" customFormat="false" ht="17.15" hidden="false" customHeight="false" outlineLevel="0" collapsed="false">
      <c r="A98" s="0" t="s">
        <v>4782</v>
      </c>
      <c r="B98" s="0" t="s">
        <v>1095</v>
      </c>
      <c r="C98" s="0" t="s">
        <v>4779</v>
      </c>
      <c r="D98" s="0" t="s">
        <v>112</v>
      </c>
      <c r="E98" s="0" t="s">
        <v>4386</v>
      </c>
      <c r="F98" s="0" t="s">
        <v>4723</v>
      </c>
      <c r="G98" s="0" t="s">
        <v>4476</v>
      </c>
      <c r="H98" s="5" t="s">
        <v>1858</v>
      </c>
      <c r="K98" s="0" t="s">
        <v>35</v>
      </c>
    </row>
    <row r="99" customFormat="false" ht="17.15" hidden="false" customHeight="false" outlineLevel="0" collapsed="false">
      <c r="A99" s="0" t="s">
        <v>4783</v>
      </c>
      <c r="B99" s="0" t="s">
        <v>1095</v>
      </c>
      <c r="C99" s="0" t="s">
        <v>4784</v>
      </c>
      <c r="D99" s="0" t="s">
        <v>4785</v>
      </c>
      <c r="E99" s="0" t="s">
        <v>4386</v>
      </c>
      <c r="F99" s="0" t="s">
        <v>4786</v>
      </c>
      <c r="G99" s="0" t="s">
        <v>1909</v>
      </c>
      <c r="H99" s="5" t="s">
        <v>1858</v>
      </c>
      <c r="J99" s="0" t="s">
        <v>358</v>
      </c>
      <c r="K99" s="5" t="s">
        <v>4435</v>
      </c>
      <c r="L99" s="0" t="s">
        <v>4787</v>
      </c>
    </row>
    <row r="100" customFormat="false" ht="17.15" hidden="false" customHeight="false" outlineLevel="0" collapsed="false">
      <c r="A100" s="0" t="s">
        <v>4788</v>
      </c>
      <c r="B100" s="0" t="s">
        <v>1095</v>
      </c>
      <c r="C100" s="0" t="s">
        <v>4789</v>
      </c>
      <c r="D100" s="0" t="s">
        <v>4790</v>
      </c>
      <c r="E100" s="0" t="s">
        <v>4386</v>
      </c>
      <c r="F100" s="0" t="s">
        <v>4791</v>
      </c>
      <c r="G100" s="0" t="s">
        <v>1909</v>
      </c>
      <c r="H100" s="5" t="s">
        <v>1858</v>
      </c>
      <c r="J100" s="0" t="s">
        <v>190</v>
      </c>
      <c r="K100" s="5" t="s">
        <v>4435</v>
      </c>
      <c r="L100" s="0" t="s">
        <v>4792</v>
      </c>
    </row>
    <row r="101" customFormat="false" ht="17.15" hidden="false" customHeight="false" outlineLevel="0" collapsed="false">
      <c r="A101" s="0" t="s">
        <v>4793</v>
      </c>
      <c r="B101" s="0" t="s">
        <v>1095</v>
      </c>
      <c r="C101" s="0" t="s">
        <v>4794</v>
      </c>
      <c r="D101" s="0" t="s">
        <v>4795</v>
      </c>
      <c r="E101" s="0" t="s">
        <v>4386</v>
      </c>
      <c r="F101" s="0" t="s">
        <v>4791</v>
      </c>
      <c r="G101" s="0" t="s">
        <v>1909</v>
      </c>
      <c r="H101" s="5" t="s">
        <v>1858</v>
      </c>
      <c r="J101" s="0" t="s">
        <v>648</v>
      </c>
      <c r="K101" s="5" t="s">
        <v>4519</v>
      </c>
      <c r="L101" s="0" t="s">
        <v>4796</v>
      </c>
    </row>
    <row r="102" customFormat="false" ht="17.15" hidden="false" customHeight="false" outlineLevel="0" collapsed="false">
      <c r="A102" s="0" t="s">
        <v>4797</v>
      </c>
      <c r="B102" s="0" t="s">
        <v>1095</v>
      </c>
      <c r="C102" s="0" t="s">
        <v>4798</v>
      </c>
      <c r="D102" s="0" t="s">
        <v>4799</v>
      </c>
      <c r="E102" s="0" t="s">
        <v>4386</v>
      </c>
      <c r="F102" s="0" t="s">
        <v>4791</v>
      </c>
      <c r="G102" s="0" t="s">
        <v>1909</v>
      </c>
      <c r="H102" s="5" t="s">
        <v>1858</v>
      </c>
      <c r="J102" s="0" t="s">
        <v>652</v>
      </c>
      <c r="K102" s="5" t="s">
        <v>4519</v>
      </c>
      <c r="L102" s="0" t="s">
        <v>4796</v>
      </c>
    </row>
    <row r="103" customFormat="false" ht="17.15" hidden="false" customHeight="false" outlineLevel="0" collapsed="false">
      <c r="A103" s="0" t="s">
        <v>4800</v>
      </c>
      <c r="B103" s="0" t="s">
        <v>1095</v>
      </c>
      <c r="C103" s="0" t="s">
        <v>4801</v>
      </c>
      <c r="D103" s="0" t="s">
        <v>4799</v>
      </c>
      <c r="E103" s="0" t="s">
        <v>4386</v>
      </c>
      <c r="F103" s="0" t="s">
        <v>4791</v>
      </c>
      <c r="G103" s="0" t="s">
        <v>1909</v>
      </c>
      <c r="H103" s="5" t="s">
        <v>1858</v>
      </c>
      <c r="J103" s="0" t="s">
        <v>655</v>
      </c>
      <c r="K103" s="5" t="s">
        <v>4519</v>
      </c>
      <c r="L103" s="0" t="s">
        <v>4796</v>
      </c>
    </row>
    <row r="104" customFormat="false" ht="17.15" hidden="false" customHeight="false" outlineLevel="0" collapsed="false">
      <c r="A104" s="0" t="s">
        <v>4802</v>
      </c>
      <c r="B104" s="0" t="s">
        <v>1095</v>
      </c>
      <c r="C104" s="0" t="s">
        <v>4803</v>
      </c>
      <c r="D104" s="0" t="s">
        <v>4804</v>
      </c>
      <c r="E104" s="0" t="s">
        <v>111</v>
      </c>
      <c r="F104" s="0" t="s">
        <v>119</v>
      </c>
      <c r="G104" s="0" t="s">
        <v>1866</v>
      </c>
      <c r="H104" s="5" t="s">
        <v>1858</v>
      </c>
      <c r="K104" s="0" t="s">
        <v>35</v>
      </c>
      <c r="L104" s="0" t="s">
        <v>4436</v>
      </c>
    </row>
    <row r="105" customFormat="false" ht="17.15" hidden="false" customHeight="false" outlineLevel="0" collapsed="false">
      <c r="A105" s="0" t="s">
        <v>4805</v>
      </c>
      <c r="B105" s="0" t="s">
        <v>1095</v>
      </c>
      <c r="C105" s="0" t="s">
        <v>4806</v>
      </c>
      <c r="D105" s="0" t="s">
        <v>4807</v>
      </c>
      <c r="F105" s="0" t="s">
        <v>4786</v>
      </c>
      <c r="G105" s="0" t="s">
        <v>1909</v>
      </c>
      <c r="H105" s="5" t="s">
        <v>1858</v>
      </c>
      <c r="K105" s="0" t="s">
        <v>35</v>
      </c>
      <c r="L105" s="0" t="s">
        <v>4787</v>
      </c>
    </row>
    <row r="106" customFormat="false" ht="17.15" hidden="false" customHeight="false" outlineLevel="0" collapsed="false">
      <c r="A106" s="0" t="s">
        <v>4808</v>
      </c>
      <c r="B106" s="5" t="s">
        <v>4809</v>
      </c>
      <c r="C106" s="5" t="s">
        <v>4810</v>
      </c>
      <c r="D106" s="0" t="s">
        <v>4811</v>
      </c>
      <c r="E106" s="0" t="s">
        <v>111</v>
      </c>
      <c r="F106" s="0" t="s">
        <v>4812</v>
      </c>
      <c r="G106" s="0" t="s">
        <v>1909</v>
      </c>
      <c r="H106" s="5" t="s">
        <v>1704</v>
      </c>
      <c r="J106" s="0" t="s">
        <v>4813</v>
      </c>
      <c r="K106" s="5" t="s">
        <v>1851</v>
      </c>
      <c r="L106" s="0" t="s">
        <v>4814</v>
      </c>
    </row>
    <row r="107" customFormat="false" ht="17.15" hidden="false" customHeight="false" outlineLevel="0" collapsed="false">
      <c r="A107" s="0" t="s">
        <v>4815</v>
      </c>
      <c r="B107" s="5" t="s">
        <v>4809</v>
      </c>
      <c r="C107" s="5" t="s">
        <v>4816</v>
      </c>
      <c r="D107" s="0" t="s">
        <v>4817</v>
      </c>
      <c r="E107" s="0" t="s">
        <v>111</v>
      </c>
      <c r="F107" s="0" t="s">
        <v>4812</v>
      </c>
      <c r="G107" s="0" t="s">
        <v>1909</v>
      </c>
      <c r="H107" s="5" t="s">
        <v>1704</v>
      </c>
      <c r="J107" s="0" t="s">
        <v>624</v>
      </c>
      <c r="K107" s="5" t="s">
        <v>1851</v>
      </c>
      <c r="L107" s="0" t="s">
        <v>4814</v>
      </c>
    </row>
    <row r="108" customFormat="false" ht="17.15" hidden="false" customHeight="false" outlineLevel="0" collapsed="false">
      <c r="A108" s="0" t="s">
        <v>4818</v>
      </c>
      <c r="B108" s="5" t="s">
        <v>4809</v>
      </c>
      <c r="C108" s="5" t="s">
        <v>4819</v>
      </c>
      <c r="D108" s="0" t="s">
        <v>4820</v>
      </c>
      <c r="E108" s="0" t="s">
        <v>111</v>
      </c>
      <c r="F108" s="0" t="s">
        <v>138</v>
      </c>
      <c r="G108" s="0" t="s">
        <v>1909</v>
      </c>
      <c r="H108" s="5" t="s">
        <v>1858</v>
      </c>
      <c r="K108" s="0" t="s">
        <v>35</v>
      </c>
      <c r="L108" s="0" t="s">
        <v>4761</v>
      </c>
    </row>
    <row r="109" customFormat="false" ht="17.15" hidden="false" customHeight="false" outlineLevel="0" collapsed="false">
      <c r="A109" s="0" t="s">
        <v>4821</v>
      </c>
      <c r="B109" s="5" t="s">
        <v>4809</v>
      </c>
      <c r="C109" s="5" t="s">
        <v>4822</v>
      </c>
      <c r="D109" s="0" t="s">
        <v>4823</v>
      </c>
      <c r="E109" s="0" t="s">
        <v>111</v>
      </c>
      <c r="F109" s="0" t="s">
        <v>4824</v>
      </c>
      <c r="G109" s="0" t="s">
        <v>1909</v>
      </c>
      <c r="H109" s="5" t="s">
        <v>1858</v>
      </c>
      <c r="K109" s="0" t="s">
        <v>35</v>
      </c>
      <c r="L109" s="0" t="s">
        <v>4825</v>
      </c>
    </row>
    <row r="110" customFormat="false" ht="17.15" hidden="false" customHeight="false" outlineLevel="0" collapsed="false">
      <c r="A110" s="0" t="s">
        <v>4826</v>
      </c>
      <c r="B110" s="5" t="s">
        <v>4809</v>
      </c>
      <c r="C110" s="5" t="s">
        <v>4827</v>
      </c>
      <c r="D110" s="0" t="s">
        <v>4828</v>
      </c>
      <c r="E110" s="0" t="s">
        <v>4386</v>
      </c>
      <c r="F110" s="0" t="s">
        <v>4829</v>
      </c>
      <c r="G110" s="0" t="s">
        <v>1909</v>
      </c>
      <c r="H110" s="5" t="s">
        <v>1858</v>
      </c>
      <c r="K110" s="0" t="s">
        <v>35</v>
      </c>
      <c r="L110" s="0" t="s">
        <v>4830</v>
      </c>
    </row>
    <row r="111" customFormat="false" ht="17.15" hidden="false" customHeight="false" outlineLevel="0" collapsed="false">
      <c r="A111" s="0" t="s">
        <v>4831</v>
      </c>
      <c r="B111" s="5" t="s">
        <v>4809</v>
      </c>
      <c r="C111" s="5" t="s">
        <v>4832</v>
      </c>
      <c r="D111" s="0" t="s">
        <v>4833</v>
      </c>
      <c r="E111" s="0" t="s">
        <v>4386</v>
      </c>
      <c r="F111" s="0" t="s">
        <v>2091</v>
      </c>
      <c r="G111" s="0" t="s">
        <v>1909</v>
      </c>
      <c r="H111" s="5" t="s">
        <v>1858</v>
      </c>
      <c r="K111" s="0" t="s">
        <v>35</v>
      </c>
      <c r="L111" s="0" t="s">
        <v>4834</v>
      </c>
    </row>
    <row r="112" customFormat="false" ht="17.15" hidden="false" customHeight="false" outlineLevel="0" collapsed="false">
      <c r="A112" s="0" t="s">
        <v>4835</v>
      </c>
      <c r="B112" s="5" t="s">
        <v>4809</v>
      </c>
      <c r="C112" s="5" t="s">
        <v>4836</v>
      </c>
      <c r="D112" s="0" t="s">
        <v>4837</v>
      </c>
      <c r="E112" s="0" t="s">
        <v>4386</v>
      </c>
      <c r="F112" s="0" t="s">
        <v>4838</v>
      </c>
      <c r="G112" s="0" t="s">
        <v>1909</v>
      </c>
      <c r="H112" s="5" t="s">
        <v>1858</v>
      </c>
      <c r="K112" s="0" t="s">
        <v>35</v>
      </c>
      <c r="L112" s="0" t="s">
        <v>4839</v>
      </c>
    </row>
    <row r="113" customFormat="false" ht="17.15" hidden="false" customHeight="false" outlineLevel="0" collapsed="false">
      <c r="A113" s="0" t="s">
        <v>4840</v>
      </c>
      <c r="B113" s="5" t="s">
        <v>4809</v>
      </c>
      <c r="C113" s="5" t="s">
        <v>4841</v>
      </c>
      <c r="D113" s="0" t="s">
        <v>4842</v>
      </c>
      <c r="E113" s="0" t="s">
        <v>4386</v>
      </c>
      <c r="F113" s="0" t="s">
        <v>138</v>
      </c>
      <c r="G113" s="0" t="s">
        <v>1909</v>
      </c>
      <c r="H113" s="5" t="s">
        <v>1858</v>
      </c>
      <c r="K113" s="0" t="s">
        <v>35</v>
      </c>
      <c r="L113" s="0" t="s">
        <v>4843</v>
      </c>
    </row>
    <row r="114" customFormat="false" ht="17.15" hidden="false" customHeight="false" outlineLevel="0" collapsed="false">
      <c r="A114" s="0" t="s">
        <v>4844</v>
      </c>
      <c r="B114" s="5" t="s">
        <v>4809</v>
      </c>
      <c r="C114" s="5" t="s">
        <v>4845</v>
      </c>
      <c r="D114" s="0" t="s">
        <v>4846</v>
      </c>
      <c r="E114" s="0" t="s">
        <v>4386</v>
      </c>
      <c r="F114" s="0" t="s">
        <v>4564</v>
      </c>
      <c r="G114" s="0" t="s">
        <v>1909</v>
      </c>
      <c r="H114" s="5" t="s">
        <v>1858</v>
      </c>
      <c r="K114" s="0" t="s">
        <v>35</v>
      </c>
      <c r="L114" s="0" t="s">
        <v>4847</v>
      </c>
    </row>
    <row r="115" customFormat="false" ht="17.15" hidden="false" customHeight="false" outlineLevel="0" collapsed="false">
      <c r="A115" s="0" t="s">
        <v>4848</v>
      </c>
      <c r="B115" s="5" t="s">
        <v>4809</v>
      </c>
      <c r="C115" s="5" t="s">
        <v>4849</v>
      </c>
      <c r="D115" s="0" t="s">
        <v>4850</v>
      </c>
      <c r="E115" s="0" t="s">
        <v>111</v>
      </c>
      <c r="F115" s="0" t="s">
        <v>4851</v>
      </c>
      <c r="G115" s="0" t="s">
        <v>1866</v>
      </c>
      <c r="H115" s="5" t="s">
        <v>1858</v>
      </c>
      <c r="K115" s="0" t="s">
        <v>35</v>
      </c>
      <c r="L115" s="0" t="s">
        <v>4436</v>
      </c>
    </row>
    <row r="116" customFormat="false" ht="17.15" hidden="false" customHeight="false" outlineLevel="0" collapsed="false">
      <c r="A116" s="0" t="s">
        <v>4852</v>
      </c>
      <c r="B116" s="5" t="s">
        <v>4809</v>
      </c>
      <c r="C116" s="5" t="s">
        <v>4853</v>
      </c>
      <c r="D116" s="0" t="s">
        <v>4854</v>
      </c>
      <c r="E116" s="0" t="s">
        <v>111</v>
      </c>
      <c r="F116" s="0" t="s">
        <v>1725</v>
      </c>
      <c r="G116" s="0" t="s">
        <v>1909</v>
      </c>
      <c r="H116" s="5" t="s">
        <v>1704</v>
      </c>
      <c r="J116" s="0" t="s">
        <v>4855</v>
      </c>
      <c r="K116" s="5" t="s">
        <v>1851</v>
      </c>
      <c r="L116" s="0" t="s">
        <v>4856</v>
      </c>
    </row>
    <row r="117" customFormat="false" ht="17.15" hidden="false" customHeight="false" outlineLevel="0" collapsed="false">
      <c r="A117" s="0" t="s">
        <v>4857</v>
      </c>
      <c r="B117" s="5" t="s">
        <v>4809</v>
      </c>
      <c r="C117" s="5" t="s">
        <v>4858</v>
      </c>
      <c r="D117" s="0" t="s">
        <v>4859</v>
      </c>
      <c r="E117" s="0" t="s">
        <v>4386</v>
      </c>
      <c r="F117" s="0" t="s">
        <v>4838</v>
      </c>
      <c r="G117" s="0" t="s">
        <v>1909</v>
      </c>
      <c r="H117" s="5" t="s">
        <v>1858</v>
      </c>
      <c r="K117" s="0" t="s">
        <v>35</v>
      </c>
      <c r="L117" s="0" t="s">
        <v>4860</v>
      </c>
    </row>
    <row r="118" customFormat="false" ht="17.15" hidden="false" customHeight="false" outlineLevel="0" collapsed="false">
      <c r="A118" s="0" t="s">
        <v>4861</v>
      </c>
      <c r="B118" s="5" t="s">
        <v>4809</v>
      </c>
      <c r="C118" s="5" t="s">
        <v>4862</v>
      </c>
      <c r="D118" s="0" t="s">
        <v>4863</v>
      </c>
      <c r="E118" s="0" t="s">
        <v>4386</v>
      </c>
      <c r="F118" s="0" t="s">
        <v>4428</v>
      </c>
      <c r="G118" s="0" t="s">
        <v>4423</v>
      </c>
      <c r="H118" s="5" t="s">
        <v>1712</v>
      </c>
      <c r="I118" s="5" t="s">
        <v>4864</v>
      </c>
      <c r="J118" s="0" t="s">
        <v>4865</v>
      </c>
      <c r="K118" s="5" t="s">
        <v>1851</v>
      </c>
      <c r="L118" s="0" t="s">
        <v>4424</v>
      </c>
    </row>
    <row r="119" customFormat="false" ht="17.15" hidden="false" customHeight="false" outlineLevel="0" collapsed="false">
      <c r="A119" s="0" t="s">
        <v>4866</v>
      </c>
      <c r="B119" s="5" t="s">
        <v>4867</v>
      </c>
      <c r="C119" s="5" t="s">
        <v>4868</v>
      </c>
      <c r="D119" s="0" t="s">
        <v>4869</v>
      </c>
      <c r="F119" s="0" t="s">
        <v>4428</v>
      </c>
      <c r="G119" s="0" t="s">
        <v>4423</v>
      </c>
      <c r="H119" s="5" t="s">
        <v>1704</v>
      </c>
      <c r="K119" s="0" t="s">
        <v>35</v>
      </c>
      <c r="L119" s="0" t="s">
        <v>4870</v>
      </c>
    </row>
    <row r="120" customFormat="false" ht="17.15" hidden="false" customHeight="false" outlineLevel="0" collapsed="false">
      <c r="A120" s="0" t="s">
        <v>4871</v>
      </c>
      <c r="B120" s="5" t="s">
        <v>4867</v>
      </c>
      <c r="C120" s="5" t="s">
        <v>4872</v>
      </c>
      <c r="D120" s="0" t="s">
        <v>4873</v>
      </c>
      <c r="E120" s="0" t="s">
        <v>4386</v>
      </c>
      <c r="F120" s="0" t="s">
        <v>4564</v>
      </c>
      <c r="G120" s="0" t="s">
        <v>4423</v>
      </c>
      <c r="H120" s="5" t="s">
        <v>1858</v>
      </c>
      <c r="K120" s="0" t="s">
        <v>35</v>
      </c>
      <c r="L120" s="0" t="s">
        <v>4874</v>
      </c>
    </row>
    <row r="121" customFormat="false" ht="17.15" hidden="false" customHeight="false" outlineLevel="0" collapsed="false">
      <c r="A121" s="0" t="s">
        <v>4875</v>
      </c>
      <c r="B121" s="0" t="s">
        <v>1291</v>
      </c>
      <c r="C121" s="0" t="s">
        <v>4876</v>
      </c>
      <c r="D121" s="0" t="s">
        <v>4877</v>
      </c>
      <c r="E121" s="0" t="s">
        <v>4386</v>
      </c>
      <c r="F121" s="0" t="s">
        <v>2204</v>
      </c>
      <c r="G121" s="0" t="s">
        <v>4878</v>
      </c>
      <c r="H121" s="5" t="s">
        <v>1704</v>
      </c>
      <c r="J121" s="0" t="s">
        <v>468</v>
      </c>
      <c r="K121" s="5" t="s">
        <v>1851</v>
      </c>
      <c r="L121" s="0" t="s">
        <v>4879</v>
      </c>
    </row>
    <row r="122" customFormat="false" ht="17.15" hidden="false" customHeight="false" outlineLevel="0" collapsed="false">
      <c r="A122" s="0" t="s">
        <v>4880</v>
      </c>
      <c r="B122" s="0" t="s">
        <v>1291</v>
      </c>
      <c r="C122" s="0" t="s">
        <v>4881</v>
      </c>
      <c r="D122" s="0" t="s">
        <v>4882</v>
      </c>
      <c r="E122" s="0" t="s">
        <v>4386</v>
      </c>
      <c r="F122" s="0" t="s">
        <v>4883</v>
      </c>
      <c r="G122" s="0" t="s">
        <v>4884</v>
      </c>
      <c r="H122" s="5" t="s">
        <v>1712</v>
      </c>
      <c r="I122" s="5" t="s">
        <v>4885</v>
      </c>
      <c r="J122" s="0" t="s">
        <v>183</v>
      </c>
      <c r="K122" s="5" t="s">
        <v>1851</v>
      </c>
      <c r="L122" s="0" t="s">
        <v>4886</v>
      </c>
    </row>
    <row r="123" customFormat="false" ht="17.15" hidden="false" customHeight="false" outlineLevel="0" collapsed="false">
      <c r="A123" s="0" t="s">
        <v>4887</v>
      </c>
      <c r="B123" s="0" t="s">
        <v>1291</v>
      </c>
      <c r="C123" s="0" t="s">
        <v>4888</v>
      </c>
      <c r="D123" s="0" t="s">
        <v>4889</v>
      </c>
      <c r="E123" s="0" t="s">
        <v>4386</v>
      </c>
      <c r="F123" s="0" t="s">
        <v>4648</v>
      </c>
      <c r="G123" s="0" t="s">
        <v>4890</v>
      </c>
      <c r="H123" s="5" t="s">
        <v>1704</v>
      </c>
      <c r="I123" s="0" t="s">
        <v>4891</v>
      </c>
      <c r="J123" s="0" t="s">
        <v>468</v>
      </c>
      <c r="K123" s="5" t="s">
        <v>1851</v>
      </c>
      <c r="L123" s="0" t="s">
        <v>4892</v>
      </c>
    </row>
    <row r="124" customFormat="false" ht="17.15" hidden="false" customHeight="false" outlineLevel="0" collapsed="false">
      <c r="A124" s="0" t="s">
        <v>4893</v>
      </c>
      <c r="B124" s="0" t="s">
        <v>1291</v>
      </c>
      <c r="C124" s="0" t="s">
        <v>4894</v>
      </c>
      <c r="D124" s="0" t="s">
        <v>4895</v>
      </c>
      <c r="E124" s="0" t="s">
        <v>4896</v>
      </c>
      <c r="F124" s="0" t="s">
        <v>4897</v>
      </c>
      <c r="G124" s="0" t="s">
        <v>4898</v>
      </c>
      <c r="H124" s="5" t="s">
        <v>1858</v>
      </c>
      <c r="K124" s="0" t="s">
        <v>35</v>
      </c>
      <c r="L124" s="0" t="s">
        <v>4899</v>
      </c>
    </row>
    <row r="125" customFormat="false" ht="17.15" hidden="false" customHeight="false" outlineLevel="0" collapsed="false">
      <c r="A125" s="0" t="s">
        <v>4900</v>
      </c>
      <c r="B125" s="0" t="s">
        <v>1291</v>
      </c>
      <c r="C125" s="0" t="s">
        <v>4901</v>
      </c>
      <c r="D125" s="5" t="s">
        <v>4902</v>
      </c>
      <c r="E125" s="0" t="s">
        <v>4386</v>
      </c>
      <c r="F125" s="0" t="s">
        <v>1716</v>
      </c>
      <c r="G125" s="0" t="s">
        <v>4903</v>
      </c>
      <c r="H125" s="5" t="s">
        <v>1704</v>
      </c>
      <c r="J125" s="0" t="s">
        <v>468</v>
      </c>
      <c r="K125" s="5" t="s">
        <v>1851</v>
      </c>
      <c r="L125" s="0" t="s">
        <v>4904</v>
      </c>
    </row>
    <row r="126" customFormat="false" ht="17.15" hidden="false" customHeight="false" outlineLevel="0" collapsed="false">
      <c r="A126" s="0" t="s">
        <v>4905</v>
      </c>
      <c r="B126" s="0" t="s">
        <v>4906</v>
      </c>
      <c r="C126" s="0" t="s">
        <v>4907</v>
      </c>
      <c r="D126" s="0" t="s">
        <v>4908</v>
      </c>
      <c r="E126" s="0" t="s">
        <v>4386</v>
      </c>
      <c r="F126" s="0" t="s">
        <v>138</v>
      </c>
      <c r="G126" s="0" t="s">
        <v>4909</v>
      </c>
      <c r="H126" s="5" t="s">
        <v>1704</v>
      </c>
      <c r="K126" s="0" t="s">
        <v>35</v>
      </c>
      <c r="L126" s="0" t="s">
        <v>4910</v>
      </c>
    </row>
    <row r="127" customFormat="false" ht="17.15" hidden="false" customHeight="false" outlineLevel="0" collapsed="false">
      <c r="A127" s="0" t="s">
        <v>4911</v>
      </c>
      <c r="B127" s="0" t="s">
        <v>4906</v>
      </c>
      <c r="C127" s="0" t="s">
        <v>4912</v>
      </c>
      <c r="D127" s="0" t="s">
        <v>4913</v>
      </c>
      <c r="E127" s="0" t="s">
        <v>4386</v>
      </c>
      <c r="F127" s="0" t="s">
        <v>2034</v>
      </c>
      <c r="G127" s="0" t="s">
        <v>4914</v>
      </c>
      <c r="H127" s="5" t="s">
        <v>1858</v>
      </c>
      <c r="I127" s="0" t="s">
        <v>4915</v>
      </c>
      <c r="K127" s="0" t="s">
        <v>35</v>
      </c>
      <c r="L127" s="0" t="s">
        <v>4916</v>
      </c>
    </row>
    <row r="128" customFormat="false" ht="17.15" hidden="false" customHeight="false" outlineLevel="0" collapsed="false">
      <c r="A128" s="0" t="s">
        <v>4917</v>
      </c>
      <c r="B128" s="0" t="s">
        <v>4906</v>
      </c>
      <c r="C128" s="0" t="s">
        <v>4918</v>
      </c>
      <c r="D128" s="0" t="s">
        <v>4919</v>
      </c>
      <c r="E128" s="0" t="s">
        <v>4386</v>
      </c>
      <c r="F128" s="0" t="s">
        <v>4920</v>
      </c>
      <c r="G128" s="0" t="s">
        <v>4921</v>
      </c>
      <c r="H128" s="5" t="s">
        <v>1858</v>
      </c>
      <c r="K128" s="0" t="s">
        <v>35</v>
      </c>
      <c r="L128" s="0" t="s">
        <v>4922</v>
      </c>
    </row>
    <row r="129" customFormat="false" ht="17.15" hidden="false" customHeight="false" outlineLevel="0" collapsed="false">
      <c r="A129" s="0" t="s">
        <v>4923</v>
      </c>
      <c r="B129" s="0" t="s">
        <v>4906</v>
      </c>
      <c r="C129" s="0" t="s">
        <v>4924</v>
      </c>
      <c r="D129" s="0" t="s">
        <v>4711</v>
      </c>
      <c r="E129" s="0" t="s">
        <v>111</v>
      </c>
      <c r="F129" s="0" t="s">
        <v>1720</v>
      </c>
      <c r="G129" s="0" t="s">
        <v>4925</v>
      </c>
      <c r="H129" s="5" t="s">
        <v>1858</v>
      </c>
      <c r="J129" s="0" t="s">
        <v>4926</v>
      </c>
      <c r="K129" s="5" t="s">
        <v>4435</v>
      </c>
      <c r="L129" s="0" t="s">
        <v>4927</v>
      </c>
    </row>
    <row r="130" customFormat="false" ht="17.15" hidden="false" customHeight="false" outlineLevel="0" collapsed="false">
      <c r="A130" s="0" t="s">
        <v>4928</v>
      </c>
      <c r="B130" s="0" t="s">
        <v>4906</v>
      </c>
      <c r="C130" s="0" t="s">
        <v>4929</v>
      </c>
      <c r="D130" s="0" t="s">
        <v>4930</v>
      </c>
      <c r="E130" s="0" t="s">
        <v>111</v>
      </c>
      <c r="F130" s="0" t="s">
        <v>4931</v>
      </c>
      <c r="G130" s="0" t="s">
        <v>4932</v>
      </c>
      <c r="H130" s="5" t="s">
        <v>1858</v>
      </c>
      <c r="K130" s="0" t="s">
        <v>35</v>
      </c>
      <c r="L130" s="0" t="s">
        <v>4927</v>
      </c>
    </row>
    <row r="131" customFormat="false" ht="17.15" hidden="false" customHeight="false" outlineLevel="0" collapsed="false">
      <c r="A131" s="0" t="s">
        <v>4933</v>
      </c>
      <c r="B131" s="0" t="s">
        <v>4906</v>
      </c>
      <c r="C131" s="0" t="s">
        <v>4934</v>
      </c>
      <c r="D131" s="0" t="s">
        <v>4935</v>
      </c>
      <c r="E131" s="0" t="s">
        <v>111</v>
      </c>
      <c r="F131" s="0" t="s">
        <v>4936</v>
      </c>
      <c r="G131" s="0" t="s">
        <v>4937</v>
      </c>
      <c r="H131" s="5" t="s">
        <v>1858</v>
      </c>
      <c r="K131" s="0" t="s">
        <v>35</v>
      </c>
      <c r="L131" s="0" t="s">
        <v>4927</v>
      </c>
    </row>
    <row r="132" customFormat="false" ht="17.15" hidden="false" customHeight="false" outlineLevel="0" collapsed="false">
      <c r="A132" s="0" t="s">
        <v>4938</v>
      </c>
      <c r="B132" s="0" t="s">
        <v>4906</v>
      </c>
      <c r="C132" s="0" t="s">
        <v>4939</v>
      </c>
      <c r="D132" s="0" t="s">
        <v>4940</v>
      </c>
      <c r="E132" s="0" t="s">
        <v>111</v>
      </c>
      <c r="F132" s="0" t="s">
        <v>4941</v>
      </c>
      <c r="G132" s="0" t="s">
        <v>4937</v>
      </c>
      <c r="H132" s="5" t="s">
        <v>1858</v>
      </c>
      <c r="K132" s="0" t="s">
        <v>35</v>
      </c>
      <c r="L132" s="0" t="s">
        <v>4927</v>
      </c>
    </row>
    <row r="133" customFormat="false" ht="17.15" hidden="false" customHeight="false" outlineLevel="0" collapsed="false">
      <c r="A133" s="0" t="s">
        <v>4942</v>
      </c>
      <c r="B133" s="0" t="s">
        <v>4943</v>
      </c>
      <c r="C133" s="0" t="s">
        <v>4944</v>
      </c>
      <c r="D133" s="0" t="s">
        <v>4945</v>
      </c>
      <c r="E133" s="0" t="s">
        <v>111</v>
      </c>
      <c r="F133" s="0" t="s">
        <v>4946</v>
      </c>
      <c r="G133" s="0" t="s">
        <v>4937</v>
      </c>
      <c r="H133" s="5" t="s">
        <v>1858</v>
      </c>
      <c r="J133" s="0" t="s">
        <v>4947</v>
      </c>
      <c r="K133" s="5" t="s">
        <v>4435</v>
      </c>
      <c r="L133" s="0" t="s">
        <v>4927</v>
      </c>
    </row>
    <row r="134" customFormat="false" ht="17.15" hidden="false" customHeight="false" outlineLevel="0" collapsed="false">
      <c r="A134" s="0" t="s">
        <v>4948</v>
      </c>
      <c r="B134" s="0" t="s">
        <v>4943</v>
      </c>
      <c r="C134" s="0" t="s">
        <v>4949</v>
      </c>
      <c r="D134" s="0" t="s">
        <v>4950</v>
      </c>
      <c r="E134" s="0" t="s">
        <v>111</v>
      </c>
      <c r="F134" s="0" t="s">
        <v>4548</v>
      </c>
      <c r="G134" s="0" t="s">
        <v>4937</v>
      </c>
      <c r="H134" s="5" t="s">
        <v>1858</v>
      </c>
      <c r="J134" s="0" t="s">
        <v>4951</v>
      </c>
      <c r="K134" s="5" t="s">
        <v>4435</v>
      </c>
      <c r="L134" s="0" t="s">
        <v>4927</v>
      </c>
    </row>
    <row r="135" customFormat="false" ht="17.15" hidden="false" customHeight="false" outlineLevel="0" collapsed="false">
      <c r="A135" s="0" t="s">
        <v>4952</v>
      </c>
      <c r="B135" s="0" t="s">
        <v>4953</v>
      </c>
      <c r="C135" s="0" t="s">
        <v>4954</v>
      </c>
      <c r="D135" s="0" t="s">
        <v>4955</v>
      </c>
      <c r="E135" s="0" t="s">
        <v>111</v>
      </c>
      <c r="F135" s="0" t="s">
        <v>4956</v>
      </c>
      <c r="G135" s="0" t="s">
        <v>4957</v>
      </c>
      <c r="H135" s="5" t="s">
        <v>1712</v>
      </c>
      <c r="I135" s="5" t="s">
        <v>4958</v>
      </c>
      <c r="J135" s="0" t="s">
        <v>4959</v>
      </c>
      <c r="K135" s="5" t="s">
        <v>1851</v>
      </c>
      <c r="L135" s="0" t="s">
        <v>4960</v>
      </c>
    </row>
    <row r="136" customFormat="false" ht="17.15" hidden="false" customHeight="false" outlineLevel="0" collapsed="false">
      <c r="A136" s="0" t="s">
        <v>4961</v>
      </c>
      <c r="B136" s="0" t="s">
        <v>4962</v>
      </c>
      <c r="C136" s="0" t="s">
        <v>4963</v>
      </c>
      <c r="D136" s="0" t="s">
        <v>4964</v>
      </c>
      <c r="E136" s="0" t="s">
        <v>4386</v>
      </c>
      <c r="F136" s="0" t="s">
        <v>1926</v>
      </c>
      <c r="G136" s="0" t="s">
        <v>4965</v>
      </c>
      <c r="H136" s="5" t="s">
        <v>1858</v>
      </c>
      <c r="K136" s="0" t="s">
        <v>35</v>
      </c>
      <c r="L136" s="0" t="s">
        <v>4966</v>
      </c>
    </row>
    <row r="137" customFormat="false" ht="17.15" hidden="false" customHeight="false" outlineLevel="0" collapsed="false">
      <c r="A137" s="0" t="s">
        <v>4967</v>
      </c>
      <c r="B137" s="0" t="s">
        <v>4962</v>
      </c>
      <c r="C137" s="0" t="s">
        <v>4968</v>
      </c>
      <c r="D137" s="0" t="s">
        <v>4969</v>
      </c>
      <c r="E137" s="0" t="s">
        <v>111</v>
      </c>
      <c r="F137" s="0" t="s">
        <v>4443</v>
      </c>
      <c r="G137" s="0" t="s">
        <v>4937</v>
      </c>
      <c r="H137" s="5" t="s">
        <v>1858</v>
      </c>
      <c r="K137" s="0" t="s">
        <v>35</v>
      </c>
      <c r="L137" s="0" t="s">
        <v>4927</v>
      </c>
    </row>
    <row r="138" customFormat="false" ht="17.15" hidden="false" customHeight="false" outlineLevel="0" collapsed="false">
      <c r="A138" s="0" t="s">
        <v>4970</v>
      </c>
      <c r="B138" s="0" t="s">
        <v>4962</v>
      </c>
      <c r="C138" s="0" t="s">
        <v>4971</v>
      </c>
      <c r="D138" s="0" t="s">
        <v>4972</v>
      </c>
      <c r="E138" s="0" t="s">
        <v>111</v>
      </c>
      <c r="F138" s="0" t="s">
        <v>4973</v>
      </c>
      <c r="G138" s="0" t="s">
        <v>4932</v>
      </c>
      <c r="H138" s="5" t="s">
        <v>1858</v>
      </c>
      <c r="K138" s="0" t="s">
        <v>35</v>
      </c>
      <c r="L138" s="0" t="s">
        <v>4927</v>
      </c>
    </row>
    <row r="139" customFormat="false" ht="17.15" hidden="false" customHeight="false" outlineLevel="0" collapsed="false">
      <c r="A139" s="0" t="s">
        <v>4974</v>
      </c>
      <c r="B139" s="0" t="s">
        <v>4975</v>
      </c>
      <c r="C139" s="0" t="s">
        <v>4976</v>
      </c>
      <c r="D139" s="0" t="s">
        <v>4467</v>
      </c>
      <c r="E139" s="0" t="s">
        <v>4386</v>
      </c>
      <c r="F139" s="0" t="s">
        <v>4977</v>
      </c>
      <c r="G139" s="0" t="s">
        <v>4978</v>
      </c>
      <c r="H139" s="5" t="s">
        <v>1858</v>
      </c>
      <c r="I139" s="0" t="s">
        <v>4979</v>
      </c>
      <c r="K139" s="0" t="s">
        <v>35</v>
      </c>
      <c r="L139" s="0" t="s">
        <v>4916</v>
      </c>
    </row>
    <row r="140" customFormat="false" ht="17.15" hidden="false" customHeight="false" outlineLevel="0" collapsed="false">
      <c r="A140" s="0" t="s">
        <v>4980</v>
      </c>
      <c r="B140" s="0" t="s">
        <v>4981</v>
      </c>
      <c r="C140" s="0" t="s">
        <v>4982</v>
      </c>
      <c r="D140" s="0" t="s">
        <v>4467</v>
      </c>
      <c r="E140" s="0" t="s">
        <v>4386</v>
      </c>
      <c r="F140" s="0" t="s">
        <v>4593</v>
      </c>
      <c r="G140" s="0" t="s">
        <v>4983</v>
      </c>
      <c r="H140" s="5" t="s">
        <v>1858</v>
      </c>
      <c r="K140" s="0" t="s">
        <v>35</v>
      </c>
      <c r="L140" s="0" t="s">
        <v>4594</v>
      </c>
    </row>
    <row r="141" customFormat="false" ht="17.15" hidden="false" customHeight="false" outlineLevel="0" collapsed="false">
      <c r="A141" s="0" t="s">
        <v>4984</v>
      </c>
      <c r="B141" s="0" t="s">
        <v>4981</v>
      </c>
      <c r="C141" s="0" t="s">
        <v>4985</v>
      </c>
      <c r="D141" s="0" t="s">
        <v>4986</v>
      </c>
      <c r="E141" s="0" t="s">
        <v>4386</v>
      </c>
      <c r="F141" s="0" t="s">
        <v>4987</v>
      </c>
      <c r="G141" s="0" t="s">
        <v>4988</v>
      </c>
      <c r="H141" s="5" t="s">
        <v>1704</v>
      </c>
      <c r="K141" s="0" t="s">
        <v>35</v>
      </c>
      <c r="L141" s="0" t="s">
        <v>4989</v>
      </c>
    </row>
    <row r="142" customFormat="false" ht="17.15" hidden="false" customHeight="false" outlineLevel="0" collapsed="false">
      <c r="A142" s="0" t="s">
        <v>4990</v>
      </c>
      <c r="B142" s="0" t="s">
        <v>4991</v>
      </c>
      <c r="C142" s="0" t="s">
        <v>4992</v>
      </c>
      <c r="D142" s="0" t="s">
        <v>4993</v>
      </c>
      <c r="E142" s="0" t="s">
        <v>4386</v>
      </c>
      <c r="F142" s="0" t="s">
        <v>4987</v>
      </c>
      <c r="G142" s="0" t="s">
        <v>4994</v>
      </c>
      <c r="H142" s="5" t="s">
        <v>1704</v>
      </c>
      <c r="K142" s="0" t="s">
        <v>35</v>
      </c>
      <c r="L142" s="0" t="s">
        <v>4989</v>
      </c>
    </row>
    <row r="143" customFormat="false" ht="17.15" hidden="false" customHeight="false" outlineLevel="0" collapsed="false">
      <c r="A143" s="0" t="s">
        <v>4995</v>
      </c>
      <c r="B143" s="0" t="s">
        <v>4996</v>
      </c>
      <c r="C143" s="0" t="s">
        <v>4997</v>
      </c>
      <c r="D143" s="0" t="s">
        <v>4998</v>
      </c>
      <c r="E143" s="0" t="s">
        <v>4386</v>
      </c>
      <c r="F143" s="0" t="s">
        <v>2309</v>
      </c>
      <c r="G143" s="0" t="s">
        <v>4999</v>
      </c>
      <c r="H143" s="5" t="s">
        <v>1704</v>
      </c>
      <c r="K143" s="0" t="s">
        <v>35</v>
      </c>
      <c r="L143" s="0" t="s">
        <v>5000</v>
      </c>
    </row>
    <row r="144" customFormat="false" ht="17.15" hidden="false" customHeight="false" outlineLevel="0" collapsed="false">
      <c r="A144" s="0" t="s">
        <v>5001</v>
      </c>
      <c r="B144" s="0" t="s">
        <v>5002</v>
      </c>
      <c r="C144" s="0" t="s">
        <v>5003</v>
      </c>
      <c r="D144" s="0" t="s">
        <v>4882</v>
      </c>
      <c r="E144" s="0" t="s">
        <v>4386</v>
      </c>
      <c r="F144" s="0" t="s">
        <v>5004</v>
      </c>
      <c r="G144" s="0" t="s">
        <v>5005</v>
      </c>
      <c r="H144" s="5" t="s">
        <v>1858</v>
      </c>
      <c r="K144" s="0" t="s">
        <v>35</v>
      </c>
      <c r="L144" s="0" t="s">
        <v>5006</v>
      </c>
    </row>
    <row r="145" customFormat="false" ht="17.15" hidden="false" customHeight="false" outlineLevel="0" collapsed="false">
      <c r="A145" s="0" t="s">
        <v>5007</v>
      </c>
      <c r="B145" s="0" t="s">
        <v>5008</v>
      </c>
      <c r="C145" s="0" t="s">
        <v>5009</v>
      </c>
      <c r="D145" s="0" t="s">
        <v>5010</v>
      </c>
      <c r="E145" s="0" t="s">
        <v>5011</v>
      </c>
      <c r="F145" s="0" t="s">
        <v>4699</v>
      </c>
      <c r="G145" s="0" t="s">
        <v>5012</v>
      </c>
      <c r="H145" s="5" t="s">
        <v>1858</v>
      </c>
      <c r="J145" s="0" t="s">
        <v>673</v>
      </c>
      <c r="K145" s="5" t="s">
        <v>4519</v>
      </c>
      <c r="L145" s="0" t="s">
        <v>5013</v>
      </c>
    </row>
    <row r="146" customFormat="false" ht="17.15" hidden="false" customHeight="false" outlineLevel="0" collapsed="false">
      <c r="A146" s="0" t="s">
        <v>5014</v>
      </c>
      <c r="B146" s="0" t="s">
        <v>5015</v>
      </c>
      <c r="C146" s="0" t="s">
        <v>5016</v>
      </c>
      <c r="D146" s="0" t="s">
        <v>5017</v>
      </c>
      <c r="E146" s="0" t="s">
        <v>4386</v>
      </c>
      <c r="F146" s="0" t="s">
        <v>5018</v>
      </c>
      <c r="G146" s="0" t="s">
        <v>5019</v>
      </c>
      <c r="H146" s="5" t="s">
        <v>1858</v>
      </c>
      <c r="I146" s="0" t="s">
        <v>5020</v>
      </c>
      <c r="J146" s="0" t="s">
        <v>676</v>
      </c>
      <c r="K146" s="5" t="s">
        <v>4435</v>
      </c>
      <c r="L146" s="0" t="s">
        <v>5021</v>
      </c>
    </row>
    <row r="147" customFormat="false" ht="17.15" hidden="false" customHeight="false" outlineLevel="0" collapsed="false">
      <c r="A147" s="0" t="s">
        <v>5022</v>
      </c>
      <c r="B147" s="0" t="s">
        <v>1291</v>
      </c>
      <c r="C147" s="0" t="s">
        <v>5023</v>
      </c>
      <c r="D147" s="0" t="s">
        <v>4913</v>
      </c>
      <c r="E147" s="0" t="s">
        <v>4386</v>
      </c>
      <c r="F147" s="0" t="s">
        <v>5024</v>
      </c>
      <c r="G147" s="0" t="s">
        <v>5025</v>
      </c>
      <c r="H147" s="5" t="s">
        <v>1858</v>
      </c>
      <c r="K147" s="0" t="s">
        <v>35</v>
      </c>
      <c r="L147" s="0" t="s">
        <v>5026</v>
      </c>
    </row>
    <row r="148" customFormat="false" ht="17.15" hidden="false" customHeight="false" outlineLevel="0" collapsed="false">
      <c r="A148" s="0" t="s">
        <v>5027</v>
      </c>
      <c r="B148" s="0" t="s">
        <v>5028</v>
      </c>
      <c r="C148" s="0" t="s">
        <v>5029</v>
      </c>
      <c r="D148" s="0" t="s">
        <v>5030</v>
      </c>
      <c r="E148" s="0" t="s">
        <v>4386</v>
      </c>
      <c r="F148" s="0" t="s">
        <v>4505</v>
      </c>
      <c r="G148" s="0" t="s">
        <v>5031</v>
      </c>
      <c r="H148" s="5" t="s">
        <v>1704</v>
      </c>
      <c r="K148" s="0" t="s">
        <v>35</v>
      </c>
      <c r="L148" s="0" t="s">
        <v>4508</v>
      </c>
    </row>
    <row r="149" customFormat="false" ht="17.15" hidden="false" customHeight="false" outlineLevel="0" collapsed="false">
      <c r="A149" s="12" t="s">
        <v>5032</v>
      </c>
      <c r="B149" s="12" t="s">
        <v>5033</v>
      </c>
      <c r="C149" s="12" t="s">
        <v>5034</v>
      </c>
      <c r="D149" s="12" t="s">
        <v>5035</v>
      </c>
      <c r="E149" s="12" t="s">
        <v>4386</v>
      </c>
      <c r="F149" s="12" t="s">
        <v>4512</v>
      </c>
      <c r="G149" s="12" t="s">
        <v>4513</v>
      </c>
      <c r="H149" s="13" t="s">
        <v>1887</v>
      </c>
      <c r="I149" s="13" t="s">
        <v>5036</v>
      </c>
      <c r="J149" s="12"/>
      <c r="K149" s="12" t="s">
        <v>35</v>
      </c>
      <c r="L149" s="12" t="s">
        <v>4515</v>
      </c>
    </row>
    <row r="150" customFormat="false" ht="17.15" hidden="false" customHeight="false" outlineLevel="0" collapsed="false">
      <c r="A150" s="0" t="s">
        <v>5037</v>
      </c>
      <c r="B150" s="0" t="s">
        <v>5038</v>
      </c>
      <c r="C150" s="0" t="s">
        <v>5039</v>
      </c>
      <c r="D150" s="0" t="s">
        <v>5040</v>
      </c>
      <c r="E150" s="0" t="s">
        <v>111</v>
      </c>
      <c r="F150" s="0" t="s">
        <v>5041</v>
      </c>
      <c r="G150" s="0" t="s">
        <v>4937</v>
      </c>
      <c r="H150" s="5" t="s">
        <v>1858</v>
      </c>
      <c r="K150" s="0" t="s">
        <v>35</v>
      </c>
      <c r="L150" s="0" t="s">
        <v>5042</v>
      </c>
    </row>
    <row r="151" customFormat="false" ht="17.15" hidden="false" customHeight="false" outlineLevel="0" collapsed="false">
      <c r="A151" s="0" t="s">
        <v>5043</v>
      </c>
      <c r="B151" s="0" t="s">
        <v>5038</v>
      </c>
      <c r="C151" s="0" t="s">
        <v>5044</v>
      </c>
      <c r="D151" s="0" t="s">
        <v>4993</v>
      </c>
      <c r="E151" s="0" t="s">
        <v>4386</v>
      </c>
      <c r="F151" s="0" t="s">
        <v>4585</v>
      </c>
      <c r="G151" s="0" t="s">
        <v>5045</v>
      </c>
      <c r="H151" s="5" t="s">
        <v>1858</v>
      </c>
      <c r="K151" s="0" t="s">
        <v>35</v>
      </c>
      <c r="L151" s="0" t="s">
        <v>5046</v>
      </c>
    </row>
    <row r="152" customFormat="false" ht="17.15" hidden="false" customHeight="false" outlineLevel="0" collapsed="false">
      <c r="A152" s="0" t="s">
        <v>5047</v>
      </c>
      <c r="B152" s="0" t="s">
        <v>5048</v>
      </c>
      <c r="C152" s="0" t="s">
        <v>5049</v>
      </c>
      <c r="D152" s="0" t="s">
        <v>5050</v>
      </c>
      <c r="E152" s="0" t="s">
        <v>4386</v>
      </c>
      <c r="F152" s="0" t="s">
        <v>2338</v>
      </c>
      <c r="G152" s="0" t="s">
        <v>5051</v>
      </c>
      <c r="H152" s="5" t="s">
        <v>1704</v>
      </c>
      <c r="I152" s="0" t="s">
        <v>5052</v>
      </c>
      <c r="J152" s="0" t="s">
        <v>200</v>
      </c>
      <c r="K152" s="5" t="s">
        <v>1851</v>
      </c>
      <c r="L152" s="0" t="s">
        <v>2340</v>
      </c>
    </row>
    <row r="153" customFormat="false" ht="17.15" hidden="false" customHeight="false" outlineLevel="0" collapsed="false">
      <c r="A153" s="12" t="s">
        <v>5053</v>
      </c>
      <c r="B153" s="12" t="s">
        <v>5054</v>
      </c>
      <c r="C153" s="12" t="s">
        <v>5055</v>
      </c>
      <c r="D153" s="12" t="s">
        <v>5056</v>
      </c>
      <c r="E153" s="12" t="s">
        <v>4386</v>
      </c>
      <c r="F153" s="12" t="s">
        <v>5057</v>
      </c>
      <c r="G153" s="12" t="s">
        <v>5058</v>
      </c>
      <c r="H153" s="13" t="s">
        <v>1887</v>
      </c>
      <c r="I153" s="12" t="s">
        <v>5059</v>
      </c>
      <c r="J153" s="12" t="s">
        <v>532</v>
      </c>
      <c r="K153" s="13" t="s">
        <v>4435</v>
      </c>
      <c r="L153" s="12" t="s">
        <v>5060</v>
      </c>
    </row>
    <row r="154" customFormat="false" ht="17.15" hidden="false" customHeight="false" outlineLevel="0" collapsed="false">
      <c r="A154" s="0" t="s">
        <v>5061</v>
      </c>
      <c r="B154" s="0" t="s">
        <v>5062</v>
      </c>
      <c r="C154" s="0" t="s">
        <v>5063</v>
      </c>
      <c r="D154" s="0" t="s">
        <v>5064</v>
      </c>
      <c r="E154" s="0" t="s">
        <v>4386</v>
      </c>
      <c r="F154" s="0" t="s">
        <v>5065</v>
      </c>
      <c r="G154" s="0" t="s">
        <v>141</v>
      </c>
      <c r="H154" s="5" t="s">
        <v>1858</v>
      </c>
      <c r="J154" s="0" t="s">
        <v>685</v>
      </c>
      <c r="K154" s="5" t="s">
        <v>4519</v>
      </c>
      <c r="L154" s="0" t="s">
        <v>5066</v>
      </c>
    </row>
    <row r="155" customFormat="false" ht="17.15" hidden="false" customHeight="false" outlineLevel="0" collapsed="false">
      <c r="A155" s="0" t="s">
        <v>5067</v>
      </c>
      <c r="B155" s="0" t="s">
        <v>5068</v>
      </c>
      <c r="C155" s="0" t="s">
        <v>5069</v>
      </c>
      <c r="D155" s="0" t="s">
        <v>5070</v>
      </c>
      <c r="E155" s="0" t="s">
        <v>111</v>
      </c>
      <c r="F155" s="0" t="s">
        <v>5071</v>
      </c>
      <c r="G155" s="0" t="s">
        <v>5072</v>
      </c>
      <c r="H155" s="5" t="s">
        <v>1712</v>
      </c>
      <c r="I155" s="5" t="s">
        <v>5073</v>
      </c>
      <c r="J155" s="0" t="s">
        <v>4855</v>
      </c>
      <c r="K155" s="5" t="s">
        <v>1851</v>
      </c>
      <c r="L155" s="0" t="s">
        <v>4856</v>
      </c>
    </row>
    <row r="156" customFormat="false" ht="17.15" hidden="false" customHeight="false" outlineLevel="0" collapsed="false">
      <c r="A156" s="0" t="s">
        <v>5074</v>
      </c>
      <c r="B156" s="0" t="s">
        <v>5075</v>
      </c>
      <c r="C156" s="0" t="s">
        <v>5076</v>
      </c>
      <c r="D156" s="0" t="s">
        <v>5077</v>
      </c>
      <c r="E156" s="0" t="s">
        <v>4386</v>
      </c>
      <c r="F156" s="0" t="s">
        <v>4737</v>
      </c>
      <c r="G156" s="0" t="s">
        <v>5025</v>
      </c>
      <c r="H156" s="5" t="s">
        <v>1858</v>
      </c>
      <c r="I156" s="0" t="s">
        <v>5078</v>
      </c>
      <c r="K156" s="0" t="s">
        <v>35</v>
      </c>
      <c r="L156" s="0" t="s">
        <v>5079</v>
      </c>
    </row>
    <row r="157" customFormat="false" ht="17.15" hidden="false" customHeight="false" outlineLevel="0" collapsed="false">
      <c r="A157" s="0" t="s">
        <v>5080</v>
      </c>
      <c r="B157" s="0" t="s">
        <v>5081</v>
      </c>
      <c r="C157" s="0" t="s">
        <v>5082</v>
      </c>
      <c r="D157" s="0" t="s">
        <v>5083</v>
      </c>
      <c r="E157" s="0" t="s">
        <v>4386</v>
      </c>
      <c r="F157" s="0" t="s">
        <v>4812</v>
      </c>
      <c r="G157" s="0" t="s">
        <v>5084</v>
      </c>
      <c r="H157" s="5" t="s">
        <v>1858</v>
      </c>
      <c r="K157" s="0" t="s">
        <v>35</v>
      </c>
      <c r="L157" s="0" t="s">
        <v>5085</v>
      </c>
    </row>
    <row r="158" customFormat="false" ht="17.15" hidden="false" customHeight="false" outlineLevel="0" collapsed="false">
      <c r="A158" s="0" t="s">
        <v>5086</v>
      </c>
      <c r="B158" s="0" t="s">
        <v>5087</v>
      </c>
      <c r="C158" s="0" t="s">
        <v>5088</v>
      </c>
      <c r="D158" s="0" t="s">
        <v>5089</v>
      </c>
      <c r="E158" s="0" t="s">
        <v>4386</v>
      </c>
      <c r="F158" s="0" t="s">
        <v>4838</v>
      </c>
      <c r="G158" s="0" t="s">
        <v>5090</v>
      </c>
      <c r="H158" s="5" t="s">
        <v>1858</v>
      </c>
      <c r="K158" s="0" t="s">
        <v>35</v>
      </c>
      <c r="L158" s="0" t="s">
        <v>5091</v>
      </c>
    </row>
    <row r="159" customFormat="false" ht="17.15" hidden="false" customHeight="false" outlineLevel="0" collapsed="false">
      <c r="A159" s="0" t="s">
        <v>5092</v>
      </c>
      <c r="B159" s="0" t="s">
        <v>5093</v>
      </c>
      <c r="C159" s="0" t="s">
        <v>5094</v>
      </c>
      <c r="D159" s="0" t="s">
        <v>5095</v>
      </c>
      <c r="E159" s="0" t="s">
        <v>4386</v>
      </c>
      <c r="F159" s="0" t="s">
        <v>5071</v>
      </c>
      <c r="G159" s="0" t="s">
        <v>141</v>
      </c>
      <c r="H159" s="5" t="s">
        <v>1858</v>
      </c>
      <c r="K159" s="0" t="s">
        <v>35</v>
      </c>
      <c r="L159" s="0" t="s">
        <v>5096</v>
      </c>
    </row>
    <row r="160" customFormat="false" ht="17.15" hidden="false" customHeight="false" outlineLevel="0" collapsed="false">
      <c r="A160" s="0" t="s">
        <v>5097</v>
      </c>
      <c r="B160" s="0" t="s">
        <v>5098</v>
      </c>
      <c r="C160" s="0" t="s">
        <v>5099</v>
      </c>
      <c r="D160" s="0" t="s">
        <v>4518</v>
      </c>
      <c r="E160" s="0" t="s">
        <v>4386</v>
      </c>
      <c r="F160" s="0" t="s">
        <v>4457</v>
      </c>
      <c r="G160" s="0" t="s">
        <v>5100</v>
      </c>
      <c r="H160" s="5" t="s">
        <v>1858</v>
      </c>
      <c r="J160" s="0" t="s">
        <v>682</v>
      </c>
      <c r="K160" s="5" t="s">
        <v>4519</v>
      </c>
      <c r="L160" s="0" t="s">
        <v>5101</v>
      </c>
    </row>
    <row r="161" customFormat="false" ht="17.15" hidden="false" customHeight="false" outlineLevel="0" collapsed="false">
      <c r="A161" s="0" t="s">
        <v>5102</v>
      </c>
      <c r="B161" s="0" t="s">
        <v>5103</v>
      </c>
      <c r="C161" s="0" t="s">
        <v>5104</v>
      </c>
      <c r="D161" s="0" t="s">
        <v>4986</v>
      </c>
      <c r="E161" s="0" t="s">
        <v>4386</v>
      </c>
      <c r="F161" s="0" t="s">
        <v>4534</v>
      </c>
      <c r="G161" s="0" t="s">
        <v>5105</v>
      </c>
      <c r="H161" s="5" t="s">
        <v>1858</v>
      </c>
      <c r="K161" s="0" t="s">
        <v>35</v>
      </c>
      <c r="L161" s="0" t="s">
        <v>5106</v>
      </c>
    </row>
    <row r="162" customFormat="false" ht="17.15" hidden="false" customHeight="false" outlineLevel="0" collapsed="false">
      <c r="A162" s="0" t="s">
        <v>5107</v>
      </c>
      <c r="B162" s="0" t="s">
        <v>5108</v>
      </c>
      <c r="C162" s="0" t="s">
        <v>5109</v>
      </c>
      <c r="D162" s="0" t="s">
        <v>4467</v>
      </c>
      <c r="E162" s="0" t="s">
        <v>4386</v>
      </c>
      <c r="F162" s="0" t="s">
        <v>5110</v>
      </c>
      <c r="G162" s="0" t="s">
        <v>5111</v>
      </c>
      <c r="H162" s="5" t="s">
        <v>1858</v>
      </c>
      <c r="K162" s="0" t="s">
        <v>35</v>
      </c>
      <c r="L162" s="0" t="s">
        <v>5112</v>
      </c>
    </row>
    <row r="163" customFormat="false" ht="17.15" hidden="false" customHeight="false" outlineLevel="0" collapsed="false">
      <c r="A163" s="0" t="s">
        <v>5113</v>
      </c>
      <c r="B163" s="0" t="s">
        <v>1292</v>
      </c>
      <c r="C163" s="0" t="s">
        <v>5114</v>
      </c>
      <c r="D163" s="0" t="s">
        <v>5115</v>
      </c>
      <c r="E163" s="0" t="s">
        <v>4386</v>
      </c>
      <c r="F163" s="0" t="s">
        <v>5116</v>
      </c>
      <c r="G163" s="0" t="s">
        <v>5117</v>
      </c>
      <c r="H163" s="5" t="s">
        <v>1704</v>
      </c>
      <c r="K163" s="0" t="s">
        <v>35</v>
      </c>
      <c r="L163" s="0" t="s">
        <v>5118</v>
      </c>
    </row>
    <row r="164" customFormat="false" ht="17.15" hidden="false" customHeight="false" outlineLevel="0" collapsed="false">
      <c r="A164" s="0" t="s">
        <v>5119</v>
      </c>
      <c r="B164" s="0" t="s">
        <v>1292</v>
      </c>
      <c r="C164" s="0" t="s">
        <v>5120</v>
      </c>
      <c r="D164" s="0" t="s">
        <v>4993</v>
      </c>
      <c r="E164" s="0" t="s">
        <v>4386</v>
      </c>
      <c r="F164" s="0" t="s">
        <v>5121</v>
      </c>
      <c r="G164" s="0" t="s">
        <v>5122</v>
      </c>
      <c r="H164" s="5" t="s">
        <v>1704</v>
      </c>
      <c r="J164" s="0" t="s">
        <v>471</v>
      </c>
      <c r="K164" s="5" t="s">
        <v>1851</v>
      </c>
      <c r="L164" s="0" t="s">
        <v>5123</v>
      </c>
    </row>
    <row r="165" customFormat="false" ht="17.15" hidden="false" customHeight="false" outlineLevel="0" collapsed="false">
      <c r="A165" s="0" t="s">
        <v>5124</v>
      </c>
      <c r="B165" s="0" t="s">
        <v>5125</v>
      </c>
      <c r="C165" s="0" t="s">
        <v>5126</v>
      </c>
      <c r="D165" s="0" t="s">
        <v>5127</v>
      </c>
      <c r="E165" s="0" t="s">
        <v>5128</v>
      </c>
      <c r="F165" s="0" t="s">
        <v>119</v>
      </c>
      <c r="G165" s="0" t="s">
        <v>5129</v>
      </c>
      <c r="H165" s="5" t="s">
        <v>1704</v>
      </c>
      <c r="J165" s="0" t="s">
        <v>5130</v>
      </c>
      <c r="K165" s="5" t="s">
        <v>1851</v>
      </c>
      <c r="L165" s="0" t="s">
        <v>5131</v>
      </c>
    </row>
    <row r="166" customFormat="false" ht="17.15" hidden="false" customHeight="false" outlineLevel="0" collapsed="false">
      <c r="A166" s="0" t="s">
        <v>5132</v>
      </c>
      <c r="B166" s="0" t="s">
        <v>5125</v>
      </c>
      <c r="C166" s="0" t="s">
        <v>5133</v>
      </c>
      <c r="D166" s="0" t="s">
        <v>5134</v>
      </c>
      <c r="E166" s="0" t="s">
        <v>111</v>
      </c>
      <c r="F166" s="0" t="s">
        <v>5135</v>
      </c>
      <c r="G166" s="0" t="s">
        <v>4937</v>
      </c>
      <c r="H166" s="5" t="s">
        <v>1712</v>
      </c>
      <c r="I166" s="0" t="s">
        <v>5136</v>
      </c>
      <c r="J166" s="0" t="s">
        <v>5137</v>
      </c>
      <c r="K166" s="5" t="s">
        <v>1851</v>
      </c>
      <c r="L166" s="0" t="s">
        <v>5138</v>
      </c>
    </row>
    <row r="167" customFormat="false" ht="17.15" hidden="false" customHeight="false" outlineLevel="0" collapsed="false">
      <c r="A167" s="0" t="s">
        <v>5139</v>
      </c>
      <c r="B167" s="0" t="s">
        <v>5125</v>
      </c>
      <c r="C167" s="0" t="s">
        <v>5140</v>
      </c>
      <c r="D167" s="0" t="s">
        <v>4771</v>
      </c>
      <c r="E167" s="0" t="s">
        <v>4386</v>
      </c>
      <c r="F167" s="0" t="s">
        <v>2485</v>
      </c>
      <c r="G167" s="0" t="s">
        <v>5141</v>
      </c>
      <c r="H167" s="5" t="s">
        <v>1704</v>
      </c>
      <c r="K167" s="0" t="s">
        <v>35</v>
      </c>
      <c r="L167" s="0" t="s">
        <v>5060</v>
      </c>
    </row>
    <row r="168" customFormat="false" ht="17.15" hidden="false" customHeight="false" outlineLevel="0" collapsed="false">
      <c r="A168" s="0" t="s">
        <v>5142</v>
      </c>
      <c r="B168" s="0" t="s">
        <v>5143</v>
      </c>
      <c r="C168" s="0" t="s">
        <v>5144</v>
      </c>
      <c r="D168" s="0" t="s">
        <v>4467</v>
      </c>
      <c r="E168" s="0" t="s">
        <v>4386</v>
      </c>
      <c r="F168" s="0" t="s">
        <v>5145</v>
      </c>
      <c r="G168" s="0" t="s">
        <v>5146</v>
      </c>
      <c r="H168" s="5" t="s">
        <v>1704</v>
      </c>
      <c r="J168" s="0" t="s">
        <v>532</v>
      </c>
      <c r="K168" s="5" t="s">
        <v>1851</v>
      </c>
      <c r="L168" s="0" t="s">
        <v>5147</v>
      </c>
    </row>
    <row r="169" customFormat="false" ht="17.15" hidden="false" customHeight="false" outlineLevel="0" collapsed="false">
      <c r="A169" s="0" t="s">
        <v>5148</v>
      </c>
      <c r="B169" s="5" t="s">
        <v>5149</v>
      </c>
      <c r="C169" s="5" t="s">
        <v>5150</v>
      </c>
      <c r="D169" s="0" t="s">
        <v>5151</v>
      </c>
      <c r="E169" s="0" t="s">
        <v>4386</v>
      </c>
      <c r="F169" s="0" t="s">
        <v>119</v>
      </c>
      <c r="G169" s="0" t="s">
        <v>5152</v>
      </c>
      <c r="H169" s="5" t="s">
        <v>1858</v>
      </c>
      <c r="K169" s="0" t="s">
        <v>35</v>
      </c>
      <c r="L169" s="0" t="s">
        <v>5153</v>
      </c>
    </row>
    <row r="170" customFormat="false" ht="17.15" hidden="false" customHeight="false" outlineLevel="0" collapsed="false">
      <c r="A170" s="0" t="s">
        <v>5154</v>
      </c>
      <c r="B170" s="5" t="s">
        <v>5149</v>
      </c>
      <c r="C170" s="5" t="s">
        <v>5155</v>
      </c>
      <c r="D170" s="0" t="s">
        <v>5156</v>
      </c>
      <c r="E170" s="0" t="s">
        <v>4386</v>
      </c>
      <c r="F170" s="0" t="s">
        <v>2204</v>
      </c>
      <c r="G170" s="0" t="s">
        <v>5157</v>
      </c>
      <c r="H170" s="5" t="s">
        <v>1704</v>
      </c>
      <c r="J170" s="0" t="s">
        <v>5158</v>
      </c>
      <c r="K170" s="5" t="s">
        <v>1851</v>
      </c>
      <c r="L170" s="0" t="s">
        <v>5159</v>
      </c>
    </row>
    <row r="171" customFormat="false" ht="17.15" hidden="false" customHeight="false" outlineLevel="0" collapsed="false">
      <c r="A171" s="0" t="s">
        <v>5160</v>
      </c>
      <c r="B171" s="5" t="s">
        <v>5161</v>
      </c>
      <c r="C171" s="5" t="s">
        <v>5162</v>
      </c>
      <c r="D171" s="0" t="s">
        <v>5163</v>
      </c>
      <c r="E171" s="0" t="s">
        <v>4386</v>
      </c>
      <c r="F171" s="0" t="s">
        <v>5164</v>
      </c>
      <c r="G171" s="0" t="s">
        <v>5165</v>
      </c>
      <c r="H171" s="5" t="s">
        <v>1858</v>
      </c>
      <c r="K171" s="0" t="s">
        <v>35</v>
      </c>
      <c r="L171" s="0" t="s">
        <v>5166</v>
      </c>
    </row>
    <row r="172" customFormat="false" ht="17.15" hidden="false" customHeight="false" outlineLevel="0" collapsed="false">
      <c r="A172" s="0" t="s">
        <v>5167</v>
      </c>
      <c r="B172" s="5" t="s">
        <v>5168</v>
      </c>
      <c r="C172" s="5" t="s">
        <v>5169</v>
      </c>
      <c r="D172" s="0" t="s">
        <v>5170</v>
      </c>
      <c r="E172" s="0" t="s">
        <v>4386</v>
      </c>
      <c r="F172" s="0" t="s">
        <v>119</v>
      </c>
      <c r="G172" s="0" t="s">
        <v>5171</v>
      </c>
      <c r="H172" s="5" t="s">
        <v>1858</v>
      </c>
      <c r="K172" s="0" t="s">
        <v>35</v>
      </c>
      <c r="L172" s="0" t="s">
        <v>5172</v>
      </c>
    </row>
    <row r="173" customFormat="false" ht="17.15" hidden="false" customHeight="false" outlineLevel="0" collapsed="false">
      <c r="A173" s="0" t="s">
        <v>5173</v>
      </c>
      <c r="B173" s="5" t="s">
        <v>5174</v>
      </c>
      <c r="C173" s="5" t="s">
        <v>5175</v>
      </c>
      <c r="D173" s="0" t="s">
        <v>5176</v>
      </c>
      <c r="E173" s="0" t="s">
        <v>4386</v>
      </c>
      <c r="F173" s="0" t="s">
        <v>119</v>
      </c>
      <c r="G173" s="0" t="s">
        <v>5177</v>
      </c>
      <c r="H173" s="5" t="s">
        <v>1858</v>
      </c>
      <c r="K173" s="0" t="s">
        <v>35</v>
      </c>
      <c r="L173" s="0" t="s">
        <v>5178</v>
      </c>
    </row>
    <row r="174" customFormat="false" ht="17.15" hidden="false" customHeight="false" outlineLevel="0" collapsed="false">
      <c r="A174" s="0" t="s">
        <v>5179</v>
      </c>
      <c r="B174" s="5" t="s">
        <v>5180</v>
      </c>
      <c r="C174" s="5" t="s">
        <v>5181</v>
      </c>
      <c r="D174" s="0" t="s">
        <v>5182</v>
      </c>
      <c r="E174" s="0" t="s">
        <v>4386</v>
      </c>
      <c r="F174" s="0" t="s">
        <v>4457</v>
      </c>
      <c r="G174" s="0" t="s">
        <v>5183</v>
      </c>
      <c r="H174" s="5" t="s">
        <v>1858</v>
      </c>
      <c r="K174" s="0" t="s">
        <v>35</v>
      </c>
      <c r="L174" s="0" t="s">
        <v>5184</v>
      </c>
    </row>
    <row r="175" customFormat="false" ht="17.15" hidden="false" customHeight="false" outlineLevel="0" collapsed="false">
      <c r="A175" s="0" t="s">
        <v>5185</v>
      </c>
      <c r="B175" s="5" t="s">
        <v>5186</v>
      </c>
      <c r="C175" s="5" t="s">
        <v>5187</v>
      </c>
      <c r="D175" s="0" t="s">
        <v>5188</v>
      </c>
      <c r="E175" s="0" t="s">
        <v>5189</v>
      </c>
      <c r="F175" s="0" t="s">
        <v>5190</v>
      </c>
      <c r="G175" s="0" t="s">
        <v>5191</v>
      </c>
      <c r="H175" s="5" t="s">
        <v>1858</v>
      </c>
      <c r="K175" s="0" t="s">
        <v>35</v>
      </c>
      <c r="L175" s="0" t="s">
        <v>5192</v>
      </c>
    </row>
    <row r="176" customFormat="false" ht="17.15" hidden="false" customHeight="false" outlineLevel="0" collapsed="false">
      <c r="A176" s="0" t="s">
        <v>5193</v>
      </c>
      <c r="B176" s="5" t="s">
        <v>5194</v>
      </c>
      <c r="C176" s="5" t="s">
        <v>5195</v>
      </c>
      <c r="D176" s="0" t="s">
        <v>5196</v>
      </c>
      <c r="E176" s="0" t="s">
        <v>5189</v>
      </c>
      <c r="F176" s="0" t="s">
        <v>5197</v>
      </c>
      <c r="G176" s="0" t="s">
        <v>5025</v>
      </c>
      <c r="H176" s="5" t="s">
        <v>1858</v>
      </c>
      <c r="J176" s="0" t="s">
        <v>179</v>
      </c>
      <c r="K176" s="5" t="s">
        <v>4435</v>
      </c>
      <c r="L176" s="0" t="s">
        <v>5198</v>
      </c>
    </row>
    <row r="177" customFormat="false" ht="17.15" hidden="false" customHeight="false" outlineLevel="0" collapsed="false">
      <c r="A177" s="0" t="s">
        <v>5199</v>
      </c>
      <c r="B177" s="0" t="s">
        <v>5200</v>
      </c>
      <c r="C177" s="0" t="s">
        <v>5201</v>
      </c>
      <c r="D177" s="0" t="s">
        <v>4877</v>
      </c>
      <c r="E177" s="0" t="s">
        <v>4386</v>
      </c>
      <c r="F177" s="0" t="s">
        <v>5202</v>
      </c>
      <c r="G177" s="0" t="s">
        <v>5203</v>
      </c>
      <c r="H177" s="5" t="s">
        <v>1704</v>
      </c>
      <c r="J177" s="0" t="s">
        <v>5204</v>
      </c>
      <c r="K177" s="5" t="s">
        <v>1851</v>
      </c>
      <c r="L177" s="0" t="s">
        <v>5205</v>
      </c>
    </row>
    <row r="178" customFormat="false" ht="17.15" hidden="false" customHeight="false" outlineLevel="0" collapsed="false">
      <c r="A178" s="0" t="s">
        <v>5206</v>
      </c>
      <c r="B178" s="0" t="s">
        <v>5207</v>
      </c>
      <c r="C178" s="0" t="s">
        <v>5208</v>
      </c>
      <c r="D178" s="0" t="s">
        <v>4993</v>
      </c>
      <c r="E178" s="0" t="s">
        <v>4386</v>
      </c>
      <c r="F178" s="0" t="s">
        <v>5209</v>
      </c>
      <c r="G178" s="0" t="s">
        <v>141</v>
      </c>
      <c r="H178" s="5" t="s">
        <v>1858</v>
      </c>
      <c r="K178" s="0" t="s">
        <v>35</v>
      </c>
      <c r="L178" s="0" t="s">
        <v>5210</v>
      </c>
    </row>
    <row r="179" customFormat="false" ht="17.15" hidden="false" customHeight="false" outlineLevel="0" collapsed="false">
      <c r="A179" s="0" t="s">
        <v>5211</v>
      </c>
      <c r="B179" s="5" t="s">
        <v>5212</v>
      </c>
      <c r="C179" s="5" t="s">
        <v>5213</v>
      </c>
      <c r="D179" s="0" t="s">
        <v>5214</v>
      </c>
      <c r="E179" s="0" t="s">
        <v>4386</v>
      </c>
      <c r="F179" s="0" t="s">
        <v>4548</v>
      </c>
      <c r="G179" s="0" t="s">
        <v>5215</v>
      </c>
      <c r="H179" s="5" t="s">
        <v>1858</v>
      </c>
      <c r="K179" s="0" t="s">
        <v>35</v>
      </c>
      <c r="L179" s="0" t="s">
        <v>5216</v>
      </c>
    </row>
    <row r="180" customFormat="false" ht="17.15" hidden="false" customHeight="false" outlineLevel="0" collapsed="false">
      <c r="A180" s="0" t="s">
        <v>5217</v>
      </c>
      <c r="B180" s="0" t="s">
        <v>5218</v>
      </c>
      <c r="C180" s="0" t="s">
        <v>5219</v>
      </c>
      <c r="D180" s="0" t="s">
        <v>5127</v>
      </c>
      <c r="E180" s="0" t="s">
        <v>4386</v>
      </c>
      <c r="F180" s="0" t="s">
        <v>4457</v>
      </c>
      <c r="G180" s="0" t="s">
        <v>141</v>
      </c>
      <c r="H180" s="5" t="s">
        <v>1858</v>
      </c>
      <c r="J180" s="0" t="s">
        <v>679</v>
      </c>
      <c r="K180" s="5" t="s">
        <v>4435</v>
      </c>
      <c r="L180" s="0" t="s">
        <v>5220</v>
      </c>
    </row>
    <row r="181" customFormat="false" ht="17.15" hidden="false" customHeight="false" outlineLevel="0" collapsed="false">
      <c r="A181" s="0" t="s">
        <v>5221</v>
      </c>
      <c r="B181" s="0" t="s">
        <v>5222</v>
      </c>
      <c r="C181" s="0" t="s">
        <v>5223</v>
      </c>
      <c r="D181" s="0" t="s">
        <v>5050</v>
      </c>
      <c r="E181" s="0" t="s">
        <v>4386</v>
      </c>
      <c r="F181" s="0" t="s">
        <v>1720</v>
      </c>
      <c r="G181" s="0" t="s">
        <v>141</v>
      </c>
      <c r="H181" s="5" t="s">
        <v>1858</v>
      </c>
      <c r="K181" s="0" t="s">
        <v>35</v>
      </c>
      <c r="L181" s="0" t="s">
        <v>5224</v>
      </c>
    </row>
    <row r="182" customFormat="false" ht="17.15" hidden="false" customHeight="false" outlineLevel="0" collapsed="false">
      <c r="A182" s="0" t="s">
        <v>5225</v>
      </c>
      <c r="B182" s="5" t="s">
        <v>5226</v>
      </c>
      <c r="C182" s="5" t="s">
        <v>5227</v>
      </c>
      <c r="D182" s="0" t="s">
        <v>5228</v>
      </c>
      <c r="E182" s="0" t="s">
        <v>5229</v>
      </c>
      <c r="F182" s="0" t="s">
        <v>2204</v>
      </c>
      <c r="G182" s="0" t="s">
        <v>5230</v>
      </c>
      <c r="H182" s="5" t="s">
        <v>1704</v>
      </c>
      <c r="J182" s="0" t="s">
        <v>475</v>
      </c>
      <c r="K182" s="5" t="s">
        <v>1851</v>
      </c>
      <c r="L182" s="0" t="s">
        <v>5231</v>
      </c>
    </row>
    <row r="183" customFormat="false" ht="17.15" hidden="false" customHeight="false" outlineLevel="0" collapsed="false">
      <c r="A183" s="0" t="s">
        <v>5232</v>
      </c>
      <c r="B183" s="5" t="s">
        <v>5226</v>
      </c>
      <c r="C183" s="5" t="s">
        <v>5233</v>
      </c>
      <c r="D183" s="0" t="s">
        <v>5234</v>
      </c>
      <c r="E183" s="0" t="s">
        <v>5189</v>
      </c>
      <c r="F183" s="0" t="s">
        <v>2204</v>
      </c>
      <c r="G183" s="0" t="s">
        <v>4937</v>
      </c>
      <c r="H183" s="5" t="s">
        <v>1704</v>
      </c>
      <c r="I183" s="0" t="s">
        <v>5235</v>
      </c>
      <c r="K183" s="0" t="s">
        <v>35</v>
      </c>
      <c r="L183" s="0" t="s">
        <v>4892</v>
      </c>
    </row>
    <row r="184" customFormat="false" ht="17.15" hidden="false" customHeight="false" outlineLevel="0" collapsed="false">
      <c r="A184" s="0" t="s">
        <v>5236</v>
      </c>
      <c r="B184" s="5" t="s">
        <v>5237</v>
      </c>
      <c r="C184" s="5" t="s">
        <v>5238</v>
      </c>
      <c r="D184" s="0" t="s">
        <v>5239</v>
      </c>
      <c r="E184" s="0" t="s">
        <v>5240</v>
      </c>
      <c r="F184" s="0" t="s">
        <v>23</v>
      </c>
      <c r="G184" s="0" t="s">
        <v>5241</v>
      </c>
      <c r="H184" s="5" t="s">
        <v>1704</v>
      </c>
      <c r="K184" s="0" t="s">
        <v>35</v>
      </c>
      <c r="L184" s="0" t="s">
        <v>5242</v>
      </c>
    </row>
    <row r="185" customFormat="false" ht="17.15" hidden="false" customHeight="false" outlineLevel="0" collapsed="false">
      <c r="A185" s="0" t="s">
        <v>5243</v>
      </c>
      <c r="B185" s="5" t="s">
        <v>5244</v>
      </c>
      <c r="C185" s="5" t="s">
        <v>5245</v>
      </c>
      <c r="D185" s="0" t="s">
        <v>5246</v>
      </c>
      <c r="E185" s="0" t="s">
        <v>5240</v>
      </c>
      <c r="F185" s="0" t="s">
        <v>21</v>
      </c>
      <c r="G185" s="0" t="s">
        <v>5247</v>
      </c>
      <c r="H185" s="5" t="s">
        <v>1858</v>
      </c>
      <c r="K185" s="0" t="s">
        <v>35</v>
      </c>
      <c r="L185" s="0" t="s">
        <v>5248</v>
      </c>
    </row>
    <row r="186" customFormat="false" ht="17.15" hidden="false" customHeight="false" outlineLevel="0" collapsed="false">
      <c r="A186" s="0" t="s">
        <v>5249</v>
      </c>
      <c r="B186" s="5" t="s">
        <v>5250</v>
      </c>
      <c r="C186" s="5" t="s">
        <v>5251</v>
      </c>
      <c r="D186" s="5" t="s">
        <v>5252</v>
      </c>
      <c r="E186" s="0" t="s">
        <v>4386</v>
      </c>
      <c r="F186" s="0" t="s">
        <v>5253</v>
      </c>
      <c r="G186" s="0" t="s">
        <v>5254</v>
      </c>
      <c r="H186" s="5" t="s">
        <v>1704</v>
      </c>
      <c r="J186" s="0" t="s">
        <v>478</v>
      </c>
      <c r="K186" s="5" t="s">
        <v>1851</v>
      </c>
      <c r="L186" s="0" t="s">
        <v>5255</v>
      </c>
    </row>
    <row r="187" customFormat="false" ht="17.15" hidden="false" customHeight="false" outlineLevel="0" collapsed="false">
      <c r="A187" s="0" t="s">
        <v>5256</v>
      </c>
      <c r="B187" s="5" t="s">
        <v>5257</v>
      </c>
      <c r="C187" s="5" t="s">
        <v>5258</v>
      </c>
      <c r="D187" s="0" t="s">
        <v>5259</v>
      </c>
      <c r="E187" s="0" t="s">
        <v>5260</v>
      </c>
      <c r="F187" s="0" t="s">
        <v>4534</v>
      </c>
      <c r="G187" s="0" t="s">
        <v>5261</v>
      </c>
      <c r="H187" s="5" t="s">
        <v>1858</v>
      </c>
      <c r="K187" s="0" t="s">
        <v>35</v>
      </c>
      <c r="L187" s="0" t="s">
        <v>5262</v>
      </c>
    </row>
    <row r="188" customFormat="false" ht="17.15" hidden="false" customHeight="false" outlineLevel="0" collapsed="false">
      <c r="A188" s="0" t="s">
        <v>5263</v>
      </c>
      <c r="B188" s="5" t="s">
        <v>5264</v>
      </c>
      <c r="C188" s="5" t="s">
        <v>5265</v>
      </c>
      <c r="D188" s="0" t="s">
        <v>5266</v>
      </c>
      <c r="E188" s="0" t="s">
        <v>5267</v>
      </c>
      <c r="F188" s="0" t="s">
        <v>5268</v>
      </c>
      <c r="G188" s="0" t="s">
        <v>5269</v>
      </c>
      <c r="H188" s="5" t="s">
        <v>1858</v>
      </c>
      <c r="K188" s="0" t="s">
        <v>35</v>
      </c>
      <c r="L188" s="0" t="s">
        <v>5270</v>
      </c>
    </row>
    <row r="189" customFormat="false" ht="17.15" hidden="false" customHeight="false" outlineLevel="0" collapsed="false">
      <c r="A189" s="0" t="s">
        <v>5271</v>
      </c>
      <c r="B189" s="5" t="s">
        <v>5272</v>
      </c>
      <c r="C189" s="5" t="s">
        <v>5273</v>
      </c>
      <c r="D189" s="0" t="s">
        <v>5274</v>
      </c>
      <c r="E189" s="0" t="s">
        <v>4386</v>
      </c>
      <c r="F189" s="0" t="s">
        <v>24</v>
      </c>
      <c r="G189" s="0" t="s">
        <v>5275</v>
      </c>
      <c r="H189" s="5" t="s">
        <v>1704</v>
      </c>
      <c r="K189" s="0" t="s">
        <v>35</v>
      </c>
      <c r="L189" s="0" t="s">
        <v>5276</v>
      </c>
    </row>
    <row r="190" customFormat="false" ht="17.15" hidden="false" customHeight="false" outlineLevel="0" collapsed="false">
      <c r="A190" s="0" t="s">
        <v>5277</v>
      </c>
      <c r="B190" s="5" t="s">
        <v>5278</v>
      </c>
      <c r="C190" s="5" t="s">
        <v>5279</v>
      </c>
      <c r="D190" s="0" t="s">
        <v>5280</v>
      </c>
      <c r="E190" s="0" t="s">
        <v>4386</v>
      </c>
      <c r="F190" s="0" t="s">
        <v>5281</v>
      </c>
      <c r="G190" s="0" t="s">
        <v>5282</v>
      </c>
      <c r="H190" s="5" t="s">
        <v>1858</v>
      </c>
      <c r="K190" s="0" t="s">
        <v>35</v>
      </c>
      <c r="L190" s="0" t="s">
        <v>5283</v>
      </c>
    </row>
    <row r="191" customFormat="false" ht="17.15" hidden="false" customHeight="false" outlineLevel="0" collapsed="false">
      <c r="A191" s="0" t="s">
        <v>5284</v>
      </c>
      <c r="B191" s="5" t="s">
        <v>5285</v>
      </c>
      <c r="C191" s="5" t="s">
        <v>5286</v>
      </c>
      <c r="D191" s="0" t="s">
        <v>5287</v>
      </c>
      <c r="E191" s="0" t="s">
        <v>4386</v>
      </c>
      <c r="F191" s="0" t="s">
        <v>5288</v>
      </c>
      <c r="G191" s="0" t="s">
        <v>5289</v>
      </c>
      <c r="H191" s="5" t="s">
        <v>1704</v>
      </c>
      <c r="K191" s="0" t="s">
        <v>35</v>
      </c>
      <c r="L191" s="0" t="s">
        <v>5290</v>
      </c>
    </row>
    <row r="192" customFormat="false" ht="17.15" hidden="false" customHeight="false" outlineLevel="0" collapsed="false">
      <c r="A192" s="0" t="s">
        <v>5291</v>
      </c>
      <c r="B192" s="5" t="s">
        <v>5292</v>
      </c>
      <c r="C192" s="5" t="s">
        <v>5293</v>
      </c>
      <c r="D192" s="0" t="s">
        <v>5294</v>
      </c>
      <c r="E192" s="0" t="s">
        <v>4386</v>
      </c>
      <c r="F192" s="0" t="s">
        <v>5295</v>
      </c>
      <c r="G192" s="0" t="s">
        <v>5296</v>
      </c>
      <c r="H192" s="5" t="s">
        <v>1858</v>
      </c>
      <c r="K192" s="0" t="s">
        <v>35</v>
      </c>
      <c r="L192" s="0" t="s">
        <v>5297</v>
      </c>
    </row>
    <row r="193" customFormat="false" ht="17.15" hidden="false" customHeight="false" outlineLevel="0" collapsed="false">
      <c r="A193" s="0" t="s">
        <v>5298</v>
      </c>
      <c r="B193" s="5" t="s">
        <v>5299</v>
      </c>
      <c r="C193" s="5" t="s">
        <v>5300</v>
      </c>
      <c r="D193" s="0" t="s">
        <v>5301</v>
      </c>
      <c r="F193" s="0" t="s">
        <v>5302</v>
      </c>
      <c r="G193" s="0" t="s">
        <v>5303</v>
      </c>
      <c r="H193" s="5" t="s">
        <v>1704</v>
      </c>
      <c r="J193" s="0" t="s">
        <v>96</v>
      </c>
      <c r="K193" s="5" t="s">
        <v>1851</v>
      </c>
      <c r="L193" s="0" t="s">
        <v>5304</v>
      </c>
    </row>
    <row r="194" customFormat="false" ht="17.15" hidden="false" customHeight="false" outlineLevel="0" collapsed="false">
      <c r="A194" s="0" t="s">
        <v>5305</v>
      </c>
      <c r="B194" s="5" t="s">
        <v>5306</v>
      </c>
      <c r="C194" s="5" t="s">
        <v>5307</v>
      </c>
      <c r="D194" s="0" t="s">
        <v>5308</v>
      </c>
      <c r="F194" s="0" t="s">
        <v>5302</v>
      </c>
      <c r="G194" s="0" t="s">
        <v>5309</v>
      </c>
      <c r="H194" s="5" t="s">
        <v>1704</v>
      </c>
      <c r="J194" s="0" t="s">
        <v>96</v>
      </c>
      <c r="K194" s="5" t="s">
        <v>1851</v>
      </c>
      <c r="L194" s="0" t="s">
        <v>5304</v>
      </c>
    </row>
    <row r="195" customFormat="false" ht="17.15" hidden="false" customHeight="false" outlineLevel="0" collapsed="false">
      <c r="A195" s="0" t="s">
        <v>5310</v>
      </c>
      <c r="B195" s="5" t="s">
        <v>5311</v>
      </c>
      <c r="C195" s="5" t="s">
        <v>5312</v>
      </c>
      <c r="D195" s="0" t="s">
        <v>5313</v>
      </c>
      <c r="F195" s="0" t="s">
        <v>5314</v>
      </c>
      <c r="G195" s="0" t="s">
        <v>5315</v>
      </c>
      <c r="H195" s="5" t="s">
        <v>1858</v>
      </c>
      <c r="K195" s="0" t="s">
        <v>35</v>
      </c>
      <c r="L195" s="0" t="s">
        <v>5316</v>
      </c>
    </row>
    <row r="196" customFormat="false" ht="17.15" hidden="false" customHeight="false" outlineLevel="0" collapsed="false">
      <c r="A196" s="0" t="s">
        <v>5317</v>
      </c>
      <c r="B196" s="5" t="s">
        <v>5318</v>
      </c>
      <c r="C196" s="5" t="s">
        <v>5319</v>
      </c>
      <c r="D196" s="0" t="s">
        <v>5320</v>
      </c>
      <c r="F196" s="0" t="s">
        <v>5321</v>
      </c>
      <c r="G196" s="0" t="s">
        <v>5322</v>
      </c>
      <c r="H196" s="5" t="s">
        <v>1704</v>
      </c>
      <c r="I196" s="0" t="s">
        <v>5323</v>
      </c>
      <c r="J196" s="0" t="s">
        <v>96</v>
      </c>
      <c r="K196" s="5" t="s">
        <v>1851</v>
      </c>
      <c r="L196" s="0" t="s">
        <v>5324</v>
      </c>
    </row>
    <row r="197" customFormat="false" ht="17.15" hidden="false" customHeight="false" outlineLevel="0" collapsed="false">
      <c r="A197" s="0" t="s">
        <v>5325</v>
      </c>
      <c r="B197" s="5" t="s">
        <v>5326</v>
      </c>
      <c r="C197" s="5" t="s">
        <v>5327</v>
      </c>
      <c r="D197" s="0" t="s">
        <v>5328</v>
      </c>
      <c r="F197" s="0" t="s">
        <v>5329</v>
      </c>
      <c r="G197" s="0" t="s">
        <v>5330</v>
      </c>
      <c r="H197" s="5" t="s">
        <v>1704</v>
      </c>
      <c r="K197" s="0" t="s">
        <v>35</v>
      </c>
      <c r="L197" s="0" t="s">
        <v>5331</v>
      </c>
    </row>
    <row r="198" customFormat="false" ht="17.15" hidden="false" customHeight="false" outlineLevel="0" collapsed="false">
      <c r="A198" s="0" t="s">
        <v>5332</v>
      </c>
      <c r="B198" s="5" t="s">
        <v>5333</v>
      </c>
      <c r="C198" s="5" t="s">
        <v>5334</v>
      </c>
      <c r="D198" s="0" t="s">
        <v>5335</v>
      </c>
      <c r="F198" s="0" t="s">
        <v>5336</v>
      </c>
      <c r="G198" s="0" t="s">
        <v>5337</v>
      </c>
      <c r="H198" s="5" t="s">
        <v>1712</v>
      </c>
      <c r="I198" s="5" t="s">
        <v>5338</v>
      </c>
      <c r="J198" s="0" t="s">
        <v>96</v>
      </c>
      <c r="K198" s="5" t="s">
        <v>1851</v>
      </c>
      <c r="L198" s="0" t="s">
        <v>5339</v>
      </c>
    </row>
    <row r="199" customFormat="false" ht="17.15" hidden="false" customHeight="false" outlineLevel="0" collapsed="false">
      <c r="A199" s="0" t="s">
        <v>5340</v>
      </c>
      <c r="B199" s="5" t="s">
        <v>5341</v>
      </c>
      <c r="C199" s="5" t="s">
        <v>5342</v>
      </c>
      <c r="D199" s="0" t="s">
        <v>5313</v>
      </c>
      <c r="F199" s="0" t="s">
        <v>1708</v>
      </c>
      <c r="G199" s="0" t="s">
        <v>5343</v>
      </c>
      <c r="H199" s="5" t="s">
        <v>1704</v>
      </c>
      <c r="J199" s="0" t="s">
        <v>96</v>
      </c>
      <c r="K199" s="5" t="s">
        <v>1851</v>
      </c>
      <c r="L199" s="0" t="s">
        <v>5344</v>
      </c>
    </row>
    <row r="200" customFormat="false" ht="17.15" hidden="false" customHeight="false" outlineLevel="0" collapsed="false">
      <c r="A200" s="0" t="s">
        <v>5345</v>
      </c>
      <c r="B200" s="5" t="s">
        <v>5346</v>
      </c>
      <c r="C200" s="5" t="s">
        <v>5347</v>
      </c>
      <c r="D200" s="0" t="s">
        <v>5348</v>
      </c>
      <c r="F200" s="0" t="s">
        <v>5349</v>
      </c>
      <c r="G200" s="0" t="s">
        <v>5350</v>
      </c>
      <c r="H200" s="5" t="s">
        <v>1858</v>
      </c>
      <c r="K200" s="0" t="s">
        <v>35</v>
      </c>
      <c r="L200" s="0" t="s">
        <v>5351</v>
      </c>
    </row>
    <row r="201" customFormat="false" ht="17.15" hidden="false" customHeight="false" outlineLevel="0" collapsed="false">
      <c r="A201" s="0" t="s">
        <v>5352</v>
      </c>
      <c r="B201" s="5" t="s">
        <v>5353</v>
      </c>
      <c r="C201" s="5" t="s">
        <v>5354</v>
      </c>
      <c r="D201" s="0" t="s">
        <v>5355</v>
      </c>
      <c r="F201" s="0" t="s">
        <v>5356</v>
      </c>
      <c r="G201" s="0" t="s">
        <v>5357</v>
      </c>
      <c r="H201" s="5" t="s">
        <v>1858</v>
      </c>
      <c r="I201" s="0" t="s">
        <v>5358</v>
      </c>
      <c r="K201" s="0" t="s">
        <v>35</v>
      </c>
      <c r="L201" s="0" t="s">
        <v>5359</v>
      </c>
    </row>
    <row r="202" customFormat="false" ht="17.15" hidden="false" customHeight="false" outlineLevel="0" collapsed="false">
      <c r="A202" s="0" t="s">
        <v>5360</v>
      </c>
      <c r="B202" s="5" t="s">
        <v>5361</v>
      </c>
      <c r="C202" s="5" t="s">
        <v>5362</v>
      </c>
      <c r="D202" s="0" t="s">
        <v>5363</v>
      </c>
      <c r="F202" s="0" t="s">
        <v>5364</v>
      </c>
      <c r="G202" s="0" t="s">
        <v>5365</v>
      </c>
      <c r="H202" s="5" t="s">
        <v>1704</v>
      </c>
      <c r="J202" s="0" t="s">
        <v>96</v>
      </c>
      <c r="K202" s="5" t="s">
        <v>1851</v>
      </c>
      <c r="L202" s="0" t="s">
        <v>5366</v>
      </c>
    </row>
    <row r="203" customFormat="false" ht="17.15" hidden="false" customHeight="false" outlineLevel="0" collapsed="false">
      <c r="A203" s="0" t="s">
        <v>5367</v>
      </c>
      <c r="B203" s="5" t="s">
        <v>5361</v>
      </c>
      <c r="C203" s="5" t="s">
        <v>5368</v>
      </c>
      <c r="D203" s="0" t="s">
        <v>5369</v>
      </c>
      <c r="F203" s="0" t="s">
        <v>5370</v>
      </c>
      <c r="G203" s="0" t="s">
        <v>5371</v>
      </c>
      <c r="H203" s="5" t="s">
        <v>1712</v>
      </c>
      <c r="I203" s="5" t="s">
        <v>5372</v>
      </c>
      <c r="K203" s="0" t="s">
        <v>35</v>
      </c>
      <c r="L203" s="0" t="s">
        <v>5373</v>
      </c>
    </row>
    <row r="204" customFormat="false" ht="17.15" hidden="false" customHeight="false" outlineLevel="0" collapsed="false">
      <c r="A204" s="0" t="s">
        <v>5374</v>
      </c>
      <c r="B204" s="5" t="s">
        <v>5361</v>
      </c>
      <c r="C204" s="5" t="s">
        <v>5375</v>
      </c>
      <c r="D204" s="0" t="s">
        <v>5376</v>
      </c>
      <c r="F204" s="0" t="s">
        <v>5364</v>
      </c>
      <c r="G204" s="0" t="s">
        <v>5365</v>
      </c>
      <c r="H204" s="5" t="s">
        <v>1704</v>
      </c>
      <c r="K204" s="0" t="s">
        <v>35</v>
      </c>
      <c r="L204" s="0" t="s">
        <v>5366</v>
      </c>
    </row>
    <row r="205" customFormat="false" ht="17.15" hidden="false" customHeight="false" outlineLevel="0" collapsed="false">
      <c r="A205" s="0" t="s">
        <v>5377</v>
      </c>
      <c r="B205" s="5" t="s">
        <v>5378</v>
      </c>
      <c r="C205" s="5" t="s">
        <v>5379</v>
      </c>
      <c r="D205" s="0" t="s">
        <v>5380</v>
      </c>
      <c r="F205" s="0" t="s">
        <v>5302</v>
      </c>
      <c r="G205" s="0" t="s">
        <v>5381</v>
      </c>
      <c r="H205" s="5" t="s">
        <v>1704</v>
      </c>
      <c r="J205" s="0" t="s">
        <v>5382</v>
      </c>
      <c r="K205" s="5" t="s">
        <v>1851</v>
      </c>
      <c r="L205" s="0" t="s">
        <v>5290</v>
      </c>
    </row>
    <row r="206" customFormat="false" ht="17.15" hidden="false" customHeight="false" outlineLevel="0" collapsed="false">
      <c r="A206" s="0" t="s">
        <v>5383</v>
      </c>
      <c r="B206" s="5" t="s">
        <v>5353</v>
      </c>
      <c r="C206" s="5" t="s">
        <v>5384</v>
      </c>
      <c r="F206" s="0" t="s">
        <v>5288</v>
      </c>
      <c r="G206" s="0" t="s">
        <v>5385</v>
      </c>
      <c r="H206" s="5" t="s">
        <v>1704</v>
      </c>
      <c r="J206" s="0" t="s">
        <v>89</v>
      </c>
      <c r="K206" s="5" t="s">
        <v>1851</v>
      </c>
      <c r="L206" s="0" t="s">
        <v>5290</v>
      </c>
    </row>
    <row r="207" customFormat="false" ht="17.15" hidden="false" customHeight="false" outlineLevel="0" collapsed="false">
      <c r="A207" s="0" t="s">
        <v>5386</v>
      </c>
      <c r="B207" s="5" t="s">
        <v>5387</v>
      </c>
      <c r="C207" s="5" t="s">
        <v>5388</v>
      </c>
      <c r="D207" s="0" t="s">
        <v>5389</v>
      </c>
      <c r="F207" s="0" t="s">
        <v>2179</v>
      </c>
      <c r="G207" s="0" t="s">
        <v>5390</v>
      </c>
      <c r="H207" s="5" t="s">
        <v>1704</v>
      </c>
      <c r="J207" s="0" t="s">
        <v>93</v>
      </c>
      <c r="K207" s="5" t="s">
        <v>1851</v>
      </c>
      <c r="L207" s="0" t="s">
        <v>5391</v>
      </c>
    </row>
    <row r="208" customFormat="false" ht="17.15" hidden="false" customHeight="false" outlineLevel="0" collapsed="false">
      <c r="A208" s="0" t="s">
        <v>5392</v>
      </c>
      <c r="B208" s="5" t="s">
        <v>5393</v>
      </c>
      <c r="C208" s="5" t="s">
        <v>5394</v>
      </c>
      <c r="D208" s="0" t="s">
        <v>5395</v>
      </c>
      <c r="F208" s="0" t="s">
        <v>5396</v>
      </c>
      <c r="G208" s="0" t="s">
        <v>5397</v>
      </c>
      <c r="H208" s="5" t="s">
        <v>1704</v>
      </c>
      <c r="K208" s="0" t="s">
        <v>35</v>
      </c>
      <c r="L208" s="0" t="s">
        <v>5398</v>
      </c>
    </row>
    <row r="209" customFormat="false" ht="17.15" hidden="false" customHeight="false" outlineLevel="0" collapsed="false">
      <c r="A209" s="12" t="s">
        <v>5399</v>
      </c>
      <c r="B209" s="13" t="s">
        <v>5400</v>
      </c>
      <c r="C209" s="13" t="s">
        <v>5401</v>
      </c>
      <c r="D209" s="12" t="s">
        <v>5402</v>
      </c>
      <c r="E209" s="12"/>
      <c r="F209" s="13" t="s">
        <v>5403</v>
      </c>
      <c r="G209" s="12" t="s">
        <v>5404</v>
      </c>
      <c r="H209" s="13" t="s">
        <v>1887</v>
      </c>
      <c r="I209" s="12" t="s">
        <v>5405</v>
      </c>
      <c r="J209" s="12" t="s">
        <v>93</v>
      </c>
      <c r="K209" s="13" t="s">
        <v>4435</v>
      </c>
      <c r="L209" s="12" t="s">
        <v>5406</v>
      </c>
    </row>
    <row r="210" customFormat="false" ht="17.15" hidden="false" customHeight="false" outlineLevel="0" collapsed="false">
      <c r="A210" s="0" t="s">
        <v>5407</v>
      </c>
      <c r="B210" s="5" t="s">
        <v>5408</v>
      </c>
      <c r="C210" s="5" t="s">
        <v>5409</v>
      </c>
      <c r="D210" s="0" t="s">
        <v>5410</v>
      </c>
      <c r="F210" s="0" t="s">
        <v>5411</v>
      </c>
      <c r="G210" s="0" t="s">
        <v>5412</v>
      </c>
      <c r="H210" s="5" t="s">
        <v>1704</v>
      </c>
      <c r="I210" s="0" t="s">
        <v>5413</v>
      </c>
      <c r="J210" s="0" t="s">
        <v>93</v>
      </c>
      <c r="K210" s="5" t="s">
        <v>1851</v>
      </c>
      <c r="L210" s="0" t="s">
        <v>5398</v>
      </c>
    </row>
    <row r="211" customFormat="false" ht="17.15" hidden="false" customHeight="false" outlineLevel="0" collapsed="false">
      <c r="A211" s="0" t="s">
        <v>5414</v>
      </c>
      <c r="B211" s="5" t="s">
        <v>5415</v>
      </c>
      <c r="C211" s="5" t="s">
        <v>5416</v>
      </c>
      <c r="F211" s="0" t="s">
        <v>2452</v>
      </c>
      <c r="G211" s="0" t="s">
        <v>5417</v>
      </c>
      <c r="H211" s="5" t="s">
        <v>1704</v>
      </c>
      <c r="K211" s="0" t="s">
        <v>35</v>
      </c>
      <c r="L211" s="0" t="s">
        <v>5418</v>
      </c>
    </row>
    <row r="212" customFormat="false" ht="17.15" hidden="false" customHeight="false" outlineLevel="0" collapsed="false">
      <c r="A212" s="0" t="s">
        <v>5419</v>
      </c>
      <c r="B212" s="0" t="s">
        <v>5420</v>
      </c>
      <c r="C212" s="5" t="s">
        <v>5421</v>
      </c>
      <c r="D212" s="0" t="s">
        <v>5422</v>
      </c>
      <c r="F212" s="0" t="s">
        <v>5018</v>
      </c>
      <c r="G212" s="0" t="s">
        <v>5423</v>
      </c>
      <c r="H212" s="5" t="s">
        <v>1704</v>
      </c>
      <c r="I212" s="0" t="s">
        <v>5424</v>
      </c>
      <c r="K212" s="0" t="s">
        <v>35</v>
      </c>
      <c r="L212" s="0" t="s">
        <v>5021</v>
      </c>
    </row>
    <row r="213" customFormat="false" ht="17.15" hidden="false" customHeight="false" outlineLevel="0" collapsed="false">
      <c r="A213" s="0" t="s">
        <v>5425</v>
      </c>
      <c r="B213" s="0" t="s">
        <v>1683</v>
      </c>
      <c r="C213" s="5" t="s">
        <v>5426</v>
      </c>
      <c r="F213" s="0" t="s">
        <v>5427</v>
      </c>
      <c r="G213" s="0" t="s">
        <v>5428</v>
      </c>
      <c r="H213" s="5" t="s">
        <v>1704</v>
      </c>
      <c r="K213" s="0" t="s">
        <v>35</v>
      </c>
      <c r="L213" s="0" t="s">
        <v>5429</v>
      </c>
    </row>
    <row r="214" customFormat="false" ht="17.15" hidden="false" customHeight="false" outlineLevel="0" collapsed="false">
      <c r="A214" s="0" t="s">
        <v>5430</v>
      </c>
      <c r="B214" s="0" t="s">
        <v>5431</v>
      </c>
      <c r="C214" s="5" t="s">
        <v>5432</v>
      </c>
      <c r="D214" s="0" t="s">
        <v>5433</v>
      </c>
      <c r="F214" s="0" t="s">
        <v>5434</v>
      </c>
      <c r="G214" s="0" t="s">
        <v>5435</v>
      </c>
      <c r="H214" s="5" t="s">
        <v>1704</v>
      </c>
      <c r="I214" s="0" t="s">
        <v>5436</v>
      </c>
      <c r="K214" s="0" t="s">
        <v>35</v>
      </c>
      <c r="L214" s="0" t="s">
        <v>5437</v>
      </c>
    </row>
    <row r="215" customFormat="false" ht="17.15" hidden="false" customHeight="false" outlineLevel="0" collapsed="false">
      <c r="A215" s="0" t="s">
        <v>5438</v>
      </c>
      <c r="B215" s="0" t="s">
        <v>5439</v>
      </c>
      <c r="C215" s="5" t="s">
        <v>5440</v>
      </c>
      <c r="D215" s="0" t="s">
        <v>5441</v>
      </c>
      <c r="F215" s="0" t="s">
        <v>5018</v>
      </c>
      <c r="G215" s="0" t="s">
        <v>5442</v>
      </c>
      <c r="H215" s="5" t="s">
        <v>1704</v>
      </c>
      <c r="J215" s="0" t="s">
        <v>158</v>
      </c>
      <c r="K215" s="5" t="s">
        <v>1851</v>
      </c>
      <c r="L215" s="0" t="s">
        <v>5443</v>
      </c>
    </row>
    <row r="216" customFormat="false" ht="17.15" hidden="false" customHeight="false" outlineLevel="0" collapsed="false">
      <c r="A216" s="0" t="s">
        <v>5444</v>
      </c>
      <c r="B216" s="5" t="s">
        <v>5445</v>
      </c>
      <c r="C216" s="5" t="s">
        <v>5446</v>
      </c>
      <c r="F216" s="0" t="s">
        <v>4791</v>
      </c>
      <c r="G216" s="0" t="s">
        <v>5447</v>
      </c>
      <c r="H216" s="5" t="s">
        <v>1704</v>
      </c>
      <c r="J216" s="0" t="s">
        <v>96</v>
      </c>
      <c r="K216" s="5" t="s">
        <v>1851</v>
      </c>
      <c r="L216" s="0" t="s">
        <v>5448</v>
      </c>
    </row>
    <row r="217" customFormat="false" ht="17.15" hidden="false" customHeight="false" outlineLevel="0" collapsed="false">
      <c r="A217" s="0" t="s">
        <v>5449</v>
      </c>
      <c r="B217" s="0" t="s">
        <v>5450</v>
      </c>
      <c r="C217" s="0" t="s">
        <v>5451</v>
      </c>
      <c r="D217" s="0" t="s">
        <v>5452</v>
      </c>
      <c r="E217" s="5" t="s">
        <v>76</v>
      </c>
      <c r="F217" s="0" t="s">
        <v>5453</v>
      </c>
      <c r="G217" s="0" t="s">
        <v>1909</v>
      </c>
      <c r="H217" s="0" t="s">
        <v>5454</v>
      </c>
      <c r="I217" s="0" t="s">
        <v>5455</v>
      </c>
      <c r="K217" s="0" t="s">
        <v>35</v>
      </c>
      <c r="L217" s="0" t="s">
        <v>5456</v>
      </c>
    </row>
    <row r="218" customFormat="false" ht="17.15" hidden="false" customHeight="false" outlineLevel="0" collapsed="false">
      <c r="A218" s="0" t="s">
        <v>5457</v>
      </c>
      <c r="B218" s="0" t="s">
        <v>5458</v>
      </c>
      <c r="C218" s="0" t="s">
        <v>5459</v>
      </c>
      <c r="D218" s="0" t="s">
        <v>5460</v>
      </c>
      <c r="E218" s="5" t="s">
        <v>76</v>
      </c>
      <c r="F218" s="0" t="s">
        <v>5461</v>
      </c>
      <c r="G218" s="0" t="s">
        <v>1866</v>
      </c>
      <c r="H218" s="0" t="s">
        <v>5454</v>
      </c>
      <c r="I218" s="0" t="s">
        <v>5462</v>
      </c>
      <c r="K218" s="0" t="s">
        <v>35</v>
      </c>
      <c r="L218" s="0" t="s">
        <v>5463</v>
      </c>
    </row>
    <row r="219" customFormat="false" ht="17.15" hidden="false" customHeight="false" outlineLevel="0" collapsed="false">
      <c r="A219" s="0" t="s">
        <v>5464</v>
      </c>
      <c r="B219" s="0" t="s">
        <v>5465</v>
      </c>
      <c r="C219" s="0" t="s">
        <v>5466</v>
      </c>
      <c r="D219" s="0" t="s">
        <v>5017</v>
      </c>
      <c r="E219" s="5" t="s">
        <v>76</v>
      </c>
      <c r="F219" s="0" t="s">
        <v>1731</v>
      </c>
      <c r="G219" s="0" t="s">
        <v>1909</v>
      </c>
      <c r="H219" s="0" t="s">
        <v>5454</v>
      </c>
      <c r="I219" s="0" t="s">
        <v>5467</v>
      </c>
      <c r="J219" s="0" t="s">
        <v>676</v>
      </c>
      <c r="K219" s="5" t="s">
        <v>1851</v>
      </c>
      <c r="L219" s="0" t="s">
        <v>5468</v>
      </c>
    </row>
    <row r="220" customFormat="false" ht="17.15" hidden="false" customHeight="false" outlineLevel="0" collapsed="false">
      <c r="A220" s="0" t="s">
        <v>5469</v>
      </c>
      <c r="B220" s="0" t="s">
        <v>1683</v>
      </c>
      <c r="C220" s="0" t="s">
        <v>5470</v>
      </c>
      <c r="D220" s="0" t="s">
        <v>4969</v>
      </c>
      <c r="E220" s="0" t="s">
        <v>111</v>
      </c>
      <c r="F220" s="0" t="s">
        <v>5471</v>
      </c>
      <c r="G220" s="0" t="s">
        <v>1855</v>
      </c>
      <c r="H220" s="0" t="s">
        <v>5454</v>
      </c>
      <c r="I220" s="0" t="s">
        <v>5472</v>
      </c>
      <c r="J220" s="0" t="s">
        <v>5473</v>
      </c>
      <c r="K220" s="5" t="s">
        <v>1851</v>
      </c>
      <c r="L220" s="0" t="s">
        <v>4444</v>
      </c>
    </row>
    <row r="221" customFormat="false" ht="17.15" hidden="false" customHeight="false" outlineLevel="0" collapsed="false">
      <c r="A221" s="0" t="s">
        <v>5474</v>
      </c>
      <c r="B221" s="0" t="s">
        <v>1683</v>
      </c>
      <c r="C221" s="0" t="s">
        <v>5475</v>
      </c>
      <c r="D221" s="0" t="s">
        <v>5476</v>
      </c>
      <c r="E221" s="0" t="s">
        <v>111</v>
      </c>
      <c r="F221" s="0" t="s">
        <v>5471</v>
      </c>
      <c r="G221" s="0" t="s">
        <v>1855</v>
      </c>
      <c r="H221" s="0" t="s">
        <v>5454</v>
      </c>
      <c r="I221" s="0" t="s">
        <v>5477</v>
      </c>
      <c r="K221" s="0" t="s">
        <v>35</v>
      </c>
      <c r="L221" s="0" t="s">
        <v>4444</v>
      </c>
    </row>
    <row r="222" customFormat="false" ht="17.15" hidden="false" customHeight="false" outlineLevel="0" collapsed="false">
      <c r="A222" s="0" t="s">
        <v>5478</v>
      </c>
      <c r="B222" s="0" t="s">
        <v>1683</v>
      </c>
      <c r="C222" s="0" t="s">
        <v>5479</v>
      </c>
      <c r="D222" s="0" t="s">
        <v>112</v>
      </c>
      <c r="E222" s="5" t="s">
        <v>76</v>
      </c>
      <c r="F222" s="0" t="s">
        <v>5471</v>
      </c>
      <c r="G222" s="0" t="s">
        <v>1855</v>
      </c>
      <c r="H222" s="0" t="s">
        <v>5480</v>
      </c>
      <c r="I222" s="0" t="s">
        <v>5481</v>
      </c>
      <c r="K222" s="0" t="s">
        <v>35</v>
      </c>
      <c r="L222" s="0" t="s">
        <v>4444</v>
      </c>
    </row>
    <row r="223" customFormat="false" ht="17.15" hidden="false" customHeight="false" outlineLevel="0" collapsed="false">
      <c r="A223" s="0" t="s">
        <v>5482</v>
      </c>
      <c r="B223" s="0" t="s">
        <v>5483</v>
      </c>
      <c r="C223" s="0" t="s">
        <v>5484</v>
      </c>
      <c r="D223" s="0" t="s">
        <v>4771</v>
      </c>
      <c r="E223" s="5" t="s">
        <v>76</v>
      </c>
      <c r="F223" s="0" t="s">
        <v>5485</v>
      </c>
      <c r="G223" s="0" t="s">
        <v>1909</v>
      </c>
      <c r="H223" s="0" t="s">
        <v>5486</v>
      </c>
      <c r="I223" s="5" t="s">
        <v>5487</v>
      </c>
      <c r="K223" s="0" t="s">
        <v>35</v>
      </c>
      <c r="L223" s="0" t="s">
        <v>5488</v>
      </c>
    </row>
    <row r="224" customFormat="false" ht="17.15" hidden="false" customHeight="false" outlineLevel="0" collapsed="false">
      <c r="A224" s="0" t="s">
        <v>5489</v>
      </c>
      <c r="B224" s="0" t="s">
        <v>5483</v>
      </c>
      <c r="C224" s="0" t="s">
        <v>5490</v>
      </c>
      <c r="D224" s="0" t="s">
        <v>112</v>
      </c>
      <c r="E224" s="5" t="s">
        <v>76</v>
      </c>
      <c r="F224" s="0" t="s">
        <v>5491</v>
      </c>
      <c r="G224" s="0" t="s">
        <v>1855</v>
      </c>
      <c r="H224" s="0" t="s">
        <v>5486</v>
      </c>
      <c r="I224" s="5" t="s">
        <v>5492</v>
      </c>
      <c r="K224" s="0" t="s">
        <v>35</v>
      </c>
      <c r="L224" s="0" t="s">
        <v>5493</v>
      </c>
    </row>
    <row r="225" customFormat="false" ht="17.15" hidden="false" customHeight="false" outlineLevel="0" collapsed="false">
      <c r="A225" s="0" t="s">
        <v>5494</v>
      </c>
      <c r="B225" s="0" t="s">
        <v>5483</v>
      </c>
      <c r="C225" s="0" t="s">
        <v>5495</v>
      </c>
      <c r="D225" s="0" t="s">
        <v>5496</v>
      </c>
      <c r="E225" s="5" t="s">
        <v>76</v>
      </c>
      <c r="F225" s="0" t="s">
        <v>4753</v>
      </c>
      <c r="G225" s="0" t="s">
        <v>1855</v>
      </c>
      <c r="H225" s="0" t="s">
        <v>5497</v>
      </c>
      <c r="I225" s="5" t="s">
        <v>5498</v>
      </c>
      <c r="K225" s="0" t="s">
        <v>35</v>
      </c>
      <c r="L225" s="0" t="s">
        <v>5499</v>
      </c>
    </row>
    <row r="226" customFormat="false" ht="17.15" hidden="false" customHeight="false" outlineLevel="0" collapsed="false">
      <c r="A226" s="0" t="s">
        <v>5500</v>
      </c>
      <c r="B226" s="0" t="s">
        <v>1683</v>
      </c>
      <c r="C226" s="0" t="s">
        <v>5501</v>
      </c>
      <c r="D226" s="0" t="s">
        <v>112</v>
      </c>
      <c r="E226" s="5" t="s">
        <v>76</v>
      </c>
      <c r="F226" s="0" t="s">
        <v>2367</v>
      </c>
      <c r="G226" s="0" t="s">
        <v>1909</v>
      </c>
      <c r="H226" s="0" t="s">
        <v>5502</v>
      </c>
      <c r="I226" s="5" t="s">
        <v>5503</v>
      </c>
      <c r="K226" s="0" t="s">
        <v>35</v>
      </c>
      <c r="L226" s="0" t="s">
        <v>5504</v>
      </c>
    </row>
    <row r="227" customFormat="false" ht="17.15" hidden="false" customHeight="false" outlineLevel="0" collapsed="false">
      <c r="A227" s="0" t="s">
        <v>5505</v>
      </c>
      <c r="B227" s="0" t="s">
        <v>1683</v>
      </c>
      <c r="C227" s="0" t="s">
        <v>5506</v>
      </c>
      <c r="D227" s="0" t="s">
        <v>4972</v>
      </c>
      <c r="E227" s="0" t="s">
        <v>111</v>
      </c>
      <c r="F227" s="0" t="s">
        <v>5507</v>
      </c>
      <c r="G227" s="0" t="s">
        <v>1855</v>
      </c>
      <c r="H227" s="0" t="s">
        <v>5480</v>
      </c>
      <c r="I227" s="0" t="s">
        <v>5508</v>
      </c>
      <c r="J227" s="0" t="s">
        <v>5509</v>
      </c>
      <c r="K227" s="5" t="s">
        <v>1851</v>
      </c>
      <c r="L227" s="0" t="s">
        <v>4450</v>
      </c>
    </row>
    <row r="228" customFormat="false" ht="17.15" hidden="false" customHeight="false" outlineLevel="0" collapsed="false">
      <c r="A228" s="0" t="s">
        <v>5510</v>
      </c>
      <c r="B228" s="0" t="s">
        <v>1683</v>
      </c>
      <c r="C228" s="0" t="s">
        <v>5511</v>
      </c>
      <c r="D228" s="0" t="s">
        <v>5512</v>
      </c>
      <c r="E228" s="5" t="s">
        <v>76</v>
      </c>
      <c r="F228" s="0" t="s">
        <v>5513</v>
      </c>
      <c r="G228" s="0" t="s">
        <v>1909</v>
      </c>
      <c r="H228" s="0" t="s">
        <v>5486</v>
      </c>
      <c r="I228" s="0" t="s">
        <v>5514</v>
      </c>
      <c r="K228" s="0" t="s">
        <v>35</v>
      </c>
      <c r="L228" s="0" t="s">
        <v>5515</v>
      </c>
    </row>
    <row r="229" customFormat="false" ht="17.15" hidden="false" customHeight="false" outlineLevel="0" collapsed="false">
      <c r="A229" s="0" t="s">
        <v>5516</v>
      </c>
      <c r="B229" s="0" t="s">
        <v>1683</v>
      </c>
      <c r="C229" s="0" t="s">
        <v>5517</v>
      </c>
      <c r="D229" s="0" t="s">
        <v>112</v>
      </c>
      <c r="E229" s="5" t="s">
        <v>76</v>
      </c>
      <c r="F229" s="0" t="s">
        <v>5518</v>
      </c>
      <c r="G229" s="0" t="s">
        <v>1909</v>
      </c>
      <c r="H229" s="0" t="s">
        <v>5519</v>
      </c>
      <c r="I229" s="5" t="s">
        <v>5520</v>
      </c>
      <c r="K229" s="0" t="s">
        <v>35</v>
      </c>
      <c r="L229" s="0" t="s">
        <v>5521</v>
      </c>
    </row>
    <row r="230" customFormat="false" ht="17.15" hidden="false" customHeight="false" outlineLevel="0" collapsed="false">
      <c r="A230" s="0" t="s">
        <v>5522</v>
      </c>
      <c r="B230" s="0" t="s">
        <v>1683</v>
      </c>
      <c r="C230" s="0" t="s">
        <v>5523</v>
      </c>
      <c r="D230" s="0" t="s">
        <v>112</v>
      </c>
      <c r="E230" s="5" t="s">
        <v>76</v>
      </c>
      <c r="F230" s="0" t="s">
        <v>4585</v>
      </c>
      <c r="G230" s="0" t="s">
        <v>1855</v>
      </c>
      <c r="H230" s="0" t="s">
        <v>5454</v>
      </c>
      <c r="I230" s="5" t="s">
        <v>5524</v>
      </c>
      <c r="K230" s="0" t="s">
        <v>35</v>
      </c>
      <c r="L230" s="0" t="s">
        <v>5525</v>
      </c>
    </row>
    <row r="231" customFormat="false" ht="17.15" hidden="false" customHeight="false" outlineLevel="0" collapsed="false">
      <c r="A231" s="0" t="s">
        <v>5526</v>
      </c>
      <c r="B231" s="0" t="s">
        <v>1683</v>
      </c>
      <c r="C231" s="0" t="s">
        <v>5527</v>
      </c>
      <c r="D231" s="0" t="s">
        <v>5528</v>
      </c>
      <c r="E231" s="0" t="s">
        <v>111</v>
      </c>
      <c r="F231" s="0" t="s">
        <v>5507</v>
      </c>
      <c r="G231" s="0" t="s">
        <v>1855</v>
      </c>
      <c r="H231" s="0" t="s">
        <v>5454</v>
      </c>
      <c r="I231" s="0" t="s">
        <v>5529</v>
      </c>
      <c r="K231" s="0" t="s">
        <v>35</v>
      </c>
      <c r="L231" s="0" t="s">
        <v>4450</v>
      </c>
    </row>
    <row r="232" customFormat="false" ht="17.15" hidden="false" customHeight="false" outlineLevel="0" collapsed="false">
      <c r="A232" s="0" t="s">
        <v>5530</v>
      </c>
      <c r="B232" s="0" t="s">
        <v>1683</v>
      </c>
      <c r="C232" s="0" t="s">
        <v>5531</v>
      </c>
      <c r="D232" s="0" t="s">
        <v>4698</v>
      </c>
      <c r="E232" s="5" t="s">
        <v>76</v>
      </c>
      <c r="F232" s="0" t="s">
        <v>4570</v>
      </c>
      <c r="G232" s="0" t="s">
        <v>1909</v>
      </c>
      <c r="H232" s="0" t="s">
        <v>5454</v>
      </c>
      <c r="I232" s="5" t="s">
        <v>5532</v>
      </c>
      <c r="K232" s="0" t="s">
        <v>35</v>
      </c>
      <c r="L232" s="0" t="s">
        <v>5533</v>
      </c>
    </row>
    <row r="233" customFormat="false" ht="17.15" hidden="false" customHeight="false" outlineLevel="0" collapsed="false">
      <c r="A233" s="0" t="s">
        <v>5534</v>
      </c>
      <c r="B233" s="0" t="s">
        <v>1683</v>
      </c>
      <c r="C233" s="0" t="s">
        <v>5535</v>
      </c>
      <c r="D233" s="0" t="s">
        <v>5536</v>
      </c>
      <c r="E233" s="5" t="s">
        <v>76</v>
      </c>
      <c r="F233" s="0" t="s">
        <v>5537</v>
      </c>
      <c r="G233" s="0" t="s">
        <v>1855</v>
      </c>
      <c r="H233" s="0" t="s">
        <v>5486</v>
      </c>
      <c r="I233" s="0" t="s">
        <v>5538</v>
      </c>
      <c r="K233" s="0" t="s">
        <v>35</v>
      </c>
      <c r="L233" s="0" t="s">
        <v>5539</v>
      </c>
    </row>
    <row r="234" customFormat="false" ht="17.15" hidden="false" customHeight="false" outlineLevel="0" collapsed="false">
      <c r="A234" s="0" t="s">
        <v>5540</v>
      </c>
      <c r="B234" s="0" t="s">
        <v>5541</v>
      </c>
      <c r="C234" s="0" t="s">
        <v>5542</v>
      </c>
      <c r="D234" s="0" t="s">
        <v>4799</v>
      </c>
      <c r="E234" s="5" t="s">
        <v>76</v>
      </c>
      <c r="F234" s="0" t="s">
        <v>5543</v>
      </c>
      <c r="G234" s="0" t="s">
        <v>1909</v>
      </c>
      <c r="H234" s="0" t="s">
        <v>5486</v>
      </c>
      <c r="I234" s="0" t="s">
        <v>5544</v>
      </c>
      <c r="K234" s="0" t="s">
        <v>35</v>
      </c>
      <c r="L234" s="0" t="s">
        <v>5545</v>
      </c>
    </row>
    <row r="235" customFormat="false" ht="17.15" hidden="false" customHeight="false" outlineLevel="0" collapsed="false">
      <c r="A235" s="0" t="s">
        <v>5546</v>
      </c>
      <c r="B235" s="0" t="s">
        <v>5541</v>
      </c>
      <c r="C235" s="0" t="s">
        <v>5547</v>
      </c>
      <c r="D235" s="0" t="s">
        <v>5017</v>
      </c>
      <c r="E235" s="0" t="s">
        <v>111</v>
      </c>
      <c r="F235" s="0" t="s">
        <v>5548</v>
      </c>
      <c r="G235" s="0" t="s">
        <v>1909</v>
      </c>
      <c r="H235" s="0" t="s">
        <v>5454</v>
      </c>
      <c r="I235" s="0" t="s">
        <v>5549</v>
      </c>
      <c r="K235" s="0" t="s">
        <v>35</v>
      </c>
      <c r="L235" s="0" t="s">
        <v>5550</v>
      </c>
    </row>
    <row r="236" customFormat="false" ht="17.15" hidden="false" customHeight="false" outlineLevel="0" collapsed="false">
      <c r="A236" s="0" t="s">
        <v>5551</v>
      </c>
      <c r="B236" s="0" t="s">
        <v>5541</v>
      </c>
      <c r="C236" s="0" t="s">
        <v>5552</v>
      </c>
      <c r="D236" s="0" t="s">
        <v>112</v>
      </c>
      <c r="E236" s="5" t="s">
        <v>76</v>
      </c>
      <c r="F236" s="0" t="s">
        <v>5543</v>
      </c>
      <c r="G236" s="0" t="s">
        <v>1909</v>
      </c>
      <c r="H236" s="0" t="s">
        <v>5519</v>
      </c>
      <c r="I236" s="5" t="s">
        <v>5553</v>
      </c>
      <c r="K236" s="0" t="s">
        <v>35</v>
      </c>
      <c r="L236" s="0" t="s">
        <v>5545</v>
      </c>
    </row>
    <row r="237" customFormat="false" ht="17.15" hidden="false" customHeight="false" outlineLevel="0" collapsed="false">
      <c r="A237" s="0" t="s">
        <v>5554</v>
      </c>
      <c r="B237" s="0" t="s">
        <v>5541</v>
      </c>
      <c r="C237" s="0" t="s">
        <v>5555</v>
      </c>
      <c r="D237" s="0" t="s">
        <v>4908</v>
      </c>
      <c r="E237" s="5" t="s">
        <v>76</v>
      </c>
      <c r="F237" s="0" t="s">
        <v>4715</v>
      </c>
      <c r="G237" s="0" t="s">
        <v>1855</v>
      </c>
      <c r="H237" s="0" t="s">
        <v>5497</v>
      </c>
      <c r="I237" s="5" t="s">
        <v>5498</v>
      </c>
      <c r="K237" s="0" t="s">
        <v>35</v>
      </c>
      <c r="L237" s="0" t="s">
        <v>5556</v>
      </c>
    </row>
    <row r="238" customFormat="false" ht="17.15" hidden="false" customHeight="false" outlineLevel="0" collapsed="false">
      <c r="A238" s="0" t="s">
        <v>5557</v>
      </c>
      <c r="B238" s="0" t="s">
        <v>5541</v>
      </c>
      <c r="C238" s="0" t="s">
        <v>5558</v>
      </c>
      <c r="D238" s="0" t="s">
        <v>5559</v>
      </c>
      <c r="E238" s="0" t="s">
        <v>111</v>
      </c>
      <c r="F238" s="0" t="s">
        <v>4564</v>
      </c>
      <c r="G238" s="0" t="s">
        <v>1855</v>
      </c>
      <c r="H238" s="0" t="s">
        <v>5480</v>
      </c>
      <c r="I238" s="0" t="s">
        <v>5560</v>
      </c>
      <c r="K238" s="0" t="s">
        <v>35</v>
      </c>
      <c r="L238" s="0" t="s">
        <v>5561</v>
      </c>
    </row>
    <row r="239" customFormat="false" ht="17.15" hidden="false" customHeight="false" outlineLevel="0" collapsed="false">
      <c r="A239" s="0" t="s">
        <v>5562</v>
      </c>
      <c r="B239" s="0" t="s">
        <v>2459</v>
      </c>
      <c r="C239" s="0" t="s">
        <v>5563</v>
      </c>
      <c r="D239" s="0" t="s">
        <v>5564</v>
      </c>
      <c r="E239" s="5" t="s">
        <v>76</v>
      </c>
      <c r="F239" s="0" t="s">
        <v>2315</v>
      </c>
      <c r="G239" s="0" t="s">
        <v>1909</v>
      </c>
      <c r="H239" s="0" t="s">
        <v>5454</v>
      </c>
      <c r="I239" s="0" t="s">
        <v>5565</v>
      </c>
      <c r="J239" s="0" t="s">
        <v>5566</v>
      </c>
      <c r="K239" s="5" t="s">
        <v>1851</v>
      </c>
      <c r="L239" s="0" t="s">
        <v>5567</v>
      </c>
    </row>
    <row r="240" customFormat="false" ht="17.15" hidden="false" customHeight="false" outlineLevel="0" collapsed="false">
      <c r="A240" s="0" t="s">
        <v>5568</v>
      </c>
      <c r="B240" s="0" t="s">
        <v>2459</v>
      </c>
      <c r="C240" s="0" t="s">
        <v>5569</v>
      </c>
      <c r="D240" s="0" t="s">
        <v>5570</v>
      </c>
      <c r="E240" s="0" t="s">
        <v>111</v>
      </c>
      <c r="F240" s="0" t="s">
        <v>2315</v>
      </c>
      <c r="G240" s="0" t="s">
        <v>1909</v>
      </c>
      <c r="H240" s="0" t="s">
        <v>5454</v>
      </c>
      <c r="I240" s="0" t="s">
        <v>5571</v>
      </c>
      <c r="K240" s="0" t="s">
        <v>35</v>
      </c>
      <c r="L240" s="0" t="s">
        <v>5572</v>
      </c>
    </row>
    <row r="241" customFormat="false" ht="17.15" hidden="false" customHeight="false" outlineLevel="0" collapsed="false">
      <c r="A241" s="0" t="s">
        <v>5573</v>
      </c>
      <c r="B241" s="0" t="s">
        <v>2459</v>
      </c>
      <c r="C241" s="0" t="s">
        <v>5574</v>
      </c>
      <c r="D241" s="0" t="s">
        <v>5570</v>
      </c>
      <c r="E241" s="0" t="s">
        <v>111</v>
      </c>
      <c r="F241" s="0" t="s">
        <v>2315</v>
      </c>
      <c r="G241" s="0" t="s">
        <v>1909</v>
      </c>
      <c r="H241" s="0" t="s">
        <v>5454</v>
      </c>
      <c r="I241" s="5" t="s">
        <v>5575</v>
      </c>
      <c r="K241" s="0" t="s">
        <v>35</v>
      </c>
      <c r="L241" s="0" t="s">
        <v>5572</v>
      </c>
    </row>
    <row r="242" customFormat="false" ht="17.15" hidden="false" customHeight="false" outlineLevel="0" collapsed="false">
      <c r="A242" s="0" t="s">
        <v>5576</v>
      </c>
      <c r="B242" s="0" t="s">
        <v>1824</v>
      </c>
      <c r="C242" s="0" t="s">
        <v>5577</v>
      </c>
      <c r="D242" s="0" t="s">
        <v>5578</v>
      </c>
      <c r="E242" s="5" t="s">
        <v>76</v>
      </c>
      <c r="F242" s="0" t="s">
        <v>138</v>
      </c>
      <c r="G242" s="0" t="s">
        <v>1909</v>
      </c>
      <c r="H242" s="0" t="s">
        <v>5454</v>
      </c>
      <c r="I242" s="0" t="s">
        <v>5579</v>
      </c>
      <c r="K242" s="0" t="s">
        <v>35</v>
      </c>
      <c r="L242" s="0" t="s">
        <v>5580</v>
      </c>
    </row>
    <row r="243" customFormat="false" ht="17.15" hidden="false" customHeight="false" outlineLevel="0" collapsed="false">
      <c r="A243" s="0" t="s">
        <v>5581</v>
      </c>
      <c r="B243" s="0" t="s">
        <v>1824</v>
      </c>
      <c r="C243" s="0" t="s">
        <v>5582</v>
      </c>
      <c r="D243" s="0" t="s">
        <v>5583</v>
      </c>
      <c r="E243" s="0" t="s">
        <v>111</v>
      </c>
      <c r="F243" s="0" t="s">
        <v>4448</v>
      </c>
      <c r="G243" s="0" t="s">
        <v>1855</v>
      </c>
      <c r="H243" s="0" t="s">
        <v>5486</v>
      </c>
      <c r="I243" s="0" t="s">
        <v>5584</v>
      </c>
      <c r="K243" s="0" t="s">
        <v>35</v>
      </c>
      <c r="L243" s="0" t="s">
        <v>4501</v>
      </c>
    </row>
    <row r="244" customFormat="false" ht="17.15" hidden="false" customHeight="false" outlineLevel="0" collapsed="false">
      <c r="A244" s="0" t="s">
        <v>5585</v>
      </c>
      <c r="B244" s="0" t="s">
        <v>1824</v>
      </c>
      <c r="C244" s="0" t="s">
        <v>5586</v>
      </c>
      <c r="D244" s="0" t="s">
        <v>112</v>
      </c>
      <c r="E244" s="5" t="s">
        <v>76</v>
      </c>
      <c r="F244" s="0" t="s">
        <v>138</v>
      </c>
      <c r="G244" s="0" t="s">
        <v>1909</v>
      </c>
      <c r="H244" s="0" t="s">
        <v>5486</v>
      </c>
      <c r="I244" s="0" t="s">
        <v>5587</v>
      </c>
      <c r="K244" s="0" t="s">
        <v>35</v>
      </c>
      <c r="L244" s="0" t="s">
        <v>5580</v>
      </c>
    </row>
    <row r="245" customFormat="false" ht="17.15" hidden="false" customHeight="false" outlineLevel="0" collapsed="false">
      <c r="A245" s="0" t="s">
        <v>5588</v>
      </c>
      <c r="B245" s="0" t="s">
        <v>1824</v>
      </c>
      <c r="C245" s="0" t="s">
        <v>5589</v>
      </c>
      <c r="D245" s="0" t="s">
        <v>112</v>
      </c>
      <c r="E245" s="5" t="s">
        <v>76</v>
      </c>
      <c r="F245" s="0" t="s">
        <v>5590</v>
      </c>
      <c r="G245" s="0" t="s">
        <v>1909</v>
      </c>
      <c r="H245" s="0" t="s">
        <v>5519</v>
      </c>
      <c r="I245" s="0" t="s">
        <v>5591</v>
      </c>
      <c r="K245" s="0" t="s">
        <v>35</v>
      </c>
      <c r="L245" s="0" t="s">
        <v>5592</v>
      </c>
    </row>
    <row r="246" customFormat="false" ht="17.15" hidden="false" customHeight="false" outlineLevel="0" collapsed="false">
      <c r="A246" s="0" t="s">
        <v>5593</v>
      </c>
      <c r="B246" s="0" t="s">
        <v>5594</v>
      </c>
      <c r="C246" s="0" t="s">
        <v>5595</v>
      </c>
      <c r="D246" s="0" t="s">
        <v>4705</v>
      </c>
      <c r="E246" s="5" t="s">
        <v>76</v>
      </c>
      <c r="F246" s="0" t="s">
        <v>4570</v>
      </c>
      <c r="G246" s="0" t="s">
        <v>1909</v>
      </c>
      <c r="H246" s="0" t="s">
        <v>5454</v>
      </c>
      <c r="I246" s="0" t="s">
        <v>5596</v>
      </c>
      <c r="K246" s="0" t="s">
        <v>35</v>
      </c>
      <c r="L246" s="0" t="s">
        <v>5597</v>
      </c>
    </row>
    <row r="247" customFormat="false" ht="17.15" hidden="false" customHeight="false" outlineLevel="0" collapsed="false">
      <c r="A247" s="0" t="s">
        <v>5598</v>
      </c>
      <c r="B247" s="0" t="s">
        <v>5594</v>
      </c>
      <c r="C247" s="0" t="s">
        <v>5599</v>
      </c>
      <c r="D247" s="0" t="s">
        <v>5040</v>
      </c>
      <c r="E247" s="0" t="s">
        <v>111</v>
      </c>
      <c r="F247" s="0" t="s">
        <v>4564</v>
      </c>
      <c r="G247" s="0" t="s">
        <v>1855</v>
      </c>
      <c r="H247" s="0" t="s">
        <v>5486</v>
      </c>
      <c r="I247" s="0" t="s">
        <v>5600</v>
      </c>
      <c r="K247" s="0" t="s">
        <v>35</v>
      </c>
      <c r="L247" s="0" t="s">
        <v>5601</v>
      </c>
    </row>
    <row r="248" customFormat="false" ht="17.15" hidden="false" customHeight="false" outlineLevel="0" collapsed="false">
      <c r="A248" s="0" t="s">
        <v>5602</v>
      </c>
      <c r="B248" s="0" t="s">
        <v>5594</v>
      </c>
      <c r="C248" s="0" t="s">
        <v>5603</v>
      </c>
      <c r="D248" s="0" t="s">
        <v>5604</v>
      </c>
      <c r="E248" s="5" t="s">
        <v>76</v>
      </c>
      <c r="F248" s="0" t="s">
        <v>5364</v>
      </c>
      <c r="G248" s="0" t="s">
        <v>1855</v>
      </c>
      <c r="H248" s="0" t="s">
        <v>5497</v>
      </c>
      <c r="I248" s="5" t="s">
        <v>5498</v>
      </c>
      <c r="K248" s="0" t="s">
        <v>35</v>
      </c>
      <c r="L248" s="0" t="s">
        <v>5605</v>
      </c>
    </row>
    <row r="249" customFormat="false" ht="17.15" hidden="false" customHeight="false" outlineLevel="0" collapsed="false">
      <c r="A249" s="0" t="s">
        <v>5606</v>
      </c>
      <c r="B249" s="0" t="s">
        <v>1691</v>
      </c>
      <c r="C249" s="0" t="s">
        <v>5607</v>
      </c>
      <c r="D249" s="0" t="s">
        <v>5608</v>
      </c>
      <c r="E249" s="0" t="s">
        <v>111</v>
      </c>
      <c r="F249" s="0" t="s">
        <v>5453</v>
      </c>
      <c r="G249" s="0" t="s">
        <v>1855</v>
      </c>
      <c r="H249" s="0" t="s">
        <v>5454</v>
      </c>
      <c r="I249" s="0" t="s">
        <v>5609</v>
      </c>
      <c r="K249" s="0" t="s">
        <v>35</v>
      </c>
      <c r="L249" s="0" t="s">
        <v>4576</v>
      </c>
    </row>
    <row r="250" customFormat="false" ht="17.15" hidden="false" customHeight="false" outlineLevel="0" collapsed="false">
      <c r="A250" s="0" t="s">
        <v>5610</v>
      </c>
      <c r="B250" s="0" t="s">
        <v>1691</v>
      </c>
      <c r="C250" s="0" t="s">
        <v>5611</v>
      </c>
      <c r="D250" s="0" t="s">
        <v>5612</v>
      </c>
      <c r="E250" s="0" t="s">
        <v>111</v>
      </c>
      <c r="F250" s="0" t="s">
        <v>5453</v>
      </c>
      <c r="G250" s="0" t="s">
        <v>1855</v>
      </c>
      <c r="H250" s="0" t="s">
        <v>5480</v>
      </c>
      <c r="I250" s="0" t="s">
        <v>5613</v>
      </c>
      <c r="K250" s="0" t="s">
        <v>35</v>
      </c>
      <c r="L250" s="0" t="s">
        <v>4576</v>
      </c>
    </row>
    <row r="251" customFormat="false" ht="17.15" hidden="false" customHeight="false" outlineLevel="0" collapsed="false">
      <c r="A251" s="0" t="s">
        <v>5614</v>
      </c>
      <c r="B251" s="0" t="s">
        <v>1691</v>
      </c>
      <c r="C251" s="0" t="s">
        <v>5615</v>
      </c>
      <c r="D251" s="0" t="s">
        <v>5616</v>
      </c>
      <c r="E251" s="0" t="s">
        <v>111</v>
      </c>
      <c r="F251" s="0" t="s">
        <v>5453</v>
      </c>
      <c r="G251" s="0" t="s">
        <v>1855</v>
      </c>
      <c r="H251" s="0" t="s">
        <v>5454</v>
      </c>
      <c r="I251" s="0" t="s">
        <v>5617</v>
      </c>
      <c r="J251" s="0" t="s">
        <v>710</v>
      </c>
      <c r="K251" s="5" t="s">
        <v>1851</v>
      </c>
      <c r="L251" s="0" t="s">
        <v>4576</v>
      </c>
    </row>
    <row r="252" customFormat="false" ht="17.15" hidden="false" customHeight="false" outlineLevel="0" collapsed="false">
      <c r="A252" s="0" t="s">
        <v>5618</v>
      </c>
      <c r="B252" s="0" t="s">
        <v>1691</v>
      </c>
      <c r="C252" s="0" t="s">
        <v>5619</v>
      </c>
      <c r="D252" s="0" t="s">
        <v>112</v>
      </c>
      <c r="E252" s="5" t="s">
        <v>76</v>
      </c>
      <c r="F252" s="0" t="s">
        <v>5110</v>
      </c>
      <c r="G252" s="0" t="s">
        <v>1909</v>
      </c>
      <c r="H252" s="0" t="s">
        <v>5454</v>
      </c>
      <c r="I252" s="5" t="s">
        <v>5620</v>
      </c>
      <c r="K252" s="0" t="s">
        <v>35</v>
      </c>
      <c r="L252" s="0" t="s">
        <v>5621</v>
      </c>
    </row>
    <row r="253" customFormat="false" ht="17.15" hidden="false" customHeight="false" outlineLevel="0" collapsed="false">
      <c r="A253" s="0" t="s">
        <v>5622</v>
      </c>
      <c r="B253" s="0" t="s">
        <v>5623</v>
      </c>
      <c r="C253" s="0" t="s">
        <v>5624</v>
      </c>
      <c r="D253" s="0" t="s">
        <v>5612</v>
      </c>
      <c r="E253" s="0" t="s">
        <v>111</v>
      </c>
      <c r="G253" s="0" t="s">
        <v>1855</v>
      </c>
      <c r="H253" s="0" t="s">
        <v>5486</v>
      </c>
      <c r="I253" s="0" t="s">
        <v>5625</v>
      </c>
      <c r="K253" s="0" t="s">
        <v>35</v>
      </c>
      <c r="L253" s="0" t="s">
        <v>4581</v>
      </c>
    </row>
    <row r="254" customFormat="false" ht="17.15" hidden="false" customHeight="false" outlineLevel="0" collapsed="false">
      <c r="A254" s="0" t="s">
        <v>5626</v>
      </c>
      <c r="B254" s="0" t="s">
        <v>5623</v>
      </c>
      <c r="C254" s="0" t="s">
        <v>5627</v>
      </c>
      <c r="D254" s="0" t="s">
        <v>112</v>
      </c>
      <c r="E254" s="5" t="s">
        <v>76</v>
      </c>
      <c r="F254" s="0" t="s">
        <v>4829</v>
      </c>
      <c r="G254" s="0" t="s">
        <v>1909</v>
      </c>
      <c r="H254" s="0" t="s">
        <v>5497</v>
      </c>
      <c r="I254" s="5" t="s">
        <v>5498</v>
      </c>
      <c r="K254" s="0" t="s">
        <v>35</v>
      </c>
      <c r="L254" s="0" t="s">
        <v>5628</v>
      </c>
    </row>
    <row r="255" customFormat="false" ht="17.15" hidden="false" customHeight="false" outlineLevel="0" collapsed="false">
      <c r="A255" s="0" t="s">
        <v>5629</v>
      </c>
      <c r="B255" s="0" t="s">
        <v>5623</v>
      </c>
      <c r="C255" s="0" t="s">
        <v>5630</v>
      </c>
      <c r="D255" s="0" t="s">
        <v>5631</v>
      </c>
      <c r="E255" s="0" t="s">
        <v>111</v>
      </c>
      <c r="G255" s="0" t="s">
        <v>1855</v>
      </c>
      <c r="H255" s="0" t="s">
        <v>5486</v>
      </c>
      <c r="I255" s="0" t="s">
        <v>5632</v>
      </c>
      <c r="K255" s="0" t="s">
        <v>35</v>
      </c>
      <c r="L255" s="0" t="s">
        <v>4581</v>
      </c>
    </row>
    <row r="256" customFormat="false" ht="17.15" hidden="false" customHeight="false" outlineLevel="0" collapsed="false">
      <c r="A256" s="0" t="s">
        <v>5633</v>
      </c>
      <c r="B256" s="0" t="s">
        <v>5623</v>
      </c>
      <c r="C256" s="0" t="s">
        <v>5634</v>
      </c>
      <c r="D256" s="0" t="s">
        <v>5460</v>
      </c>
      <c r="E256" s="5" t="s">
        <v>76</v>
      </c>
      <c r="F256" s="0" t="s">
        <v>5635</v>
      </c>
      <c r="G256" s="0" t="s">
        <v>1909</v>
      </c>
      <c r="H256" s="0" t="s">
        <v>5480</v>
      </c>
      <c r="I256" s="5" t="s">
        <v>5636</v>
      </c>
      <c r="K256" s="0" t="s">
        <v>35</v>
      </c>
      <c r="L256" s="0" t="s">
        <v>5637</v>
      </c>
    </row>
    <row r="257" customFormat="false" ht="17.15" hidden="false" customHeight="false" outlineLevel="0" collapsed="false">
      <c r="A257" s="0" t="s">
        <v>5638</v>
      </c>
      <c r="B257" s="0" t="s">
        <v>5639</v>
      </c>
      <c r="C257" s="0" t="s">
        <v>5640</v>
      </c>
      <c r="D257" s="0" t="s">
        <v>4771</v>
      </c>
      <c r="E257" s="5" t="s">
        <v>76</v>
      </c>
      <c r="F257" s="0" t="s">
        <v>2270</v>
      </c>
      <c r="G257" s="0" t="s">
        <v>1855</v>
      </c>
      <c r="H257" s="0" t="s">
        <v>5497</v>
      </c>
      <c r="I257" s="5" t="s">
        <v>5498</v>
      </c>
      <c r="J257" s="0" t="s">
        <v>661</v>
      </c>
      <c r="K257" s="5" t="s">
        <v>4519</v>
      </c>
      <c r="L257" s="0" t="s">
        <v>5641</v>
      </c>
    </row>
    <row r="258" customFormat="false" ht="17.15" hidden="false" customHeight="false" outlineLevel="0" collapsed="false">
      <c r="A258" s="0" t="s">
        <v>5642</v>
      </c>
      <c r="B258" s="0" t="s">
        <v>5639</v>
      </c>
      <c r="C258" s="0" t="s">
        <v>5643</v>
      </c>
      <c r="D258" s="0" t="s">
        <v>112</v>
      </c>
      <c r="E258" s="5" t="s">
        <v>76</v>
      </c>
      <c r="F258" s="0" t="s">
        <v>5321</v>
      </c>
      <c r="G258" s="0" t="s">
        <v>1909</v>
      </c>
      <c r="H258" s="0" t="s">
        <v>5497</v>
      </c>
      <c r="I258" s="5" t="s">
        <v>5498</v>
      </c>
      <c r="K258" s="0" t="s">
        <v>35</v>
      </c>
      <c r="L258" s="0" t="s">
        <v>5644</v>
      </c>
    </row>
    <row r="259" customFormat="false" ht="17.15" hidden="false" customHeight="false" outlineLevel="0" collapsed="false">
      <c r="A259" s="0" t="s">
        <v>5645</v>
      </c>
      <c r="B259" s="0" t="s">
        <v>5639</v>
      </c>
      <c r="C259" s="0" t="s">
        <v>5646</v>
      </c>
      <c r="D259" s="0" t="s">
        <v>112</v>
      </c>
      <c r="E259" s="5" t="s">
        <v>76</v>
      </c>
      <c r="F259" s="0" t="s">
        <v>5321</v>
      </c>
      <c r="G259" s="0" t="s">
        <v>1909</v>
      </c>
      <c r="H259" s="0" t="s">
        <v>5497</v>
      </c>
      <c r="I259" s="5" t="s">
        <v>5498</v>
      </c>
      <c r="K259" s="0" t="s">
        <v>35</v>
      </c>
      <c r="L259" s="0" t="s">
        <v>5644</v>
      </c>
    </row>
    <row r="260" customFormat="false" ht="17.15" hidden="false" customHeight="false" outlineLevel="0" collapsed="false">
      <c r="A260" s="0" t="s">
        <v>5647</v>
      </c>
      <c r="B260" s="0" t="s">
        <v>1038</v>
      </c>
      <c r="C260" s="0" t="s">
        <v>5648</v>
      </c>
      <c r="D260" s="0" t="s">
        <v>5460</v>
      </c>
      <c r="E260" s="5" t="s">
        <v>76</v>
      </c>
      <c r="F260" s="0" t="s">
        <v>5649</v>
      </c>
      <c r="G260" s="0" t="s">
        <v>1909</v>
      </c>
      <c r="H260" s="0" t="s">
        <v>5502</v>
      </c>
      <c r="I260" s="5" t="s">
        <v>5650</v>
      </c>
      <c r="K260" s="0" t="s">
        <v>35</v>
      </c>
      <c r="L260" s="0" t="s">
        <v>5651</v>
      </c>
    </row>
    <row r="261" customFormat="false" ht="17.15" hidden="false" customHeight="false" outlineLevel="0" collapsed="false">
      <c r="A261" s="0" t="s">
        <v>5652</v>
      </c>
      <c r="B261" s="0" t="s">
        <v>1038</v>
      </c>
      <c r="C261" s="0" t="s">
        <v>5653</v>
      </c>
      <c r="D261" s="0" t="s">
        <v>5654</v>
      </c>
      <c r="E261" s="0" t="s">
        <v>111</v>
      </c>
      <c r="F261" s="0" t="s">
        <v>5635</v>
      </c>
      <c r="G261" s="0" t="s">
        <v>1855</v>
      </c>
      <c r="H261" s="0" t="s">
        <v>5454</v>
      </c>
      <c r="I261" s="0" t="s">
        <v>5655</v>
      </c>
      <c r="K261" s="0" t="s">
        <v>35</v>
      </c>
      <c r="L261" s="0" t="s">
        <v>5656</v>
      </c>
    </row>
    <row r="262" customFormat="false" ht="17.15" hidden="false" customHeight="false" outlineLevel="0" collapsed="false">
      <c r="A262" s="0" t="s">
        <v>5657</v>
      </c>
      <c r="B262" s="0" t="s">
        <v>1038</v>
      </c>
      <c r="C262" s="0" t="s">
        <v>5658</v>
      </c>
      <c r="D262" s="0" t="s">
        <v>5659</v>
      </c>
      <c r="E262" s="0" t="s">
        <v>111</v>
      </c>
      <c r="F262" s="0" t="s">
        <v>5660</v>
      </c>
      <c r="G262" s="0" t="s">
        <v>1855</v>
      </c>
      <c r="H262" s="0" t="s">
        <v>5486</v>
      </c>
      <c r="I262" s="0" t="s">
        <v>5661</v>
      </c>
      <c r="K262" s="0" t="s">
        <v>35</v>
      </c>
      <c r="L262" s="0" t="s">
        <v>5662</v>
      </c>
    </row>
    <row r="263" customFormat="false" ht="17.15" hidden="false" customHeight="false" outlineLevel="0" collapsed="false">
      <c r="A263" s="0" t="s">
        <v>5663</v>
      </c>
      <c r="B263" s="0" t="s">
        <v>5664</v>
      </c>
      <c r="C263" s="0" t="s">
        <v>5665</v>
      </c>
      <c r="D263" s="0" t="s">
        <v>5452</v>
      </c>
      <c r="E263" s="5" t="s">
        <v>76</v>
      </c>
      <c r="F263" s="0" t="s">
        <v>4637</v>
      </c>
      <c r="G263" s="0" t="s">
        <v>1909</v>
      </c>
      <c r="H263" s="0" t="s">
        <v>5502</v>
      </c>
      <c r="I263" s="0" t="s">
        <v>5666</v>
      </c>
      <c r="J263" s="0" t="s">
        <v>731</v>
      </c>
      <c r="K263" s="5" t="s">
        <v>4519</v>
      </c>
      <c r="L263" s="0" t="s">
        <v>5667</v>
      </c>
    </row>
    <row r="264" customFormat="false" ht="17.15" hidden="false" customHeight="false" outlineLevel="0" collapsed="false">
      <c r="A264" s="0" t="s">
        <v>5668</v>
      </c>
      <c r="B264" s="0" t="s">
        <v>5664</v>
      </c>
      <c r="C264" s="0" t="s">
        <v>5669</v>
      </c>
      <c r="D264" s="0" t="s">
        <v>4698</v>
      </c>
      <c r="E264" s="5" t="s">
        <v>76</v>
      </c>
      <c r="F264" s="0" t="s">
        <v>4637</v>
      </c>
      <c r="G264" s="0" t="s">
        <v>1909</v>
      </c>
      <c r="H264" s="0" t="s">
        <v>5454</v>
      </c>
      <c r="I264" s="0" t="s">
        <v>5670</v>
      </c>
      <c r="K264" s="0" t="s">
        <v>35</v>
      </c>
      <c r="L264" s="0" t="s">
        <v>5667</v>
      </c>
    </row>
    <row r="265" customFormat="false" ht="17.15" hidden="false" customHeight="false" outlineLevel="0" collapsed="false">
      <c r="A265" s="0" t="s">
        <v>5671</v>
      </c>
      <c r="B265" s="0" t="s">
        <v>5664</v>
      </c>
      <c r="C265" s="0" t="s">
        <v>5672</v>
      </c>
      <c r="D265" s="0" t="s">
        <v>5673</v>
      </c>
      <c r="E265" s="5" t="s">
        <v>76</v>
      </c>
      <c r="F265" s="0" t="s">
        <v>4637</v>
      </c>
      <c r="G265" s="0" t="s">
        <v>1866</v>
      </c>
      <c r="H265" s="0" t="s">
        <v>5502</v>
      </c>
      <c r="I265" s="5" t="s">
        <v>5674</v>
      </c>
      <c r="J265" s="0" t="s">
        <v>731</v>
      </c>
      <c r="K265" s="5" t="s">
        <v>4519</v>
      </c>
      <c r="L265" s="0" t="s">
        <v>5667</v>
      </c>
    </row>
    <row r="266" customFormat="false" ht="17.15" hidden="false" customHeight="false" outlineLevel="0" collapsed="false">
      <c r="A266" s="0" t="s">
        <v>5675</v>
      </c>
      <c r="B266" s="0" t="s">
        <v>5676</v>
      </c>
      <c r="C266" s="0" t="s">
        <v>5677</v>
      </c>
      <c r="D266" s="0" t="s">
        <v>5460</v>
      </c>
      <c r="E266" s="5" t="s">
        <v>76</v>
      </c>
      <c r="F266" s="0" t="s">
        <v>4644</v>
      </c>
      <c r="G266" s="0" t="s">
        <v>1909</v>
      </c>
      <c r="H266" s="0" t="s">
        <v>5454</v>
      </c>
      <c r="I266" s="0" t="s">
        <v>5678</v>
      </c>
      <c r="K266" s="0" t="s">
        <v>35</v>
      </c>
      <c r="L266" s="0" t="s">
        <v>5679</v>
      </c>
    </row>
    <row r="267" customFormat="false" ht="17.15" hidden="false" customHeight="false" outlineLevel="0" collapsed="false">
      <c r="A267" s="0" t="s">
        <v>5680</v>
      </c>
      <c r="B267" s="0" t="s">
        <v>2459</v>
      </c>
      <c r="C267" s="0" t="s">
        <v>5681</v>
      </c>
      <c r="D267" s="0" t="s">
        <v>5460</v>
      </c>
      <c r="E267" s="5" t="s">
        <v>76</v>
      </c>
      <c r="F267" s="0" t="s">
        <v>4824</v>
      </c>
      <c r="G267" s="0" t="s">
        <v>1909</v>
      </c>
      <c r="H267" s="0" t="s">
        <v>5502</v>
      </c>
      <c r="I267" s="0" t="s">
        <v>5682</v>
      </c>
      <c r="K267" s="0" t="s">
        <v>35</v>
      </c>
      <c r="L267" s="0" t="s">
        <v>5683</v>
      </c>
    </row>
    <row r="268" customFormat="false" ht="17.15" hidden="false" customHeight="false" outlineLevel="0" collapsed="false">
      <c r="A268" s="0" t="s">
        <v>5684</v>
      </c>
      <c r="B268" s="0" t="s">
        <v>2459</v>
      </c>
      <c r="C268" s="0" t="s">
        <v>5685</v>
      </c>
      <c r="D268" s="0" t="s">
        <v>112</v>
      </c>
      <c r="E268" s="5" t="s">
        <v>76</v>
      </c>
      <c r="F268" s="0" t="s">
        <v>5686</v>
      </c>
      <c r="G268" s="0" t="s">
        <v>1855</v>
      </c>
      <c r="H268" s="0" t="s">
        <v>5502</v>
      </c>
      <c r="I268" s="5" t="s">
        <v>5687</v>
      </c>
      <c r="K268" s="0" t="s">
        <v>35</v>
      </c>
      <c r="L268" s="0" t="s">
        <v>5688</v>
      </c>
    </row>
    <row r="269" customFormat="false" ht="17.15" hidden="false" customHeight="false" outlineLevel="0" collapsed="false">
      <c r="A269" s="0" t="s">
        <v>5689</v>
      </c>
      <c r="B269" s="0" t="s">
        <v>2459</v>
      </c>
      <c r="C269" s="0" t="s">
        <v>5690</v>
      </c>
      <c r="D269" s="0" t="s">
        <v>112</v>
      </c>
      <c r="E269" s="5" t="s">
        <v>76</v>
      </c>
      <c r="F269" s="0" t="s">
        <v>5686</v>
      </c>
      <c r="G269" s="0" t="s">
        <v>1855</v>
      </c>
      <c r="H269" s="0" t="s">
        <v>5519</v>
      </c>
      <c r="I269" s="5" t="s">
        <v>5691</v>
      </c>
      <c r="K269" s="0" t="s">
        <v>35</v>
      </c>
      <c r="L269" s="0" t="s">
        <v>5692</v>
      </c>
    </row>
    <row r="270" customFormat="false" ht="17.15" hidden="false" customHeight="false" outlineLevel="0" collapsed="false">
      <c r="A270" s="0" t="s">
        <v>5693</v>
      </c>
      <c r="B270" s="0" t="s">
        <v>2459</v>
      </c>
      <c r="C270" s="0" t="s">
        <v>5694</v>
      </c>
      <c r="D270" s="0" t="s">
        <v>112</v>
      </c>
      <c r="E270" s="5" t="s">
        <v>76</v>
      </c>
      <c r="F270" s="0" t="s">
        <v>5411</v>
      </c>
      <c r="G270" s="0" t="s">
        <v>1909</v>
      </c>
      <c r="H270" s="0" t="s">
        <v>5454</v>
      </c>
      <c r="I270" s="0" t="s">
        <v>5695</v>
      </c>
      <c r="K270" s="0" t="s">
        <v>35</v>
      </c>
      <c r="L270" s="0" t="s">
        <v>5696</v>
      </c>
    </row>
    <row r="271" customFormat="false" ht="17.15" hidden="false" customHeight="false" outlineLevel="0" collapsed="false">
      <c r="A271" s="0" t="s">
        <v>5697</v>
      </c>
      <c r="B271" s="0" t="s">
        <v>5698</v>
      </c>
      <c r="C271" s="0" t="s">
        <v>5699</v>
      </c>
      <c r="D271" s="0" t="s">
        <v>4711</v>
      </c>
      <c r="E271" s="5" t="s">
        <v>76</v>
      </c>
      <c r="F271" s="0" t="s">
        <v>5700</v>
      </c>
      <c r="G271" s="0" t="s">
        <v>1909</v>
      </c>
      <c r="H271" s="0" t="s">
        <v>5454</v>
      </c>
      <c r="I271" s="0" t="s">
        <v>5701</v>
      </c>
      <c r="K271" s="0" t="s">
        <v>35</v>
      </c>
      <c r="L271" s="0" t="s">
        <v>5702</v>
      </c>
    </row>
    <row r="272" customFormat="false" ht="17.15" hidden="false" customHeight="false" outlineLevel="0" collapsed="false">
      <c r="A272" s="0" t="s">
        <v>5703</v>
      </c>
      <c r="B272" s="0" t="s">
        <v>5704</v>
      </c>
      <c r="C272" s="0" t="s">
        <v>5705</v>
      </c>
      <c r="D272" s="0" t="s">
        <v>112</v>
      </c>
      <c r="E272" s="5" t="s">
        <v>76</v>
      </c>
      <c r="F272" s="0" t="s">
        <v>5706</v>
      </c>
      <c r="G272" s="0" t="s">
        <v>1909</v>
      </c>
      <c r="H272" s="0" t="s">
        <v>5497</v>
      </c>
      <c r="I272" s="5" t="s">
        <v>5707</v>
      </c>
      <c r="K272" s="0" t="s">
        <v>35</v>
      </c>
      <c r="L272" s="0" t="s">
        <v>5708</v>
      </c>
    </row>
    <row r="273" customFormat="false" ht="17.15" hidden="false" customHeight="false" outlineLevel="0" collapsed="false">
      <c r="A273" s="0" t="s">
        <v>5709</v>
      </c>
      <c r="B273" s="0" t="s">
        <v>5710</v>
      </c>
      <c r="C273" s="0" t="s">
        <v>5711</v>
      </c>
      <c r="D273" s="0" t="s">
        <v>4456</v>
      </c>
      <c r="E273" s="5" t="s">
        <v>76</v>
      </c>
      <c r="F273" s="0" t="s">
        <v>5712</v>
      </c>
      <c r="G273" s="0" t="s">
        <v>1855</v>
      </c>
      <c r="H273" s="0" t="s">
        <v>5497</v>
      </c>
      <c r="I273" s="5" t="s">
        <v>5713</v>
      </c>
      <c r="K273" s="0" t="s">
        <v>35</v>
      </c>
      <c r="L273" s="0" t="s">
        <v>5714</v>
      </c>
    </row>
    <row r="274" customFormat="false" ht="17.15" hidden="false" customHeight="false" outlineLevel="0" collapsed="false">
      <c r="A274" s="0" t="s">
        <v>5715</v>
      </c>
      <c r="B274" s="0" t="s">
        <v>5716</v>
      </c>
      <c r="C274" s="0" t="s">
        <v>5717</v>
      </c>
      <c r="D274" s="0" t="s">
        <v>5718</v>
      </c>
      <c r="E274" s="5" t="s">
        <v>76</v>
      </c>
      <c r="F274" s="0" t="s">
        <v>5719</v>
      </c>
      <c r="G274" s="0" t="s">
        <v>1855</v>
      </c>
      <c r="H274" s="0" t="s">
        <v>5454</v>
      </c>
      <c r="I274" s="0" t="s">
        <v>5720</v>
      </c>
      <c r="K274" s="0" t="s">
        <v>35</v>
      </c>
      <c r="L274" s="0" t="s">
        <v>5721</v>
      </c>
    </row>
    <row r="275" customFormat="false" ht="17.15" hidden="false" customHeight="false" outlineLevel="0" collapsed="false">
      <c r="A275" s="0" t="s">
        <v>5722</v>
      </c>
      <c r="B275" s="0" t="s">
        <v>5723</v>
      </c>
      <c r="C275" s="0" t="s">
        <v>5724</v>
      </c>
      <c r="D275" s="0" t="s">
        <v>112</v>
      </c>
      <c r="E275" s="5" t="s">
        <v>76</v>
      </c>
      <c r="F275" s="0" t="s">
        <v>5725</v>
      </c>
      <c r="G275" s="0" t="s">
        <v>1909</v>
      </c>
      <c r="H275" s="0" t="s">
        <v>5519</v>
      </c>
      <c r="I275" s="0" t="s">
        <v>5726</v>
      </c>
      <c r="K275" s="0" t="s">
        <v>35</v>
      </c>
      <c r="L275" s="0" t="s">
        <v>5727</v>
      </c>
    </row>
    <row r="276" customFormat="false" ht="17.15" hidden="false" customHeight="false" outlineLevel="0" collapsed="false">
      <c r="A276" s="0" t="s">
        <v>5728</v>
      </c>
      <c r="B276" s="0" t="s">
        <v>5729</v>
      </c>
      <c r="C276" s="0" t="s">
        <v>5730</v>
      </c>
      <c r="D276" s="0" t="s">
        <v>5731</v>
      </c>
      <c r="E276" s="5" t="s">
        <v>76</v>
      </c>
      <c r="F276" s="0" t="s">
        <v>4262</v>
      </c>
      <c r="G276" s="0" t="s">
        <v>1855</v>
      </c>
      <c r="H276" s="0" t="s">
        <v>5454</v>
      </c>
      <c r="I276" s="0" t="s">
        <v>5732</v>
      </c>
      <c r="K276" s="0" t="s">
        <v>35</v>
      </c>
      <c r="L276" s="0" t="s">
        <v>5733</v>
      </c>
    </row>
    <row r="277" customFormat="false" ht="17.15" hidden="false" customHeight="false" outlineLevel="0" collapsed="false">
      <c r="A277" s="0" t="s">
        <v>5734</v>
      </c>
      <c r="B277" s="0" t="s">
        <v>5735</v>
      </c>
      <c r="C277" s="0" t="s">
        <v>5736</v>
      </c>
      <c r="D277" s="0" t="s">
        <v>4940</v>
      </c>
      <c r="E277" s="0" t="s">
        <v>111</v>
      </c>
      <c r="G277" s="0" t="s">
        <v>1909</v>
      </c>
      <c r="H277" s="0" t="s">
        <v>5737</v>
      </c>
      <c r="K277" s="0" t="s">
        <v>35</v>
      </c>
      <c r="L277" s="0" t="s">
        <v>5738</v>
      </c>
    </row>
    <row r="278" customFormat="false" ht="17.15" hidden="false" customHeight="false" outlineLevel="0" collapsed="false">
      <c r="A278" s="0" t="s">
        <v>5739</v>
      </c>
      <c r="B278" s="0" t="s">
        <v>5740</v>
      </c>
      <c r="C278" s="0" t="s">
        <v>5741</v>
      </c>
      <c r="D278" s="0" t="s">
        <v>112</v>
      </c>
      <c r="E278" s="5" t="s">
        <v>76</v>
      </c>
      <c r="G278" s="0" t="s">
        <v>1909</v>
      </c>
      <c r="H278" s="0" t="s">
        <v>5486</v>
      </c>
      <c r="I278" s="5" t="s">
        <v>5742</v>
      </c>
      <c r="K278" s="0" t="s">
        <v>35</v>
      </c>
      <c r="L278" s="0" t="s">
        <v>5743</v>
      </c>
    </row>
    <row r="279" customFormat="false" ht="17.15" hidden="false" customHeight="false" outlineLevel="0" collapsed="false">
      <c r="A279" s="0" t="s">
        <v>5744</v>
      </c>
      <c r="B279" s="0" t="s">
        <v>5740</v>
      </c>
      <c r="C279" s="0" t="s">
        <v>5745</v>
      </c>
      <c r="D279" s="0" t="s">
        <v>4708</v>
      </c>
      <c r="E279" s="5" t="s">
        <v>76</v>
      </c>
      <c r="G279" s="0" t="s">
        <v>1909</v>
      </c>
      <c r="H279" s="0" t="s">
        <v>5480</v>
      </c>
      <c r="I279" s="0" t="s">
        <v>5746</v>
      </c>
      <c r="K279" s="0" t="s">
        <v>35</v>
      </c>
      <c r="L279" s="0" t="s">
        <v>5747</v>
      </c>
    </row>
    <row r="280" customFormat="false" ht="17.15" hidden="false" customHeight="false" outlineLevel="0" collapsed="false">
      <c r="A280" s="0" t="s">
        <v>5748</v>
      </c>
      <c r="B280" s="0" t="s">
        <v>5749</v>
      </c>
      <c r="C280" s="0" t="s">
        <v>5750</v>
      </c>
      <c r="D280" s="0" t="s">
        <v>5751</v>
      </c>
      <c r="E280" s="5" t="s">
        <v>76</v>
      </c>
      <c r="F280" s="0" t="s">
        <v>4812</v>
      </c>
      <c r="G280" s="0" t="s">
        <v>1855</v>
      </c>
      <c r="H280" s="0" t="s">
        <v>5497</v>
      </c>
      <c r="I280" s="5" t="s">
        <v>5498</v>
      </c>
      <c r="K280" s="0" t="s">
        <v>35</v>
      </c>
      <c r="L280" s="0" t="s">
        <v>5752</v>
      </c>
    </row>
    <row r="281" customFormat="false" ht="17.15" hidden="false" customHeight="false" outlineLevel="0" collapsed="false">
      <c r="A281" s="0" t="s">
        <v>5753</v>
      </c>
      <c r="B281" s="0" t="s">
        <v>5754</v>
      </c>
      <c r="C281" s="0" t="s">
        <v>5755</v>
      </c>
      <c r="D281" s="0" t="s">
        <v>5095</v>
      </c>
      <c r="E281" s="0" t="s">
        <v>111</v>
      </c>
      <c r="F281" s="0" t="s">
        <v>4753</v>
      </c>
      <c r="G281" s="0" t="s">
        <v>1909</v>
      </c>
      <c r="H281" s="0" t="s">
        <v>5497</v>
      </c>
      <c r="I281" s="5" t="s">
        <v>5756</v>
      </c>
      <c r="K281" s="0" t="s">
        <v>35</v>
      </c>
      <c r="L281" s="0" t="s">
        <v>5757</v>
      </c>
    </row>
    <row r="282" customFormat="false" ht="17.15" hidden="false" customHeight="false" outlineLevel="0" collapsed="false">
      <c r="A282" s="0" t="s">
        <v>5758</v>
      </c>
      <c r="B282" s="0" t="s">
        <v>5754</v>
      </c>
      <c r="C282" s="0" t="s">
        <v>5759</v>
      </c>
      <c r="D282" s="0" t="s">
        <v>5760</v>
      </c>
      <c r="E282" s="0" t="s">
        <v>111</v>
      </c>
      <c r="F282" s="0" t="s">
        <v>4534</v>
      </c>
      <c r="G282" s="0" t="s">
        <v>1855</v>
      </c>
      <c r="H282" s="0" t="s">
        <v>5454</v>
      </c>
      <c r="I282" s="0" t="s">
        <v>5761</v>
      </c>
      <c r="K282" s="0" t="s">
        <v>35</v>
      </c>
      <c r="L282" s="0" t="s">
        <v>5762</v>
      </c>
    </row>
    <row r="283" customFormat="false" ht="17.15" hidden="false" customHeight="false" outlineLevel="0" collapsed="false">
      <c r="A283" s="0" t="s">
        <v>5763</v>
      </c>
      <c r="B283" s="0" t="s">
        <v>5754</v>
      </c>
      <c r="C283" s="0" t="s">
        <v>5764</v>
      </c>
      <c r="D283" s="0" t="s">
        <v>5095</v>
      </c>
      <c r="E283" s="0" t="s">
        <v>111</v>
      </c>
      <c r="F283" s="0" t="s">
        <v>5765</v>
      </c>
      <c r="G283" s="0" t="s">
        <v>1909</v>
      </c>
      <c r="H283" s="0" t="s">
        <v>5497</v>
      </c>
      <c r="I283" s="5" t="s">
        <v>5498</v>
      </c>
      <c r="K283" s="0" t="s">
        <v>35</v>
      </c>
      <c r="L283" s="0" t="s">
        <v>5766</v>
      </c>
    </row>
    <row r="284" customFormat="false" ht="17.15" hidden="false" customHeight="false" outlineLevel="0" collapsed="false">
      <c r="A284" s="0" t="s">
        <v>5767</v>
      </c>
      <c r="B284" s="0" t="s">
        <v>5754</v>
      </c>
      <c r="C284" s="0" t="s">
        <v>5768</v>
      </c>
      <c r="D284" s="0" t="s">
        <v>5769</v>
      </c>
      <c r="E284" s="5" t="s">
        <v>167</v>
      </c>
      <c r="F284" s="0" t="s">
        <v>4753</v>
      </c>
      <c r="G284" s="0" t="s">
        <v>1909</v>
      </c>
      <c r="H284" s="0" t="s">
        <v>5497</v>
      </c>
      <c r="I284" s="5" t="s">
        <v>5756</v>
      </c>
      <c r="K284" s="0" t="s">
        <v>35</v>
      </c>
      <c r="L284" s="0" t="s">
        <v>5757</v>
      </c>
    </row>
    <row r="285" customFormat="false" ht="17.15" hidden="false" customHeight="false" outlineLevel="0" collapsed="false">
      <c r="A285" s="0" t="s">
        <v>5770</v>
      </c>
      <c r="B285" s="0" t="s">
        <v>5771</v>
      </c>
      <c r="C285" s="0" t="s">
        <v>5772</v>
      </c>
      <c r="D285" s="0" t="s">
        <v>5578</v>
      </c>
      <c r="E285" s="0" t="s">
        <v>111</v>
      </c>
      <c r="F285" s="0" t="s">
        <v>5686</v>
      </c>
      <c r="G285" s="0" t="s">
        <v>1909</v>
      </c>
      <c r="H285" s="0" t="s">
        <v>5486</v>
      </c>
      <c r="I285" s="0" t="s">
        <v>5773</v>
      </c>
      <c r="K285" s="0" t="s">
        <v>35</v>
      </c>
      <c r="L285" s="0" t="s">
        <v>5774</v>
      </c>
    </row>
    <row r="286" customFormat="false" ht="17.15" hidden="false" customHeight="false" outlineLevel="0" collapsed="false">
      <c r="A286" s="0" t="s">
        <v>5775</v>
      </c>
      <c r="B286" s="0" t="s">
        <v>5771</v>
      </c>
      <c r="C286" s="0" t="s">
        <v>5776</v>
      </c>
      <c r="D286" s="0" t="s">
        <v>5777</v>
      </c>
      <c r="E286" s="0" t="s">
        <v>111</v>
      </c>
      <c r="F286" s="0" t="s">
        <v>5778</v>
      </c>
      <c r="G286" s="0" t="s">
        <v>1909</v>
      </c>
      <c r="H286" s="0" t="s">
        <v>5502</v>
      </c>
      <c r="I286" s="5" t="s">
        <v>5779</v>
      </c>
      <c r="K286" s="0" t="s">
        <v>35</v>
      </c>
      <c r="L286" s="0" t="s">
        <v>5780</v>
      </c>
    </row>
    <row r="287" customFormat="false" ht="17.15" hidden="false" customHeight="false" outlineLevel="0" collapsed="false">
      <c r="A287" s="0" t="s">
        <v>5781</v>
      </c>
      <c r="B287" s="0" t="s">
        <v>5771</v>
      </c>
      <c r="C287" s="0" t="s">
        <v>5782</v>
      </c>
      <c r="D287" s="0" t="s">
        <v>5783</v>
      </c>
      <c r="E287" s="0" t="s">
        <v>111</v>
      </c>
      <c r="F287" s="0" t="s">
        <v>5302</v>
      </c>
      <c r="G287" s="0" t="s">
        <v>1909</v>
      </c>
      <c r="H287" s="0" t="s">
        <v>5454</v>
      </c>
      <c r="I287" s="0" t="s">
        <v>5784</v>
      </c>
      <c r="K287" s="0" t="s">
        <v>35</v>
      </c>
      <c r="L287" s="0" t="s">
        <v>5785</v>
      </c>
    </row>
    <row r="288" customFormat="false" ht="17.15" hidden="false" customHeight="false" outlineLevel="0" collapsed="false">
      <c r="A288" s="0" t="s">
        <v>5786</v>
      </c>
      <c r="B288" s="0" t="s">
        <v>5771</v>
      </c>
      <c r="C288" s="0" t="s">
        <v>5787</v>
      </c>
      <c r="D288" s="0" t="s">
        <v>5783</v>
      </c>
      <c r="E288" s="0" t="s">
        <v>111</v>
      </c>
      <c r="F288" s="0" t="s">
        <v>5686</v>
      </c>
      <c r="G288" s="0" t="s">
        <v>1909</v>
      </c>
      <c r="H288" s="0" t="s">
        <v>5486</v>
      </c>
      <c r="I288" s="0" t="s">
        <v>5788</v>
      </c>
      <c r="K288" s="0" t="s">
        <v>35</v>
      </c>
      <c r="L288" s="0" t="s">
        <v>5774</v>
      </c>
    </row>
    <row r="289" customFormat="false" ht="17.15" hidden="false" customHeight="false" outlineLevel="0" collapsed="false">
      <c r="A289" s="0" t="s">
        <v>5789</v>
      </c>
      <c r="B289" s="0" t="s">
        <v>5771</v>
      </c>
      <c r="C289" s="0" t="s">
        <v>5790</v>
      </c>
      <c r="D289" s="0" t="s">
        <v>5791</v>
      </c>
      <c r="E289" s="0" t="s">
        <v>111</v>
      </c>
      <c r="F289" s="0" t="s">
        <v>4829</v>
      </c>
      <c r="G289" s="0" t="s">
        <v>1909</v>
      </c>
      <c r="H289" s="0" t="s">
        <v>5497</v>
      </c>
      <c r="I289" s="5" t="s">
        <v>5498</v>
      </c>
      <c r="K289" s="0" t="s">
        <v>35</v>
      </c>
      <c r="L289" s="0" t="s">
        <v>5792</v>
      </c>
    </row>
    <row r="290" customFormat="false" ht="17.15" hidden="false" customHeight="false" outlineLevel="0" collapsed="false">
      <c r="A290" s="0" t="s">
        <v>5793</v>
      </c>
      <c r="B290" s="0" t="s">
        <v>5794</v>
      </c>
      <c r="C290" s="0" t="s">
        <v>5795</v>
      </c>
      <c r="D290" s="0" t="s">
        <v>5760</v>
      </c>
      <c r="E290" s="5" t="s">
        <v>76</v>
      </c>
      <c r="F290" s="0" t="s">
        <v>4644</v>
      </c>
      <c r="G290" s="0" t="s">
        <v>1855</v>
      </c>
      <c r="H290" s="0" t="s">
        <v>5497</v>
      </c>
      <c r="I290" s="5" t="s">
        <v>5498</v>
      </c>
      <c r="K290" s="0" t="s">
        <v>35</v>
      </c>
      <c r="L290" s="0" t="s">
        <v>5796</v>
      </c>
    </row>
    <row r="291" customFormat="false" ht="17.15" hidden="false" customHeight="false" outlineLevel="0" collapsed="false">
      <c r="A291" s="0" t="s">
        <v>5797</v>
      </c>
      <c r="B291" s="0" t="s">
        <v>5794</v>
      </c>
      <c r="C291" s="0" t="s">
        <v>5798</v>
      </c>
      <c r="D291" s="0" t="s">
        <v>5799</v>
      </c>
      <c r="E291" s="5" t="s">
        <v>76</v>
      </c>
      <c r="F291" s="0" t="s">
        <v>5800</v>
      </c>
      <c r="G291" s="0" t="s">
        <v>1855</v>
      </c>
      <c r="H291" s="0" t="s">
        <v>5454</v>
      </c>
      <c r="I291" s="0" t="s">
        <v>5801</v>
      </c>
      <c r="K291" s="0" t="s">
        <v>35</v>
      </c>
      <c r="L291" s="0" t="s">
        <v>5802</v>
      </c>
    </row>
    <row r="292" customFormat="false" ht="17.15" hidden="false" customHeight="false" outlineLevel="0" collapsed="false">
      <c r="A292" s="0" t="s">
        <v>5803</v>
      </c>
      <c r="B292" s="0" t="s">
        <v>1076</v>
      </c>
      <c r="C292" s="0" t="s">
        <v>5804</v>
      </c>
      <c r="D292" s="0" t="s">
        <v>5805</v>
      </c>
      <c r="E292" s="5" t="s">
        <v>76</v>
      </c>
      <c r="F292" s="0" t="s">
        <v>5806</v>
      </c>
      <c r="G292" s="0" t="s">
        <v>1909</v>
      </c>
      <c r="H292" s="0" t="s">
        <v>5454</v>
      </c>
      <c r="I292" s="0" t="s">
        <v>5807</v>
      </c>
      <c r="K292" s="0" t="s">
        <v>35</v>
      </c>
      <c r="L292" s="0" t="s">
        <v>5808</v>
      </c>
    </row>
    <row r="293" customFormat="false" ht="17.15" hidden="false" customHeight="false" outlineLevel="0" collapsed="false">
      <c r="A293" s="0" t="s">
        <v>5809</v>
      </c>
      <c r="B293" s="0" t="s">
        <v>1076</v>
      </c>
      <c r="C293" s="0" t="s">
        <v>5810</v>
      </c>
      <c r="D293" s="0" t="s">
        <v>4859</v>
      </c>
      <c r="E293" s="5" t="s">
        <v>76</v>
      </c>
      <c r="F293" s="0" t="s">
        <v>5811</v>
      </c>
      <c r="G293" s="0" t="s">
        <v>1909</v>
      </c>
      <c r="H293" s="0" t="s">
        <v>5497</v>
      </c>
      <c r="I293" s="5" t="s">
        <v>5756</v>
      </c>
      <c r="K293" s="0" t="s">
        <v>35</v>
      </c>
      <c r="L293" s="0" t="s">
        <v>5812</v>
      </c>
    </row>
    <row r="294" customFormat="false" ht="17.15" hidden="false" customHeight="false" outlineLevel="0" collapsed="false">
      <c r="A294" s="0" t="s">
        <v>5813</v>
      </c>
      <c r="B294" s="0" t="s">
        <v>1076</v>
      </c>
      <c r="C294" s="0" t="s">
        <v>5814</v>
      </c>
      <c r="D294" s="0" t="s">
        <v>5777</v>
      </c>
      <c r="E294" s="5" t="s">
        <v>76</v>
      </c>
      <c r="F294" s="0" t="s">
        <v>5815</v>
      </c>
      <c r="G294" s="0" t="s">
        <v>1909</v>
      </c>
      <c r="H294" s="0" t="s">
        <v>5454</v>
      </c>
      <c r="I294" s="5" t="s">
        <v>5816</v>
      </c>
      <c r="J294" s="0" t="s">
        <v>658</v>
      </c>
      <c r="K294" s="5" t="s">
        <v>4519</v>
      </c>
      <c r="L294" s="0" t="s">
        <v>5817</v>
      </c>
    </row>
    <row r="295" customFormat="false" ht="17.15" hidden="false" customHeight="false" outlineLevel="0" collapsed="false">
      <c r="A295" s="0" t="s">
        <v>5818</v>
      </c>
      <c r="B295" s="0" t="s">
        <v>1076</v>
      </c>
      <c r="C295" s="0" t="s">
        <v>5819</v>
      </c>
      <c r="D295" s="0" t="s">
        <v>4771</v>
      </c>
      <c r="E295" s="5" t="s">
        <v>76</v>
      </c>
      <c r="F295" s="0" t="s">
        <v>5815</v>
      </c>
      <c r="G295" s="0" t="s">
        <v>1909</v>
      </c>
      <c r="H295" s="0" t="s">
        <v>5454</v>
      </c>
      <c r="I295" s="0" t="s">
        <v>5820</v>
      </c>
      <c r="K295" s="0" t="s">
        <v>35</v>
      </c>
      <c r="L295" s="0" t="s">
        <v>5817</v>
      </c>
    </row>
    <row r="296" customFormat="false" ht="17.15" hidden="false" customHeight="false" outlineLevel="0" collapsed="false">
      <c r="A296" s="0" t="s">
        <v>5821</v>
      </c>
      <c r="B296" s="0" t="s">
        <v>1095</v>
      </c>
      <c r="C296" s="0" t="s">
        <v>5822</v>
      </c>
      <c r="D296" s="0" t="s">
        <v>4795</v>
      </c>
      <c r="E296" s="5" t="s">
        <v>76</v>
      </c>
      <c r="F296" s="0" t="s">
        <v>2270</v>
      </c>
      <c r="G296" s="0" t="s">
        <v>1909</v>
      </c>
      <c r="H296" s="0" t="s">
        <v>5454</v>
      </c>
      <c r="I296" s="0" t="s">
        <v>5823</v>
      </c>
      <c r="J296" s="0" t="s">
        <v>648</v>
      </c>
      <c r="K296" s="5" t="s">
        <v>4519</v>
      </c>
      <c r="L296" s="0" t="s">
        <v>5824</v>
      </c>
    </row>
    <row r="297" customFormat="false" ht="17.15" hidden="false" customHeight="false" outlineLevel="0" collapsed="false">
      <c r="A297" s="0" t="s">
        <v>5825</v>
      </c>
      <c r="B297" s="0" t="s">
        <v>1095</v>
      </c>
      <c r="C297" s="0" t="s">
        <v>5826</v>
      </c>
      <c r="D297" s="0" t="s">
        <v>4799</v>
      </c>
      <c r="E297" s="5" t="s">
        <v>76</v>
      </c>
      <c r="G297" s="0" t="s">
        <v>1909</v>
      </c>
      <c r="H297" s="0" t="s">
        <v>5454</v>
      </c>
      <c r="I297" s="0" t="s">
        <v>5827</v>
      </c>
      <c r="J297" s="0" t="s">
        <v>652</v>
      </c>
      <c r="K297" s="5" t="s">
        <v>4519</v>
      </c>
      <c r="L297" s="0" t="s">
        <v>5828</v>
      </c>
    </row>
    <row r="298" customFormat="false" ht="17.15" hidden="false" customHeight="false" outlineLevel="0" collapsed="false">
      <c r="A298" s="0" t="s">
        <v>5829</v>
      </c>
      <c r="B298" s="0" t="s">
        <v>1095</v>
      </c>
      <c r="C298" s="0" t="s">
        <v>5830</v>
      </c>
      <c r="D298" s="0" t="s">
        <v>5017</v>
      </c>
      <c r="E298" s="5" t="s">
        <v>76</v>
      </c>
      <c r="G298" s="0" t="s">
        <v>1909</v>
      </c>
      <c r="H298" s="0" t="s">
        <v>5454</v>
      </c>
      <c r="I298" s="0" t="s">
        <v>5831</v>
      </c>
      <c r="K298" s="0" t="s">
        <v>35</v>
      </c>
      <c r="L298" s="0" t="s">
        <v>5832</v>
      </c>
    </row>
    <row r="299" customFormat="false" ht="17.15" hidden="false" customHeight="false" outlineLevel="0" collapsed="false">
      <c r="A299" s="0" t="s">
        <v>5833</v>
      </c>
      <c r="B299" s="0" t="s">
        <v>5834</v>
      </c>
      <c r="C299" s="0" t="s">
        <v>5835</v>
      </c>
      <c r="D299" s="0" t="s">
        <v>4771</v>
      </c>
      <c r="E299" s="5" t="s">
        <v>76</v>
      </c>
      <c r="F299" s="0" t="s">
        <v>5660</v>
      </c>
      <c r="G299" s="0" t="s">
        <v>1909</v>
      </c>
      <c r="H299" s="0" t="s">
        <v>5454</v>
      </c>
      <c r="I299" s="0" t="s">
        <v>5836</v>
      </c>
      <c r="K299" s="0" t="s">
        <v>35</v>
      </c>
      <c r="L299" s="0" t="s">
        <v>5837</v>
      </c>
    </row>
    <row r="300" customFormat="false" ht="17.15" hidden="false" customHeight="false" outlineLevel="0" collapsed="false">
      <c r="A300" s="0" t="s">
        <v>5838</v>
      </c>
      <c r="B300" s="0" t="s">
        <v>5839</v>
      </c>
      <c r="C300" s="0" t="s">
        <v>5840</v>
      </c>
      <c r="D300" s="0" t="s">
        <v>4846</v>
      </c>
      <c r="E300" s="0" t="s">
        <v>111</v>
      </c>
      <c r="F300" s="0" t="s">
        <v>5841</v>
      </c>
      <c r="G300" s="0" t="s">
        <v>1855</v>
      </c>
      <c r="H300" s="0" t="s">
        <v>5454</v>
      </c>
      <c r="I300" s="0" t="s">
        <v>5842</v>
      </c>
      <c r="K300" s="0" t="s">
        <v>35</v>
      </c>
      <c r="L300" s="0" t="s">
        <v>5843</v>
      </c>
    </row>
    <row r="301" customFormat="false" ht="17.15" hidden="false" customHeight="false" outlineLevel="0" collapsed="false">
      <c r="A301" s="0" t="s">
        <v>5844</v>
      </c>
      <c r="B301" s="0" t="s">
        <v>5845</v>
      </c>
      <c r="C301" s="0" t="s">
        <v>5846</v>
      </c>
      <c r="D301" s="0" t="s">
        <v>112</v>
      </c>
      <c r="E301" s="5" t="s">
        <v>76</v>
      </c>
      <c r="F301" s="0" t="s">
        <v>4601</v>
      </c>
      <c r="G301" s="0" t="s">
        <v>1855</v>
      </c>
      <c r="H301" s="0" t="s">
        <v>5519</v>
      </c>
      <c r="I301" s="0" t="s">
        <v>5847</v>
      </c>
      <c r="K301" s="0" t="s">
        <v>35</v>
      </c>
      <c r="L301" s="0" t="s">
        <v>5848</v>
      </c>
    </row>
    <row r="302" customFormat="false" ht="17.15" hidden="false" customHeight="false" outlineLevel="0" collapsed="false">
      <c r="A302" s="0" t="s">
        <v>5849</v>
      </c>
      <c r="B302" s="0" t="s">
        <v>2484</v>
      </c>
      <c r="C302" s="0" t="s">
        <v>5850</v>
      </c>
      <c r="D302" s="0" t="s">
        <v>4846</v>
      </c>
      <c r="E302" s="0" t="s">
        <v>111</v>
      </c>
      <c r="F302" s="0" t="s">
        <v>5349</v>
      </c>
      <c r="G302" s="0" t="s">
        <v>1909</v>
      </c>
      <c r="H302" s="0" t="s">
        <v>5497</v>
      </c>
      <c r="I302" s="5" t="s">
        <v>5498</v>
      </c>
      <c r="K302" s="0" t="s">
        <v>35</v>
      </c>
      <c r="L302" s="0" t="s">
        <v>5851</v>
      </c>
    </row>
    <row r="303" customFormat="false" ht="17.15" hidden="false" customHeight="false" outlineLevel="0" collapsed="false">
      <c r="A303" s="0" t="s">
        <v>5852</v>
      </c>
      <c r="B303" s="0" t="s">
        <v>2484</v>
      </c>
      <c r="C303" s="0" t="s">
        <v>5853</v>
      </c>
      <c r="D303" s="0" t="s">
        <v>4846</v>
      </c>
      <c r="E303" s="0" t="s">
        <v>111</v>
      </c>
      <c r="F303" s="0" t="s">
        <v>4812</v>
      </c>
      <c r="G303" s="0" t="s">
        <v>1909</v>
      </c>
      <c r="H303" s="0" t="s">
        <v>5497</v>
      </c>
      <c r="I303" s="5" t="s">
        <v>5498</v>
      </c>
      <c r="K303" s="0" t="s">
        <v>35</v>
      </c>
      <c r="L303" s="0" t="s">
        <v>5854</v>
      </c>
    </row>
    <row r="304" customFormat="false" ht="17.15" hidden="false" customHeight="false" outlineLevel="0" collapsed="false">
      <c r="A304" s="0" t="s">
        <v>5855</v>
      </c>
      <c r="B304" s="0" t="s">
        <v>2484</v>
      </c>
      <c r="C304" s="0" t="s">
        <v>5856</v>
      </c>
      <c r="D304" s="0" t="s">
        <v>4846</v>
      </c>
      <c r="E304" s="0" t="s">
        <v>111</v>
      </c>
      <c r="F304" s="0" t="s">
        <v>4812</v>
      </c>
      <c r="G304" s="0" t="s">
        <v>1909</v>
      </c>
      <c r="H304" s="0" t="s">
        <v>5497</v>
      </c>
      <c r="I304" s="5" t="s">
        <v>5498</v>
      </c>
      <c r="K304" s="0" t="s">
        <v>35</v>
      </c>
      <c r="L304" s="0" t="s">
        <v>5854</v>
      </c>
    </row>
    <row r="305" customFormat="false" ht="17.15" hidden="false" customHeight="false" outlineLevel="0" collapsed="false">
      <c r="A305" s="0" t="s">
        <v>5857</v>
      </c>
      <c r="B305" s="0" t="s">
        <v>2484</v>
      </c>
      <c r="C305" s="0" t="s">
        <v>5858</v>
      </c>
      <c r="D305" s="0" t="s">
        <v>4846</v>
      </c>
      <c r="E305" s="0" t="s">
        <v>111</v>
      </c>
      <c r="F305" s="0" t="s">
        <v>4812</v>
      </c>
      <c r="G305" s="0" t="s">
        <v>1909</v>
      </c>
      <c r="H305" s="0" t="s">
        <v>5497</v>
      </c>
      <c r="I305" s="5" t="s">
        <v>5498</v>
      </c>
      <c r="K305" s="0" t="s">
        <v>35</v>
      </c>
      <c r="L305" s="0" t="s">
        <v>5854</v>
      </c>
    </row>
    <row r="306" customFormat="false" ht="17.15" hidden="false" customHeight="false" outlineLevel="0" collapsed="false">
      <c r="A306" s="0" t="s">
        <v>5859</v>
      </c>
      <c r="B306" s="0" t="s">
        <v>2484</v>
      </c>
      <c r="C306" s="0" t="s">
        <v>5860</v>
      </c>
      <c r="D306" s="0" t="s">
        <v>5010</v>
      </c>
      <c r="E306" s="5" t="s">
        <v>76</v>
      </c>
      <c r="F306" s="0" t="s">
        <v>4956</v>
      </c>
      <c r="G306" s="0" t="s">
        <v>1909</v>
      </c>
      <c r="H306" s="0" t="s">
        <v>5486</v>
      </c>
      <c r="I306" s="0" t="s">
        <v>5861</v>
      </c>
      <c r="K306" s="0" t="s">
        <v>35</v>
      </c>
      <c r="L306" s="0" t="s">
        <v>5862</v>
      </c>
    </row>
    <row r="307" customFormat="false" ht="17.15" hidden="false" customHeight="false" outlineLevel="0" collapsed="false">
      <c r="A307" s="0" t="s">
        <v>5863</v>
      </c>
      <c r="B307" s="0" t="s">
        <v>2479</v>
      </c>
      <c r="C307" s="0" t="s">
        <v>5864</v>
      </c>
      <c r="D307" s="0" t="s">
        <v>5865</v>
      </c>
      <c r="E307" s="5" t="s">
        <v>76</v>
      </c>
      <c r="F307" s="0" t="s">
        <v>1926</v>
      </c>
      <c r="G307" s="0" t="s">
        <v>1909</v>
      </c>
      <c r="H307" s="0" t="s">
        <v>5497</v>
      </c>
      <c r="I307" s="5" t="s">
        <v>5756</v>
      </c>
      <c r="K307" s="0" t="s">
        <v>35</v>
      </c>
      <c r="L307" s="0" t="s">
        <v>5866</v>
      </c>
    </row>
    <row r="308" customFormat="false" ht="17.15" hidden="false" customHeight="false" outlineLevel="0" collapsed="false">
      <c r="A308" s="0" t="s">
        <v>5867</v>
      </c>
      <c r="B308" s="0" t="s">
        <v>2479</v>
      </c>
      <c r="C308" s="0" t="s">
        <v>5868</v>
      </c>
      <c r="D308" s="0" t="s">
        <v>5777</v>
      </c>
      <c r="E308" s="5" t="s">
        <v>76</v>
      </c>
      <c r="F308" s="0" t="s">
        <v>1926</v>
      </c>
      <c r="G308" s="0" t="s">
        <v>1909</v>
      </c>
      <c r="H308" s="0" t="s">
        <v>5497</v>
      </c>
      <c r="I308" s="5" t="s">
        <v>5756</v>
      </c>
      <c r="K308" s="0" t="s">
        <v>35</v>
      </c>
      <c r="L308" s="0" t="s">
        <v>5866</v>
      </c>
    </row>
    <row r="309" customFormat="false" ht="17.15" hidden="false" customHeight="false" outlineLevel="0" collapsed="false">
      <c r="A309" s="0" t="s">
        <v>5869</v>
      </c>
      <c r="B309" s="0" t="s">
        <v>2471</v>
      </c>
      <c r="C309" s="0" t="s">
        <v>5870</v>
      </c>
      <c r="D309" s="0" t="s">
        <v>4846</v>
      </c>
      <c r="E309" s="5" t="s">
        <v>76</v>
      </c>
      <c r="F309" s="0" t="s">
        <v>5871</v>
      </c>
      <c r="G309" s="0" t="s">
        <v>1909</v>
      </c>
      <c r="H309" s="0" t="s">
        <v>5454</v>
      </c>
      <c r="I309" s="0" t="s">
        <v>5872</v>
      </c>
      <c r="K309" s="0" t="s">
        <v>35</v>
      </c>
      <c r="L309" s="0" t="s">
        <v>5873</v>
      </c>
    </row>
    <row r="310" customFormat="false" ht="17.15" hidden="false" customHeight="false" outlineLevel="0" collapsed="false">
      <c r="A310" s="0" t="s">
        <v>5874</v>
      </c>
      <c r="B310" s="0" t="s">
        <v>2471</v>
      </c>
      <c r="C310" s="0" t="s">
        <v>5875</v>
      </c>
      <c r="D310" s="0" t="s">
        <v>5876</v>
      </c>
      <c r="E310" s="5" t="s">
        <v>76</v>
      </c>
      <c r="F310" s="0" t="s">
        <v>5877</v>
      </c>
      <c r="G310" s="0" t="s">
        <v>1909</v>
      </c>
      <c r="H310" s="0" t="s">
        <v>5480</v>
      </c>
      <c r="I310" s="0" t="s">
        <v>5878</v>
      </c>
      <c r="K310" s="0" t="s">
        <v>35</v>
      </c>
      <c r="L310" s="0" t="s">
        <v>5879</v>
      </c>
    </row>
    <row r="311" customFormat="false" ht="17.15" hidden="false" customHeight="false" outlineLevel="0" collapsed="false">
      <c r="A311" s="0" t="s">
        <v>5880</v>
      </c>
      <c r="B311" s="0" t="s">
        <v>5881</v>
      </c>
      <c r="C311" s="0" t="s">
        <v>5882</v>
      </c>
      <c r="D311" s="0" t="s">
        <v>5883</v>
      </c>
      <c r="E311" s="5" t="s">
        <v>76</v>
      </c>
      <c r="F311" s="0" t="s">
        <v>4838</v>
      </c>
      <c r="G311" s="0" t="s">
        <v>1855</v>
      </c>
      <c r="H311" s="0" t="s">
        <v>5497</v>
      </c>
      <c r="I311" s="5" t="s">
        <v>5498</v>
      </c>
      <c r="K311" s="0" t="s">
        <v>35</v>
      </c>
      <c r="L311" s="0" t="s">
        <v>5884</v>
      </c>
    </row>
    <row r="312" customFormat="false" ht="17.15" hidden="false" customHeight="false" outlineLevel="0" collapsed="false">
      <c r="A312" s="0" t="s">
        <v>5885</v>
      </c>
      <c r="B312" s="0" t="s">
        <v>5881</v>
      </c>
      <c r="C312" s="0" t="s">
        <v>5886</v>
      </c>
      <c r="D312" s="0" t="s">
        <v>5887</v>
      </c>
      <c r="E312" s="5" t="s">
        <v>76</v>
      </c>
      <c r="F312" s="0" t="s">
        <v>4838</v>
      </c>
      <c r="G312" s="0" t="s">
        <v>1855</v>
      </c>
      <c r="H312" s="0" t="s">
        <v>5497</v>
      </c>
      <c r="I312" s="5" t="s">
        <v>5498</v>
      </c>
      <c r="K312" s="0" t="s">
        <v>35</v>
      </c>
      <c r="L312" s="0" t="s">
        <v>5884</v>
      </c>
    </row>
    <row r="313" customFormat="false" ht="17.15" hidden="false" customHeight="false" outlineLevel="0" collapsed="false">
      <c r="A313" s="0" t="s">
        <v>5888</v>
      </c>
      <c r="B313" s="0" t="s">
        <v>2471</v>
      </c>
      <c r="C313" s="0" t="s">
        <v>5889</v>
      </c>
      <c r="D313" s="0" t="s">
        <v>4456</v>
      </c>
      <c r="E313" s="5" t="s">
        <v>76</v>
      </c>
      <c r="F313" s="0" t="s">
        <v>4851</v>
      </c>
      <c r="G313" s="0" t="s">
        <v>1909</v>
      </c>
      <c r="H313" s="0" t="s">
        <v>5454</v>
      </c>
      <c r="I313" s="0" t="s">
        <v>5890</v>
      </c>
      <c r="K313" s="0" t="s">
        <v>35</v>
      </c>
      <c r="L313" s="0" t="s">
        <v>5891</v>
      </c>
    </row>
    <row r="314" customFormat="false" ht="17.15" hidden="false" customHeight="false" outlineLevel="0" collapsed="false">
      <c r="A314" s="0" t="s">
        <v>5892</v>
      </c>
      <c r="B314" s="0" t="s">
        <v>2471</v>
      </c>
      <c r="C314" s="0" t="s">
        <v>5893</v>
      </c>
      <c r="D314" s="0" t="s">
        <v>4799</v>
      </c>
      <c r="E314" s="5" t="s">
        <v>76</v>
      </c>
      <c r="F314" s="0" t="s">
        <v>4851</v>
      </c>
      <c r="G314" s="0" t="s">
        <v>1909</v>
      </c>
      <c r="H314" s="0" t="s">
        <v>5502</v>
      </c>
      <c r="I314" s="0" t="s">
        <v>5894</v>
      </c>
      <c r="K314" s="0" t="s">
        <v>35</v>
      </c>
      <c r="L314" s="0" t="s">
        <v>5891</v>
      </c>
    </row>
    <row r="315" customFormat="false" ht="17.15" hidden="false" customHeight="false" outlineLevel="0" collapsed="false">
      <c r="A315" s="0" t="s">
        <v>5895</v>
      </c>
      <c r="B315" s="0" t="s">
        <v>5896</v>
      </c>
      <c r="C315" s="0" t="s">
        <v>5897</v>
      </c>
      <c r="D315" s="0" t="s">
        <v>4799</v>
      </c>
      <c r="E315" s="5" t="s">
        <v>76</v>
      </c>
      <c r="F315" s="0" t="s">
        <v>5898</v>
      </c>
      <c r="G315" s="0" t="s">
        <v>1909</v>
      </c>
      <c r="H315" s="0" t="s">
        <v>5454</v>
      </c>
      <c r="I315" s="0" t="s">
        <v>5899</v>
      </c>
      <c r="K315" s="0" t="s">
        <v>35</v>
      </c>
      <c r="L315" s="0" t="s">
        <v>5900</v>
      </c>
    </row>
    <row r="316" customFormat="false" ht="17.15" hidden="false" customHeight="false" outlineLevel="0" collapsed="false">
      <c r="A316" s="0" t="s">
        <v>5901</v>
      </c>
      <c r="B316" s="0" t="s">
        <v>5896</v>
      </c>
      <c r="C316" s="0" t="s">
        <v>5902</v>
      </c>
      <c r="D316" s="0" t="s">
        <v>5903</v>
      </c>
      <c r="E316" s="5" t="s">
        <v>76</v>
      </c>
      <c r="F316" s="0" t="s">
        <v>5898</v>
      </c>
      <c r="G316" s="0" t="s">
        <v>1909</v>
      </c>
      <c r="H316" s="0" t="s">
        <v>5454</v>
      </c>
      <c r="I316" s="5" t="s">
        <v>5904</v>
      </c>
      <c r="K316" s="0" t="s">
        <v>35</v>
      </c>
      <c r="L316" s="0" t="s">
        <v>5905</v>
      </c>
    </row>
    <row r="317" customFormat="false" ht="17.15" hidden="false" customHeight="false" outlineLevel="0" collapsed="false">
      <c r="A317" s="0" t="s">
        <v>5906</v>
      </c>
      <c r="B317" s="0" t="s">
        <v>5896</v>
      </c>
      <c r="C317" s="0" t="s">
        <v>5907</v>
      </c>
      <c r="D317" s="0" t="s">
        <v>5017</v>
      </c>
      <c r="E317" s="5" t="s">
        <v>76</v>
      </c>
      <c r="F317" s="0" t="s">
        <v>5908</v>
      </c>
      <c r="G317" s="0" t="s">
        <v>1909</v>
      </c>
      <c r="H317" s="0" t="s">
        <v>5454</v>
      </c>
      <c r="I317" s="0" t="s">
        <v>5909</v>
      </c>
      <c r="K317" s="0" t="s">
        <v>35</v>
      </c>
      <c r="L317" s="0" t="s">
        <v>5910</v>
      </c>
    </row>
    <row r="318" customFormat="false" ht="17.15" hidden="false" customHeight="false" outlineLevel="0" collapsed="false">
      <c r="A318" s="0" t="s">
        <v>5911</v>
      </c>
      <c r="B318" s="0" t="s">
        <v>5896</v>
      </c>
      <c r="C318" s="0" t="s">
        <v>5912</v>
      </c>
      <c r="D318" s="0" t="s">
        <v>112</v>
      </c>
      <c r="E318" s="5" t="s">
        <v>76</v>
      </c>
      <c r="F318" s="0" t="s">
        <v>5537</v>
      </c>
      <c r="G318" s="0" t="s">
        <v>1909</v>
      </c>
      <c r="H318" s="0" t="s">
        <v>5454</v>
      </c>
      <c r="I318" s="5" t="s">
        <v>5913</v>
      </c>
      <c r="K318" s="0" t="s">
        <v>35</v>
      </c>
      <c r="L318" s="0" t="s">
        <v>5914</v>
      </c>
    </row>
    <row r="319" customFormat="false" ht="17.15" hidden="false" customHeight="false" outlineLevel="0" collapsed="false">
      <c r="A319" s="0" t="s">
        <v>5915</v>
      </c>
      <c r="B319" s="0" t="s">
        <v>5916</v>
      </c>
      <c r="C319" s="0" t="s">
        <v>5917</v>
      </c>
      <c r="D319" s="0" t="s">
        <v>5918</v>
      </c>
      <c r="E319" s="5" t="s">
        <v>76</v>
      </c>
      <c r="F319" s="0" t="s">
        <v>5919</v>
      </c>
      <c r="G319" s="0" t="s">
        <v>1909</v>
      </c>
      <c r="H319" s="0" t="s">
        <v>5486</v>
      </c>
      <c r="I319" s="0" t="s">
        <v>5920</v>
      </c>
      <c r="K319" s="0" t="s">
        <v>35</v>
      </c>
      <c r="L319" s="0" t="s">
        <v>5921</v>
      </c>
    </row>
    <row r="320" customFormat="false" ht="17.15" hidden="false" customHeight="false" outlineLevel="0" collapsed="false">
      <c r="A320" s="0" t="s">
        <v>5922</v>
      </c>
      <c r="B320" s="0" t="s">
        <v>2471</v>
      </c>
      <c r="C320" s="0" t="s">
        <v>5923</v>
      </c>
      <c r="D320" s="0" t="s">
        <v>5924</v>
      </c>
      <c r="E320" s="5" t="s">
        <v>76</v>
      </c>
      <c r="F320" s="0" t="s">
        <v>5925</v>
      </c>
      <c r="G320" s="0" t="s">
        <v>1909</v>
      </c>
      <c r="H320" s="0" t="s">
        <v>5454</v>
      </c>
      <c r="I320" s="0" t="s">
        <v>5926</v>
      </c>
      <c r="K320" s="0" t="s">
        <v>35</v>
      </c>
      <c r="L320" s="0" t="s">
        <v>5927</v>
      </c>
    </row>
    <row r="321" customFormat="false" ht="17.15" hidden="false" customHeight="false" outlineLevel="0" collapsed="false">
      <c r="A321" s="0" t="s">
        <v>5928</v>
      </c>
      <c r="B321" s="0" t="s">
        <v>2471</v>
      </c>
      <c r="C321" s="0" t="s">
        <v>5929</v>
      </c>
      <c r="D321" s="0" t="s">
        <v>112</v>
      </c>
      <c r="E321" s="5" t="s">
        <v>76</v>
      </c>
      <c r="F321" s="0" t="s">
        <v>5930</v>
      </c>
      <c r="G321" s="0" t="s">
        <v>1909</v>
      </c>
      <c r="H321" s="0" t="s">
        <v>5454</v>
      </c>
      <c r="I321" s="0" t="s">
        <v>5931</v>
      </c>
      <c r="K321" s="0" t="s">
        <v>35</v>
      </c>
      <c r="L321" s="0" t="s">
        <v>5932</v>
      </c>
    </row>
    <row r="322" customFormat="false" ht="17.15" hidden="false" customHeight="false" outlineLevel="0" collapsed="false">
      <c r="A322" s="0" t="s">
        <v>5933</v>
      </c>
      <c r="B322" s="5" t="s">
        <v>5934</v>
      </c>
      <c r="C322" s="5" t="s">
        <v>5935</v>
      </c>
      <c r="D322" s="0" t="s">
        <v>5936</v>
      </c>
      <c r="E322" s="5" t="s">
        <v>76</v>
      </c>
      <c r="F322" s="0" t="s">
        <v>5930</v>
      </c>
      <c r="G322" s="0" t="s">
        <v>1909</v>
      </c>
      <c r="H322" s="0" t="s">
        <v>5502</v>
      </c>
      <c r="I322" s="5" t="s">
        <v>5937</v>
      </c>
      <c r="K322" s="0" t="s">
        <v>35</v>
      </c>
      <c r="L322" s="0" t="s">
        <v>5938</v>
      </c>
    </row>
    <row r="323" customFormat="false" ht="17.15" hidden="false" customHeight="false" outlineLevel="0" collapsed="false">
      <c r="A323" s="0" t="s">
        <v>5939</v>
      </c>
      <c r="B323" s="0" t="s">
        <v>5940</v>
      </c>
      <c r="C323" s="0" t="s">
        <v>5941</v>
      </c>
      <c r="D323" s="0" t="s">
        <v>5942</v>
      </c>
      <c r="E323" s="5" t="s">
        <v>76</v>
      </c>
      <c r="F323" s="0" t="s">
        <v>5930</v>
      </c>
      <c r="G323" s="0" t="s">
        <v>1866</v>
      </c>
      <c r="H323" s="0" t="s">
        <v>5454</v>
      </c>
      <c r="I323" s="5" t="s">
        <v>5943</v>
      </c>
      <c r="K323" s="0" t="s">
        <v>35</v>
      </c>
      <c r="L323" s="0" t="s">
        <v>5944</v>
      </c>
    </row>
    <row r="324" customFormat="false" ht="17.15" hidden="false" customHeight="false" outlineLevel="0" collapsed="false">
      <c r="A324" s="0" t="s">
        <v>5945</v>
      </c>
      <c r="B324" s="0" t="s">
        <v>5946</v>
      </c>
      <c r="C324" s="0" t="s">
        <v>5947</v>
      </c>
      <c r="D324" s="0" t="s">
        <v>5948</v>
      </c>
      <c r="E324" s="0" t="s">
        <v>111</v>
      </c>
      <c r="F324" s="0" t="s">
        <v>5071</v>
      </c>
      <c r="G324" s="0" t="s">
        <v>1909</v>
      </c>
      <c r="H324" s="0" t="s">
        <v>5497</v>
      </c>
      <c r="I324" s="5" t="s">
        <v>5498</v>
      </c>
      <c r="K324" s="0" t="s">
        <v>35</v>
      </c>
      <c r="L324" s="0" t="s">
        <v>5949</v>
      </c>
    </row>
    <row r="325" customFormat="false" ht="17.15" hidden="false" customHeight="false" outlineLevel="0" collapsed="false">
      <c r="A325" s="0" t="s">
        <v>5950</v>
      </c>
      <c r="B325" s="0" t="s">
        <v>5946</v>
      </c>
      <c r="C325" s="0" t="s">
        <v>5951</v>
      </c>
      <c r="D325" s="0" t="s">
        <v>5952</v>
      </c>
      <c r="E325" s="0" t="s">
        <v>111</v>
      </c>
      <c r="F325" s="0" t="s">
        <v>5925</v>
      </c>
      <c r="G325" s="0" t="s">
        <v>1855</v>
      </c>
      <c r="H325" s="0" t="s">
        <v>5454</v>
      </c>
      <c r="I325" s="0" t="s">
        <v>5953</v>
      </c>
      <c r="K325" s="0" t="s">
        <v>35</v>
      </c>
      <c r="L325" s="0" t="s">
        <v>5954</v>
      </c>
    </row>
    <row r="326" customFormat="false" ht="17.15" hidden="false" customHeight="false" outlineLevel="0" collapsed="false">
      <c r="A326" s="0" t="s">
        <v>5955</v>
      </c>
      <c r="B326" s="0" t="s">
        <v>5946</v>
      </c>
      <c r="C326" s="0" t="s">
        <v>5956</v>
      </c>
      <c r="D326" s="0" t="s">
        <v>5957</v>
      </c>
      <c r="E326" s="0" t="s">
        <v>111</v>
      </c>
      <c r="F326" s="0" t="s">
        <v>5071</v>
      </c>
      <c r="G326" s="0" t="s">
        <v>1909</v>
      </c>
      <c r="H326" s="0" t="s">
        <v>5497</v>
      </c>
      <c r="I326" s="5" t="s">
        <v>5498</v>
      </c>
      <c r="K326" s="0" t="s">
        <v>35</v>
      </c>
      <c r="L326" s="0" t="s">
        <v>5958</v>
      </c>
    </row>
    <row r="327" customFormat="false" ht="17.15" hidden="false" customHeight="false" outlineLevel="0" collapsed="false">
      <c r="A327" s="0" t="s">
        <v>5959</v>
      </c>
      <c r="B327" s="0" t="s">
        <v>5946</v>
      </c>
      <c r="C327" s="0" t="s">
        <v>5960</v>
      </c>
      <c r="D327" s="0" t="s">
        <v>5961</v>
      </c>
      <c r="E327" s="0" t="s">
        <v>111</v>
      </c>
      <c r="F327" s="0" t="s">
        <v>5071</v>
      </c>
      <c r="G327" s="0" t="s">
        <v>1909</v>
      </c>
      <c r="H327" s="0" t="s">
        <v>5497</v>
      </c>
      <c r="I327" s="5" t="s">
        <v>5498</v>
      </c>
      <c r="K327" s="0" t="s">
        <v>35</v>
      </c>
      <c r="L327" s="0" t="s">
        <v>5958</v>
      </c>
    </row>
    <row r="328" customFormat="false" ht="17.15" hidden="false" customHeight="false" outlineLevel="0" collapsed="false">
      <c r="A328" s="0" t="s">
        <v>5962</v>
      </c>
      <c r="B328" s="0" t="s">
        <v>5946</v>
      </c>
      <c r="C328" s="0" t="s">
        <v>5963</v>
      </c>
      <c r="D328" s="0" t="s">
        <v>5961</v>
      </c>
      <c r="E328" s="0" t="s">
        <v>111</v>
      </c>
      <c r="F328" s="0" t="s">
        <v>5071</v>
      </c>
      <c r="G328" s="0" t="s">
        <v>1909</v>
      </c>
      <c r="H328" s="0" t="s">
        <v>5497</v>
      </c>
      <c r="I328" s="5" t="s">
        <v>5498</v>
      </c>
      <c r="K328" s="0" t="s">
        <v>35</v>
      </c>
      <c r="L328" s="0" t="s">
        <v>5958</v>
      </c>
    </row>
    <row r="329" customFormat="false" ht="17.15" hidden="false" customHeight="false" outlineLevel="0" collapsed="false">
      <c r="A329" s="0" t="s">
        <v>5964</v>
      </c>
      <c r="B329" s="0" t="s">
        <v>5946</v>
      </c>
      <c r="C329" s="0" t="s">
        <v>5965</v>
      </c>
      <c r="D329" s="0" t="s">
        <v>5966</v>
      </c>
      <c r="E329" s="0" t="s">
        <v>111</v>
      </c>
      <c r="F329" s="0" t="s">
        <v>5071</v>
      </c>
      <c r="G329" s="0" t="s">
        <v>1909</v>
      </c>
      <c r="H329" s="0" t="s">
        <v>5497</v>
      </c>
      <c r="I329" s="5" t="s">
        <v>5498</v>
      </c>
      <c r="K329" s="0" t="s">
        <v>35</v>
      </c>
      <c r="L329" s="0" t="s">
        <v>5949</v>
      </c>
    </row>
    <row r="330" customFormat="false" ht="17.15" hidden="false" customHeight="false" outlineLevel="0" collapsed="false">
      <c r="A330" s="0" t="s">
        <v>5967</v>
      </c>
      <c r="B330" s="0" t="s">
        <v>5968</v>
      </c>
      <c r="C330" s="0" t="s">
        <v>5969</v>
      </c>
      <c r="D330" s="0" t="s">
        <v>5064</v>
      </c>
      <c r="E330" s="0" t="s">
        <v>111</v>
      </c>
      <c r="F330" s="0" t="s">
        <v>5065</v>
      </c>
      <c r="G330" s="0" t="s">
        <v>1909</v>
      </c>
      <c r="H330" s="0" t="s">
        <v>5519</v>
      </c>
      <c r="I330" s="0" t="s">
        <v>5970</v>
      </c>
      <c r="K330" s="0" t="s">
        <v>35</v>
      </c>
      <c r="L330" s="0" t="s">
        <v>5971</v>
      </c>
    </row>
    <row r="331" customFormat="false" ht="17.15" hidden="false" customHeight="false" outlineLevel="0" collapsed="false">
      <c r="A331" s="0" t="s">
        <v>5972</v>
      </c>
      <c r="B331" s="0" t="s">
        <v>5968</v>
      </c>
      <c r="C331" s="0" t="s">
        <v>5973</v>
      </c>
      <c r="D331" s="0" t="s">
        <v>5460</v>
      </c>
      <c r="E331" s="0" t="s">
        <v>111</v>
      </c>
      <c r="F331" s="0" t="s">
        <v>5065</v>
      </c>
      <c r="G331" s="0" t="s">
        <v>1909</v>
      </c>
      <c r="H331" s="0" t="s">
        <v>5454</v>
      </c>
      <c r="I331" s="0" t="s">
        <v>5974</v>
      </c>
      <c r="K331" s="0" t="s">
        <v>35</v>
      </c>
      <c r="L331" s="0" t="s">
        <v>5971</v>
      </c>
    </row>
    <row r="332" customFormat="false" ht="17.15" hidden="false" customHeight="false" outlineLevel="0" collapsed="false">
      <c r="A332" s="0" t="s">
        <v>5975</v>
      </c>
      <c r="B332" s="0" t="s">
        <v>5976</v>
      </c>
      <c r="C332" s="0" t="s">
        <v>5977</v>
      </c>
      <c r="D332" s="0" t="s">
        <v>5070</v>
      </c>
      <c r="E332" s="0" t="s">
        <v>111</v>
      </c>
      <c r="F332" s="0" t="s">
        <v>4753</v>
      </c>
      <c r="G332" s="0" t="s">
        <v>1855</v>
      </c>
      <c r="H332" s="0" t="s">
        <v>5497</v>
      </c>
      <c r="I332" s="5" t="s">
        <v>5498</v>
      </c>
      <c r="K332" s="0" t="s">
        <v>35</v>
      </c>
      <c r="L332" s="0" t="s">
        <v>5978</v>
      </c>
    </row>
    <row r="333" customFormat="false" ht="17.15" hidden="false" customHeight="false" outlineLevel="0" collapsed="false">
      <c r="A333" s="0" t="s">
        <v>5979</v>
      </c>
      <c r="B333" s="0" t="s">
        <v>5980</v>
      </c>
      <c r="C333" s="0" t="s">
        <v>5981</v>
      </c>
      <c r="D333" s="0" t="s">
        <v>5982</v>
      </c>
      <c r="E333" s="0" t="s">
        <v>111</v>
      </c>
      <c r="F333" s="0" t="s">
        <v>1708</v>
      </c>
      <c r="G333" s="0" t="s">
        <v>1909</v>
      </c>
      <c r="H333" s="0" t="s">
        <v>5497</v>
      </c>
      <c r="I333" s="5" t="s">
        <v>5498</v>
      </c>
      <c r="K333" s="0" t="s">
        <v>35</v>
      </c>
      <c r="L333" s="0" t="s">
        <v>5983</v>
      </c>
    </row>
    <row r="334" customFormat="false" ht="17.15" hidden="false" customHeight="false" outlineLevel="0" collapsed="false">
      <c r="A334" s="0" t="s">
        <v>5984</v>
      </c>
      <c r="B334" s="0" t="s">
        <v>5980</v>
      </c>
      <c r="C334" s="0" t="s">
        <v>5985</v>
      </c>
      <c r="D334" s="0" t="s">
        <v>5986</v>
      </c>
      <c r="E334" s="0" t="s">
        <v>111</v>
      </c>
      <c r="F334" s="0" t="s">
        <v>1708</v>
      </c>
      <c r="G334" s="0" t="s">
        <v>1909</v>
      </c>
      <c r="H334" s="0" t="s">
        <v>5497</v>
      </c>
      <c r="I334" s="5" t="s">
        <v>5498</v>
      </c>
      <c r="K334" s="0" t="s">
        <v>35</v>
      </c>
      <c r="L334" s="0" t="s">
        <v>5983</v>
      </c>
    </row>
    <row r="335" customFormat="false" ht="17.15" hidden="false" customHeight="false" outlineLevel="0" collapsed="false">
      <c r="A335" s="0" t="s">
        <v>5987</v>
      </c>
      <c r="B335" s="0" t="s">
        <v>5980</v>
      </c>
      <c r="C335" s="0" t="s">
        <v>5988</v>
      </c>
      <c r="D335" s="0" t="s">
        <v>5989</v>
      </c>
      <c r="E335" s="0" t="s">
        <v>111</v>
      </c>
      <c r="F335" s="0" t="s">
        <v>1708</v>
      </c>
      <c r="G335" s="0" t="s">
        <v>1909</v>
      </c>
      <c r="H335" s="0" t="s">
        <v>5497</v>
      </c>
      <c r="I335" s="5" t="s">
        <v>5498</v>
      </c>
      <c r="K335" s="0" t="s">
        <v>35</v>
      </c>
      <c r="L335" s="0" t="s">
        <v>5990</v>
      </c>
    </row>
    <row r="336" customFormat="false" ht="17.15" hidden="false" customHeight="false" outlineLevel="0" collapsed="false">
      <c r="A336" s="0" t="s">
        <v>5991</v>
      </c>
      <c r="B336" s="0" t="s">
        <v>5980</v>
      </c>
      <c r="C336" s="0" t="s">
        <v>5992</v>
      </c>
      <c r="D336" s="0" t="s">
        <v>5993</v>
      </c>
      <c r="E336" s="0" t="s">
        <v>111</v>
      </c>
      <c r="F336" s="0" t="s">
        <v>1708</v>
      </c>
      <c r="G336" s="0" t="s">
        <v>1909</v>
      </c>
      <c r="H336" s="0" t="s">
        <v>5497</v>
      </c>
      <c r="I336" s="5" t="s">
        <v>5498</v>
      </c>
      <c r="K336" s="0" t="s">
        <v>35</v>
      </c>
      <c r="L336" s="0" t="s">
        <v>5994</v>
      </c>
    </row>
    <row r="337" customFormat="false" ht="17.15" hidden="false" customHeight="false" outlineLevel="0" collapsed="false">
      <c r="A337" s="0" t="s">
        <v>5995</v>
      </c>
      <c r="B337" s="0" t="s">
        <v>5980</v>
      </c>
      <c r="C337" s="0" t="s">
        <v>5996</v>
      </c>
      <c r="D337" s="0" t="s">
        <v>5997</v>
      </c>
      <c r="E337" s="0" t="s">
        <v>111</v>
      </c>
      <c r="F337" s="0" t="s">
        <v>1708</v>
      </c>
      <c r="G337" s="0" t="s">
        <v>1909</v>
      </c>
      <c r="H337" s="0" t="s">
        <v>5497</v>
      </c>
      <c r="I337" s="5" t="s">
        <v>5498</v>
      </c>
      <c r="K337" s="0" t="s">
        <v>35</v>
      </c>
      <c r="L337" s="0" t="s">
        <v>5994</v>
      </c>
    </row>
    <row r="338" customFormat="false" ht="17.15" hidden="false" customHeight="false" outlineLevel="0" collapsed="false">
      <c r="A338" s="0" t="s">
        <v>5998</v>
      </c>
      <c r="B338" s="0" t="s">
        <v>5999</v>
      </c>
      <c r="C338" s="0" t="s">
        <v>6000</v>
      </c>
      <c r="D338" s="0" t="s">
        <v>5460</v>
      </c>
      <c r="E338" s="5" t="s">
        <v>76</v>
      </c>
      <c r="F338" s="0" t="s">
        <v>6001</v>
      </c>
      <c r="G338" s="0" t="s">
        <v>1909</v>
      </c>
      <c r="H338" s="0" t="s">
        <v>5497</v>
      </c>
      <c r="I338" s="5" t="s">
        <v>5498</v>
      </c>
      <c r="J338" s="0" t="s">
        <v>728</v>
      </c>
      <c r="K338" s="5" t="s">
        <v>1851</v>
      </c>
      <c r="L338" s="0" t="s">
        <v>6002</v>
      </c>
    </row>
    <row r="339" customFormat="false" ht="17.15" hidden="false" customHeight="false" outlineLevel="0" collapsed="false">
      <c r="A339" s="0" t="s">
        <v>6003</v>
      </c>
      <c r="B339" s="0" t="s">
        <v>5999</v>
      </c>
      <c r="C339" s="0" t="s">
        <v>6004</v>
      </c>
      <c r="D339" s="0" t="s">
        <v>6005</v>
      </c>
      <c r="E339" s="0" t="s">
        <v>111</v>
      </c>
      <c r="F339" s="0" t="s">
        <v>5057</v>
      </c>
      <c r="G339" s="0" t="s">
        <v>1909</v>
      </c>
      <c r="H339" s="0" t="s">
        <v>5454</v>
      </c>
      <c r="I339" s="0" t="s">
        <v>6006</v>
      </c>
      <c r="K339" s="0" t="s">
        <v>35</v>
      </c>
      <c r="L339" s="0" t="s">
        <v>6007</v>
      </c>
    </row>
    <row r="340" customFormat="false" ht="17.15" hidden="false" customHeight="false" outlineLevel="0" collapsed="false">
      <c r="A340" s="0" t="s">
        <v>6008</v>
      </c>
      <c r="B340" s="0" t="s">
        <v>5999</v>
      </c>
      <c r="C340" s="0" t="s">
        <v>6009</v>
      </c>
      <c r="D340" s="0" t="s">
        <v>6005</v>
      </c>
      <c r="E340" s="0" t="s">
        <v>111</v>
      </c>
      <c r="F340" s="0" t="s">
        <v>6001</v>
      </c>
      <c r="G340" s="0" t="s">
        <v>1909</v>
      </c>
      <c r="H340" s="0" t="s">
        <v>5497</v>
      </c>
      <c r="I340" s="5" t="s">
        <v>5498</v>
      </c>
      <c r="K340" s="0" t="s">
        <v>35</v>
      </c>
      <c r="L340" s="0" t="s">
        <v>6002</v>
      </c>
    </row>
    <row r="341" customFormat="false" ht="17.15" hidden="false" customHeight="false" outlineLevel="0" collapsed="false">
      <c r="A341" s="0" t="s">
        <v>6010</v>
      </c>
      <c r="B341" s="0" t="s">
        <v>6011</v>
      </c>
      <c r="C341" s="0" t="s">
        <v>6012</v>
      </c>
      <c r="D341" s="0" t="s">
        <v>6013</v>
      </c>
      <c r="E341" s="0" t="s">
        <v>111</v>
      </c>
      <c r="F341" s="0" t="s">
        <v>5321</v>
      </c>
      <c r="G341" s="0" t="s">
        <v>1909</v>
      </c>
      <c r="H341" s="0" t="s">
        <v>5497</v>
      </c>
      <c r="I341" s="5" t="s">
        <v>5498</v>
      </c>
      <c r="K341" s="0" t="s">
        <v>35</v>
      </c>
      <c r="L341" s="0" t="s">
        <v>6014</v>
      </c>
    </row>
    <row r="342" customFormat="false" ht="17.15" hidden="false" customHeight="false" outlineLevel="0" collapsed="false">
      <c r="A342" s="0" t="s">
        <v>6015</v>
      </c>
      <c r="B342" s="0" t="s">
        <v>6011</v>
      </c>
      <c r="C342" s="0" t="s">
        <v>6016</v>
      </c>
      <c r="D342" s="0" t="s">
        <v>6017</v>
      </c>
      <c r="E342" s="0" t="s">
        <v>111</v>
      </c>
      <c r="F342" s="0" t="s">
        <v>5321</v>
      </c>
      <c r="G342" s="0" t="s">
        <v>1866</v>
      </c>
      <c r="H342" s="0" t="s">
        <v>5497</v>
      </c>
      <c r="I342" s="5" t="s">
        <v>5498</v>
      </c>
      <c r="K342" s="0" t="s">
        <v>35</v>
      </c>
      <c r="L342" s="0" t="s">
        <v>6014</v>
      </c>
    </row>
    <row r="343" customFormat="false" ht="17.15" hidden="false" customHeight="false" outlineLevel="0" collapsed="false">
      <c r="A343" s="0" t="s">
        <v>6018</v>
      </c>
      <c r="B343" s="0" t="s">
        <v>6011</v>
      </c>
      <c r="C343" s="0" t="s">
        <v>6019</v>
      </c>
      <c r="D343" s="0" t="s">
        <v>6017</v>
      </c>
      <c r="E343" s="0" t="s">
        <v>111</v>
      </c>
      <c r="F343" s="0" t="s">
        <v>5321</v>
      </c>
      <c r="G343" s="0" t="s">
        <v>1866</v>
      </c>
      <c r="H343" s="0" t="s">
        <v>5497</v>
      </c>
      <c r="I343" s="5" t="s">
        <v>5498</v>
      </c>
      <c r="K343" s="0" t="s">
        <v>35</v>
      </c>
      <c r="L343" s="0" t="s">
        <v>6014</v>
      </c>
    </row>
    <row r="344" customFormat="false" ht="17.15" hidden="false" customHeight="false" outlineLevel="0" collapsed="false">
      <c r="A344" s="0" t="s">
        <v>6020</v>
      </c>
      <c r="B344" s="0" t="s">
        <v>6021</v>
      </c>
      <c r="C344" s="0" t="s">
        <v>6022</v>
      </c>
      <c r="D344" s="0" t="s">
        <v>6023</v>
      </c>
      <c r="E344" s="5" t="s">
        <v>167</v>
      </c>
      <c r="F344" s="0" t="s">
        <v>5321</v>
      </c>
      <c r="G344" s="0" t="s">
        <v>1909</v>
      </c>
      <c r="H344" s="0" t="s">
        <v>5497</v>
      </c>
      <c r="I344" s="5" t="s">
        <v>5498</v>
      </c>
      <c r="K344" s="0" t="s">
        <v>35</v>
      </c>
      <c r="L344" s="0" t="s">
        <v>6014</v>
      </c>
    </row>
    <row r="345" customFormat="false" ht="17.15" hidden="false" customHeight="false" outlineLevel="0" collapsed="false">
      <c r="A345" s="0" t="s">
        <v>6024</v>
      </c>
      <c r="B345" s="0" t="s">
        <v>6025</v>
      </c>
      <c r="C345" s="0" t="s">
        <v>6026</v>
      </c>
      <c r="D345" s="0" t="s">
        <v>4518</v>
      </c>
      <c r="E345" s="5" t="s">
        <v>76</v>
      </c>
      <c r="F345" s="0" t="s">
        <v>5507</v>
      </c>
      <c r="G345" s="0" t="s">
        <v>1909</v>
      </c>
      <c r="H345" s="0" t="s">
        <v>5480</v>
      </c>
      <c r="I345" s="5" t="s">
        <v>6027</v>
      </c>
      <c r="J345" s="0" t="s">
        <v>682</v>
      </c>
      <c r="K345" s="5" t="s">
        <v>4519</v>
      </c>
      <c r="L345" s="0" t="s">
        <v>5101</v>
      </c>
    </row>
    <row r="346" customFormat="false" ht="17.15" hidden="false" customHeight="false" outlineLevel="0" collapsed="false">
      <c r="A346" s="0" t="s">
        <v>6028</v>
      </c>
      <c r="B346" s="0" t="s">
        <v>6025</v>
      </c>
      <c r="C346" s="0" t="s">
        <v>6029</v>
      </c>
      <c r="D346" s="0" t="s">
        <v>6030</v>
      </c>
      <c r="E346" s="5" t="s">
        <v>76</v>
      </c>
      <c r="F346" s="0" t="s">
        <v>5281</v>
      </c>
      <c r="G346" s="0" t="s">
        <v>1855</v>
      </c>
      <c r="H346" s="0" t="s">
        <v>5454</v>
      </c>
      <c r="I346" s="0" t="s">
        <v>6031</v>
      </c>
      <c r="K346" s="0" t="s">
        <v>35</v>
      </c>
      <c r="L346" s="0" t="s">
        <v>6032</v>
      </c>
    </row>
    <row r="347" customFormat="false" ht="17.15" hidden="false" customHeight="false" outlineLevel="0" collapsed="false">
      <c r="A347" s="0" t="s">
        <v>6033</v>
      </c>
      <c r="B347" s="0" t="s">
        <v>6025</v>
      </c>
      <c r="C347" s="0" t="s">
        <v>6034</v>
      </c>
      <c r="D347" s="0" t="s">
        <v>5731</v>
      </c>
      <c r="E347" s="5" t="s">
        <v>76</v>
      </c>
      <c r="F347" s="0" t="s">
        <v>6035</v>
      </c>
      <c r="G347" s="0" t="s">
        <v>1909</v>
      </c>
      <c r="H347" s="0" t="s">
        <v>5486</v>
      </c>
      <c r="I347" s="0" t="s">
        <v>6036</v>
      </c>
      <c r="K347" s="0" t="s">
        <v>35</v>
      </c>
      <c r="L347" s="0" t="s">
        <v>6037</v>
      </c>
    </row>
    <row r="348" customFormat="false" ht="17.15" hidden="false" customHeight="false" outlineLevel="0" collapsed="false">
      <c r="A348" s="0" t="s">
        <v>6038</v>
      </c>
      <c r="B348" s="0" t="s">
        <v>6025</v>
      </c>
      <c r="C348" s="0" t="s">
        <v>6039</v>
      </c>
      <c r="D348" s="0" t="s">
        <v>6040</v>
      </c>
      <c r="E348" s="5" t="s">
        <v>76</v>
      </c>
      <c r="F348" s="0" t="s">
        <v>5507</v>
      </c>
      <c r="G348" s="0" t="s">
        <v>1909</v>
      </c>
      <c r="H348" s="0" t="s">
        <v>5480</v>
      </c>
      <c r="I348" s="0" t="s">
        <v>6041</v>
      </c>
      <c r="K348" s="0" t="s">
        <v>35</v>
      </c>
      <c r="L348" s="0" t="s">
        <v>5101</v>
      </c>
    </row>
    <row r="349" customFormat="false" ht="17.15" hidden="false" customHeight="false" outlineLevel="0" collapsed="false">
      <c r="A349" s="0" t="s">
        <v>6042</v>
      </c>
      <c r="B349" s="0" t="s">
        <v>6043</v>
      </c>
      <c r="C349" s="0" t="s">
        <v>6044</v>
      </c>
      <c r="D349" s="0" t="s">
        <v>5134</v>
      </c>
      <c r="E349" s="0" t="s">
        <v>111</v>
      </c>
      <c r="F349" s="0" t="s">
        <v>5135</v>
      </c>
      <c r="G349" s="0" t="s">
        <v>1855</v>
      </c>
      <c r="H349" s="0" t="s">
        <v>5454</v>
      </c>
      <c r="I349" s="0" t="s">
        <v>6045</v>
      </c>
      <c r="J349" s="0" t="s">
        <v>688</v>
      </c>
      <c r="K349" s="5" t="s">
        <v>1851</v>
      </c>
      <c r="L349" s="0" t="s">
        <v>6046</v>
      </c>
    </row>
    <row r="350" customFormat="false" ht="17.15" hidden="false" customHeight="false" outlineLevel="0" collapsed="false">
      <c r="A350" s="0" t="s">
        <v>6047</v>
      </c>
      <c r="B350" s="0" t="s">
        <v>6043</v>
      </c>
      <c r="C350" s="0" t="s">
        <v>6048</v>
      </c>
      <c r="D350" s="0" t="s">
        <v>6049</v>
      </c>
      <c r="E350" s="0" t="s">
        <v>111</v>
      </c>
      <c r="F350" s="0" t="s">
        <v>6050</v>
      </c>
      <c r="G350" s="0" t="s">
        <v>1855</v>
      </c>
      <c r="H350" s="0" t="s">
        <v>5454</v>
      </c>
      <c r="I350" s="0" t="s">
        <v>6051</v>
      </c>
      <c r="K350" s="0" t="s">
        <v>35</v>
      </c>
      <c r="L350" s="0" t="s">
        <v>6052</v>
      </c>
    </row>
    <row r="351" customFormat="false" ht="17.15" hidden="false" customHeight="false" outlineLevel="0" collapsed="false">
      <c r="A351" s="0" t="s">
        <v>6053</v>
      </c>
      <c r="B351" s="0" t="s">
        <v>6043</v>
      </c>
      <c r="C351" s="0" t="s">
        <v>6054</v>
      </c>
      <c r="D351" s="0" t="s">
        <v>6055</v>
      </c>
      <c r="E351" s="5" t="s">
        <v>76</v>
      </c>
      <c r="F351" s="0" t="s">
        <v>5281</v>
      </c>
      <c r="G351" s="0" t="s">
        <v>1855</v>
      </c>
      <c r="H351" s="0" t="s">
        <v>5497</v>
      </c>
      <c r="I351" s="5" t="s">
        <v>5498</v>
      </c>
      <c r="K351" s="0" t="s">
        <v>35</v>
      </c>
      <c r="L351" s="0" t="s">
        <v>6056</v>
      </c>
    </row>
    <row r="352" customFormat="false" ht="17.15" hidden="false" customHeight="false" outlineLevel="0" collapsed="false">
      <c r="A352" s="0" t="s">
        <v>6057</v>
      </c>
      <c r="B352" s="0" t="s">
        <v>6058</v>
      </c>
      <c r="C352" s="0" t="s">
        <v>6059</v>
      </c>
      <c r="D352" s="0" t="s">
        <v>6060</v>
      </c>
      <c r="E352" s="5" t="s">
        <v>76</v>
      </c>
      <c r="F352" s="0" t="s">
        <v>6061</v>
      </c>
      <c r="G352" s="0" t="s">
        <v>1855</v>
      </c>
      <c r="H352" s="0" t="s">
        <v>5497</v>
      </c>
      <c r="I352" s="5" t="s">
        <v>5707</v>
      </c>
      <c r="K352" s="0" t="s">
        <v>35</v>
      </c>
      <c r="L352" s="0" t="s">
        <v>6062</v>
      </c>
    </row>
    <row r="353" customFormat="false" ht="17.15" hidden="false" customHeight="false" outlineLevel="0" collapsed="false">
      <c r="A353" s="0" t="s">
        <v>6063</v>
      </c>
      <c r="B353" s="0" t="s">
        <v>6043</v>
      </c>
      <c r="C353" s="0" t="s">
        <v>6064</v>
      </c>
      <c r="D353" s="0" t="s">
        <v>112</v>
      </c>
      <c r="E353" s="5" t="s">
        <v>76</v>
      </c>
      <c r="F353" s="0" t="s">
        <v>5590</v>
      </c>
      <c r="G353" s="0" t="s">
        <v>1909</v>
      </c>
      <c r="H353" s="0" t="s">
        <v>5486</v>
      </c>
      <c r="I353" s="5" t="s">
        <v>6065</v>
      </c>
      <c r="K353" s="0" t="s">
        <v>35</v>
      </c>
      <c r="L353" s="0" t="s">
        <v>6066</v>
      </c>
    </row>
    <row r="354" customFormat="false" ht="17.15" hidden="false" customHeight="false" outlineLevel="0" collapsed="false">
      <c r="A354" s="0" t="s">
        <v>6067</v>
      </c>
      <c r="B354" s="0" t="s">
        <v>6043</v>
      </c>
      <c r="C354" s="0" t="s">
        <v>6068</v>
      </c>
      <c r="D354" s="0" t="s">
        <v>4698</v>
      </c>
      <c r="E354" s="5" t="s">
        <v>76</v>
      </c>
      <c r="F354" s="0" t="s">
        <v>6069</v>
      </c>
      <c r="G354" s="0" t="s">
        <v>1909</v>
      </c>
      <c r="H354" s="0" t="s">
        <v>5502</v>
      </c>
      <c r="I354" s="5" t="s">
        <v>6070</v>
      </c>
      <c r="K354" s="0" t="s">
        <v>35</v>
      </c>
      <c r="L354" s="0" t="s">
        <v>6071</v>
      </c>
    </row>
    <row r="355" customFormat="false" ht="17.15" hidden="false" customHeight="false" outlineLevel="0" collapsed="false">
      <c r="A355" s="0" t="s">
        <v>6072</v>
      </c>
      <c r="B355" s="0" t="s">
        <v>6043</v>
      </c>
      <c r="C355" s="0" t="s">
        <v>6073</v>
      </c>
      <c r="D355" s="0" t="s">
        <v>112</v>
      </c>
      <c r="E355" s="5" t="s">
        <v>76</v>
      </c>
      <c r="F355" s="0" t="s">
        <v>2393</v>
      </c>
      <c r="G355" s="0" t="s">
        <v>1909</v>
      </c>
      <c r="H355" s="0" t="s">
        <v>5497</v>
      </c>
      <c r="I355" s="5" t="s">
        <v>5498</v>
      </c>
      <c r="K355" s="0" t="s">
        <v>35</v>
      </c>
      <c r="L355" s="0" t="s">
        <v>6074</v>
      </c>
    </row>
    <row r="356" customFormat="false" ht="17.15" hidden="false" customHeight="false" outlineLevel="0" collapsed="false">
      <c r="A356" s="0" t="s">
        <v>6075</v>
      </c>
      <c r="B356" s="0" t="s">
        <v>6043</v>
      </c>
      <c r="C356" s="0" t="s">
        <v>6076</v>
      </c>
      <c r="D356" s="0" t="s">
        <v>4771</v>
      </c>
      <c r="E356" s="5" t="s">
        <v>76</v>
      </c>
      <c r="F356" s="0" t="s">
        <v>5057</v>
      </c>
      <c r="G356" s="0" t="s">
        <v>1909</v>
      </c>
      <c r="H356" s="0" t="s">
        <v>5502</v>
      </c>
      <c r="I356" s="5" t="s">
        <v>6077</v>
      </c>
      <c r="K356" s="0" t="s">
        <v>35</v>
      </c>
      <c r="L356" s="0" t="s">
        <v>5060</v>
      </c>
    </row>
    <row r="357" customFormat="false" ht="17.15" hidden="false" customHeight="false" outlineLevel="0" collapsed="false">
      <c r="A357" s="0" t="s">
        <v>6078</v>
      </c>
      <c r="B357" s="0" t="s">
        <v>6079</v>
      </c>
      <c r="C357" s="0" t="s">
        <v>6080</v>
      </c>
      <c r="D357" s="0" t="s">
        <v>4799</v>
      </c>
      <c r="E357" s="5" t="s">
        <v>76</v>
      </c>
      <c r="F357" s="0" t="s">
        <v>5649</v>
      </c>
      <c r="G357" s="0" t="s">
        <v>1909</v>
      </c>
      <c r="H357" s="0" t="s">
        <v>5454</v>
      </c>
      <c r="I357" s="0" t="s">
        <v>6081</v>
      </c>
      <c r="J357" s="0" t="s">
        <v>6082</v>
      </c>
      <c r="K357" s="5" t="s">
        <v>1851</v>
      </c>
      <c r="L357" s="0" t="s">
        <v>6083</v>
      </c>
    </row>
    <row r="358" customFormat="false" ht="17.15" hidden="false" customHeight="false" outlineLevel="0" collapsed="false">
      <c r="A358" s="0" t="s">
        <v>6084</v>
      </c>
      <c r="B358" s="0" t="s">
        <v>6079</v>
      </c>
      <c r="C358" s="0" t="s">
        <v>6085</v>
      </c>
      <c r="D358" s="0" t="s">
        <v>6086</v>
      </c>
      <c r="E358" s="5" t="s">
        <v>76</v>
      </c>
      <c r="F358" s="0" t="s">
        <v>5453</v>
      </c>
      <c r="G358" s="0" t="s">
        <v>1909</v>
      </c>
      <c r="H358" s="0" t="s">
        <v>5486</v>
      </c>
      <c r="I358" s="0" t="s">
        <v>6087</v>
      </c>
      <c r="K358" s="0" t="s">
        <v>35</v>
      </c>
      <c r="L358" s="0" t="s">
        <v>6088</v>
      </c>
    </row>
    <row r="359" customFormat="false" ht="17.15" hidden="false" customHeight="false" outlineLevel="0" collapsed="false">
      <c r="A359" s="0" t="s">
        <v>6089</v>
      </c>
      <c r="B359" s="0" t="s">
        <v>6079</v>
      </c>
      <c r="C359" s="0" t="s">
        <v>6090</v>
      </c>
      <c r="D359" s="0" t="s">
        <v>112</v>
      </c>
      <c r="E359" s="5" t="s">
        <v>76</v>
      </c>
      <c r="F359" s="0" t="s">
        <v>6091</v>
      </c>
      <c r="G359" s="0" t="s">
        <v>1855</v>
      </c>
      <c r="H359" s="0" t="s">
        <v>5486</v>
      </c>
      <c r="I359" s="0" t="s">
        <v>6092</v>
      </c>
      <c r="K359" s="0" t="s">
        <v>35</v>
      </c>
      <c r="L359" s="0" t="s">
        <v>6093</v>
      </c>
    </row>
    <row r="360" customFormat="false" ht="17.15" hidden="false" customHeight="false" outlineLevel="0" collapsed="false">
      <c r="A360" s="0" t="s">
        <v>6094</v>
      </c>
      <c r="B360" s="0" t="s">
        <v>1832</v>
      </c>
      <c r="C360" s="0" t="s">
        <v>6095</v>
      </c>
      <c r="D360" s="0" t="s">
        <v>4950</v>
      </c>
      <c r="E360" s="0" t="s">
        <v>111</v>
      </c>
      <c r="F360" s="0" t="s">
        <v>5686</v>
      </c>
      <c r="G360" s="0" t="s">
        <v>1855</v>
      </c>
      <c r="H360" s="0" t="s">
        <v>5480</v>
      </c>
      <c r="I360" s="0" t="s">
        <v>6096</v>
      </c>
      <c r="K360" s="0" t="s">
        <v>35</v>
      </c>
      <c r="L360" s="0" t="s">
        <v>6097</v>
      </c>
    </row>
    <row r="361" customFormat="false" ht="17.15" hidden="false" customHeight="false" outlineLevel="0" collapsed="false">
      <c r="A361" s="0" t="s">
        <v>6098</v>
      </c>
      <c r="B361" s="0" t="s">
        <v>1832</v>
      </c>
      <c r="C361" s="0" t="s">
        <v>6099</v>
      </c>
      <c r="D361" s="0" t="s">
        <v>5957</v>
      </c>
      <c r="E361" s="5" t="s">
        <v>76</v>
      </c>
      <c r="F361" s="0" t="s">
        <v>5396</v>
      </c>
      <c r="G361" s="0" t="s">
        <v>1909</v>
      </c>
      <c r="H361" s="0" t="s">
        <v>5497</v>
      </c>
      <c r="I361" s="5" t="s">
        <v>5498</v>
      </c>
      <c r="K361" s="0" t="s">
        <v>35</v>
      </c>
      <c r="L361" s="0" t="s">
        <v>6100</v>
      </c>
    </row>
    <row r="362" customFormat="false" ht="17.15" hidden="false" customHeight="false" outlineLevel="0" collapsed="false">
      <c r="A362" s="0" t="s">
        <v>6101</v>
      </c>
      <c r="B362" s="0" t="s">
        <v>6079</v>
      </c>
      <c r="C362" s="0" t="s">
        <v>6102</v>
      </c>
      <c r="D362" s="0" t="s">
        <v>6103</v>
      </c>
      <c r="E362" s="5" t="s">
        <v>76</v>
      </c>
      <c r="F362" s="0" t="s">
        <v>6104</v>
      </c>
      <c r="G362" s="0" t="s">
        <v>1909</v>
      </c>
      <c r="H362" s="0" t="s">
        <v>5454</v>
      </c>
      <c r="I362" s="0" t="s">
        <v>6105</v>
      </c>
      <c r="K362" s="0" t="s">
        <v>35</v>
      </c>
      <c r="L362" s="0" t="s">
        <v>6106</v>
      </c>
    </row>
    <row r="363" customFormat="false" ht="17.15" hidden="false" customHeight="false" outlineLevel="0" collapsed="false">
      <c r="A363" s="0" t="s">
        <v>6107</v>
      </c>
      <c r="B363" s="0" t="s">
        <v>6079</v>
      </c>
      <c r="C363" s="0" t="s">
        <v>6108</v>
      </c>
      <c r="D363" s="0" t="s">
        <v>6109</v>
      </c>
      <c r="E363" s="0" t="s">
        <v>111</v>
      </c>
      <c r="F363" s="0" t="s">
        <v>4956</v>
      </c>
      <c r="G363" s="0" t="s">
        <v>1909</v>
      </c>
      <c r="H363" s="0" t="s">
        <v>5497</v>
      </c>
      <c r="I363" s="5" t="s">
        <v>5498</v>
      </c>
      <c r="J363" s="0" t="s">
        <v>6110</v>
      </c>
      <c r="K363" s="5" t="s">
        <v>1851</v>
      </c>
      <c r="L363" s="0" t="s">
        <v>6111</v>
      </c>
    </row>
    <row r="364" customFormat="false" ht="17.15" hidden="false" customHeight="false" outlineLevel="0" collapsed="false">
      <c r="A364" s="0" t="s">
        <v>6112</v>
      </c>
      <c r="B364" s="0" t="s">
        <v>6079</v>
      </c>
      <c r="C364" s="0" t="s">
        <v>6113</v>
      </c>
      <c r="D364" s="0" t="s">
        <v>6114</v>
      </c>
      <c r="E364" s="0" t="s">
        <v>111</v>
      </c>
      <c r="F364" s="0" t="s">
        <v>4956</v>
      </c>
      <c r="G364" s="0" t="s">
        <v>1855</v>
      </c>
      <c r="H364" s="0" t="s">
        <v>5486</v>
      </c>
      <c r="I364" s="5" t="s">
        <v>6115</v>
      </c>
      <c r="K364" s="0" t="s">
        <v>35</v>
      </c>
      <c r="L364" s="0" t="s">
        <v>6116</v>
      </c>
    </row>
    <row r="365" customFormat="false" ht="17.15" hidden="false" customHeight="false" outlineLevel="0" collapsed="false">
      <c r="A365" s="0" t="s">
        <v>6117</v>
      </c>
      <c r="B365" s="0" t="s">
        <v>6079</v>
      </c>
      <c r="C365" s="0" t="s">
        <v>6118</v>
      </c>
      <c r="D365" s="0" t="s">
        <v>6086</v>
      </c>
      <c r="E365" s="5" t="s">
        <v>76</v>
      </c>
      <c r="F365" s="0" t="s">
        <v>4262</v>
      </c>
      <c r="G365" s="0" t="s">
        <v>1855</v>
      </c>
      <c r="H365" s="0" t="s">
        <v>5497</v>
      </c>
      <c r="I365" s="5" t="s">
        <v>5498</v>
      </c>
      <c r="K365" s="0" t="s">
        <v>35</v>
      </c>
      <c r="L365" s="0" t="s">
        <v>6119</v>
      </c>
    </row>
    <row r="366" customFormat="false" ht="17.15" hidden="false" customHeight="false" outlineLevel="0" collapsed="false">
      <c r="A366" s="0" t="s">
        <v>6120</v>
      </c>
      <c r="B366" s="0" t="s">
        <v>6121</v>
      </c>
      <c r="C366" s="0" t="s">
        <v>6122</v>
      </c>
      <c r="D366" s="0" t="s">
        <v>4711</v>
      </c>
      <c r="E366" s="5" t="s">
        <v>76</v>
      </c>
      <c r="F366" s="0" t="s">
        <v>6123</v>
      </c>
      <c r="G366" s="0" t="s">
        <v>1909</v>
      </c>
      <c r="H366" s="0" t="s">
        <v>5502</v>
      </c>
      <c r="I366" s="0" t="s">
        <v>6124</v>
      </c>
      <c r="K366" s="0" t="s">
        <v>35</v>
      </c>
      <c r="L366" s="0" t="s">
        <v>6125</v>
      </c>
    </row>
    <row r="367" customFormat="false" ht="17.15" hidden="false" customHeight="false" outlineLevel="0" collapsed="false">
      <c r="A367" s="0" t="s">
        <v>6126</v>
      </c>
      <c r="B367" s="0" t="s">
        <v>6121</v>
      </c>
      <c r="C367" s="0" t="s">
        <v>6127</v>
      </c>
      <c r="D367" s="0" t="s">
        <v>4456</v>
      </c>
      <c r="E367" s="5" t="s">
        <v>76</v>
      </c>
      <c r="F367" s="0" t="s">
        <v>6128</v>
      </c>
      <c r="G367" s="0" t="s">
        <v>1909</v>
      </c>
      <c r="H367" s="0" t="s">
        <v>5486</v>
      </c>
      <c r="I367" s="0" t="s">
        <v>6129</v>
      </c>
      <c r="K367" s="0" t="s">
        <v>35</v>
      </c>
      <c r="L367" s="0" t="s">
        <v>6130</v>
      </c>
    </row>
    <row r="368" customFormat="false" ht="17.15" hidden="false" customHeight="false" outlineLevel="0" collapsed="false">
      <c r="A368" s="0" t="s">
        <v>6131</v>
      </c>
      <c r="B368" s="0" t="s">
        <v>6121</v>
      </c>
      <c r="C368" s="0" t="s">
        <v>6132</v>
      </c>
      <c r="D368" s="0" t="s">
        <v>5982</v>
      </c>
      <c r="E368" s="5" t="s">
        <v>76</v>
      </c>
      <c r="F368" s="0" t="s">
        <v>6123</v>
      </c>
      <c r="G368" s="0" t="s">
        <v>1909</v>
      </c>
      <c r="H368" s="0" t="s">
        <v>5502</v>
      </c>
      <c r="I368" s="0" t="s">
        <v>6133</v>
      </c>
      <c r="J368" s="0" t="s">
        <v>679</v>
      </c>
      <c r="K368" s="5" t="s">
        <v>1851</v>
      </c>
      <c r="L368" s="0" t="s">
        <v>6125</v>
      </c>
    </row>
    <row r="369" customFormat="false" ht="17.15" hidden="false" customHeight="false" outlineLevel="0" collapsed="false">
      <c r="A369" s="0" t="s">
        <v>6134</v>
      </c>
      <c r="B369" s="0" t="s">
        <v>6121</v>
      </c>
      <c r="C369" s="0" t="s">
        <v>6135</v>
      </c>
      <c r="D369" s="0" t="s">
        <v>5017</v>
      </c>
      <c r="E369" s="5" t="s">
        <v>76</v>
      </c>
      <c r="F369" s="0" t="s">
        <v>6123</v>
      </c>
      <c r="G369" s="0" t="s">
        <v>1909</v>
      </c>
      <c r="H369" s="0" t="s">
        <v>5502</v>
      </c>
      <c r="I369" s="0" t="s">
        <v>6136</v>
      </c>
      <c r="K369" s="0" t="s">
        <v>35</v>
      </c>
      <c r="L369" s="0" t="s">
        <v>6125</v>
      </c>
    </row>
    <row r="370" customFormat="false" ht="17.15" hidden="false" customHeight="false" outlineLevel="0" collapsed="false">
      <c r="A370" s="0" t="s">
        <v>6137</v>
      </c>
      <c r="B370" s="0" t="s">
        <v>6121</v>
      </c>
      <c r="C370" s="0" t="s">
        <v>6138</v>
      </c>
      <c r="D370" s="0" t="s">
        <v>112</v>
      </c>
      <c r="E370" s="5" t="s">
        <v>76</v>
      </c>
      <c r="F370" s="0" t="s">
        <v>6139</v>
      </c>
      <c r="G370" s="0" t="s">
        <v>1909</v>
      </c>
      <c r="H370" s="0" t="s">
        <v>5480</v>
      </c>
      <c r="I370" s="5" t="s">
        <v>6140</v>
      </c>
      <c r="K370" s="0" t="s">
        <v>35</v>
      </c>
      <c r="L370" s="0" t="s">
        <v>6141</v>
      </c>
    </row>
    <row r="371" customFormat="false" ht="17.15" hidden="false" customHeight="false" outlineLevel="0" collapsed="false">
      <c r="A371" s="0" t="s">
        <v>6142</v>
      </c>
      <c r="B371" s="0" t="s">
        <v>6143</v>
      </c>
      <c r="C371" s="0" t="s">
        <v>6144</v>
      </c>
      <c r="D371" s="0" t="s">
        <v>5460</v>
      </c>
      <c r="E371" s="5" t="s">
        <v>76</v>
      </c>
      <c r="F371" s="0" t="s">
        <v>6145</v>
      </c>
      <c r="G371" s="0" t="s">
        <v>1909</v>
      </c>
      <c r="H371" s="0" t="s">
        <v>5454</v>
      </c>
      <c r="I371" s="0" t="s">
        <v>6146</v>
      </c>
      <c r="K371" s="0" t="s">
        <v>35</v>
      </c>
      <c r="L371" s="0" t="s">
        <v>6147</v>
      </c>
    </row>
    <row r="372" customFormat="false" ht="17.15" hidden="false" customHeight="false" outlineLevel="0" collapsed="false">
      <c r="A372" s="0" t="s">
        <v>6148</v>
      </c>
      <c r="B372" s="0" t="s">
        <v>6149</v>
      </c>
      <c r="C372" s="0" t="s">
        <v>6150</v>
      </c>
      <c r="D372" s="0" t="s">
        <v>6151</v>
      </c>
      <c r="E372" s="5" t="s">
        <v>76</v>
      </c>
      <c r="F372" s="0" t="s">
        <v>5396</v>
      </c>
      <c r="G372" s="0" t="s">
        <v>1909</v>
      </c>
      <c r="H372" s="0" t="s">
        <v>5497</v>
      </c>
      <c r="I372" s="5" t="s">
        <v>5713</v>
      </c>
      <c r="K372" s="0" t="s">
        <v>35</v>
      </c>
      <c r="L372" s="0" t="s">
        <v>6152</v>
      </c>
    </row>
    <row r="373" customFormat="false" ht="17.15" hidden="false" customHeight="false" outlineLevel="0" collapsed="false">
      <c r="A373" s="0" t="s">
        <v>6153</v>
      </c>
      <c r="B373" s="0" t="s">
        <v>6149</v>
      </c>
      <c r="C373" s="0" t="s">
        <v>6154</v>
      </c>
      <c r="D373" s="0" t="s">
        <v>5460</v>
      </c>
      <c r="E373" s="5" t="s">
        <v>76</v>
      </c>
      <c r="F373" s="0" t="s">
        <v>6155</v>
      </c>
      <c r="G373" s="0" t="s">
        <v>1909</v>
      </c>
      <c r="H373" s="0" t="s">
        <v>5502</v>
      </c>
      <c r="I373" s="5" t="s">
        <v>6156</v>
      </c>
      <c r="J373" s="0" t="s">
        <v>6157</v>
      </c>
      <c r="K373" s="5" t="s">
        <v>1851</v>
      </c>
      <c r="L373" s="0" t="s">
        <v>6158</v>
      </c>
    </row>
    <row r="374" customFormat="false" ht="17.15" hidden="false" customHeight="false" outlineLevel="0" collapsed="false">
      <c r="A374" s="0" t="s">
        <v>6159</v>
      </c>
      <c r="B374" s="0" t="s">
        <v>6149</v>
      </c>
      <c r="C374" s="0" t="s">
        <v>6160</v>
      </c>
      <c r="D374" s="0" t="s">
        <v>6161</v>
      </c>
      <c r="E374" s="5" t="s">
        <v>76</v>
      </c>
      <c r="F374" s="0" t="s">
        <v>4838</v>
      </c>
      <c r="G374" s="0" t="s">
        <v>1866</v>
      </c>
      <c r="H374" s="0" t="s">
        <v>5502</v>
      </c>
      <c r="I374" s="5" t="s">
        <v>6162</v>
      </c>
      <c r="K374" s="0" t="s">
        <v>35</v>
      </c>
      <c r="L374" s="0" t="s">
        <v>6163</v>
      </c>
    </row>
    <row r="375" customFormat="false" ht="17.15" hidden="false" customHeight="false" outlineLevel="0" collapsed="false">
      <c r="A375" s="0" t="s">
        <v>6164</v>
      </c>
      <c r="B375" s="0" t="s">
        <v>6149</v>
      </c>
      <c r="C375" s="0" t="s">
        <v>6165</v>
      </c>
      <c r="D375" s="0" t="s">
        <v>5777</v>
      </c>
      <c r="E375" s="5" t="s">
        <v>76</v>
      </c>
      <c r="F375" s="0" t="s">
        <v>6166</v>
      </c>
      <c r="G375" s="0" t="s">
        <v>1909</v>
      </c>
      <c r="H375" s="0" t="s">
        <v>5502</v>
      </c>
      <c r="I375" s="0" t="s">
        <v>6167</v>
      </c>
      <c r="J375" s="0" t="s">
        <v>6157</v>
      </c>
      <c r="K375" s="5" t="s">
        <v>1851</v>
      </c>
      <c r="L375" s="0" t="s">
        <v>6168</v>
      </c>
    </row>
    <row r="376" customFormat="false" ht="17.15" hidden="false" customHeight="false" outlineLevel="0" collapsed="false">
      <c r="A376" s="0" t="s">
        <v>6169</v>
      </c>
      <c r="B376" s="0" t="s">
        <v>6149</v>
      </c>
      <c r="C376" s="0" t="s">
        <v>6170</v>
      </c>
      <c r="D376" s="0" t="s">
        <v>4859</v>
      </c>
      <c r="E376" s="5" t="s">
        <v>76</v>
      </c>
      <c r="F376" s="0" t="s">
        <v>6155</v>
      </c>
      <c r="G376" s="0" t="s">
        <v>1909</v>
      </c>
      <c r="H376" s="0" t="s">
        <v>5486</v>
      </c>
      <c r="I376" s="0" t="s">
        <v>6171</v>
      </c>
      <c r="K376" s="0" t="s">
        <v>35</v>
      </c>
      <c r="L376" s="0" t="s">
        <v>6158</v>
      </c>
    </row>
    <row r="377" customFormat="false" ht="17.15" hidden="false" customHeight="false" outlineLevel="0" collapsed="false">
      <c r="A377" s="0" t="s">
        <v>6172</v>
      </c>
      <c r="B377" s="0" t="s">
        <v>6173</v>
      </c>
      <c r="C377" s="0" t="s">
        <v>6174</v>
      </c>
      <c r="D377" s="0" t="s">
        <v>4846</v>
      </c>
      <c r="E377" s="5" t="s">
        <v>76</v>
      </c>
      <c r="F377" s="0" t="s">
        <v>6175</v>
      </c>
      <c r="G377" s="0" t="s">
        <v>1909</v>
      </c>
      <c r="H377" s="0" t="s">
        <v>5454</v>
      </c>
      <c r="I377" s="0" t="s">
        <v>6176</v>
      </c>
      <c r="K377" s="0" t="s">
        <v>35</v>
      </c>
      <c r="L377" s="0" t="s">
        <v>6177</v>
      </c>
    </row>
    <row r="378" customFormat="false" ht="17.15" hidden="false" customHeight="false" outlineLevel="0" collapsed="false">
      <c r="A378" s="0" t="s">
        <v>6178</v>
      </c>
      <c r="B378" s="0" t="s">
        <v>6149</v>
      </c>
      <c r="C378" s="0" t="s">
        <v>6179</v>
      </c>
      <c r="D378" s="0" t="s">
        <v>5777</v>
      </c>
      <c r="E378" s="5" t="s">
        <v>76</v>
      </c>
      <c r="F378" s="0" t="s">
        <v>4936</v>
      </c>
      <c r="G378" s="0" t="s">
        <v>1909</v>
      </c>
      <c r="H378" s="0" t="s">
        <v>5454</v>
      </c>
      <c r="I378" s="0" t="s">
        <v>6180</v>
      </c>
      <c r="J378" s="0" t="s">
        <v>641</v>
      </c>
      <c r="K378" s="5" t="s">
        <v>1851</v>
      </c>
      <c r="L378" s="0" t="s">
        <v>6181</v>
      </c>
    </row>
    <row r="379" customFormat="false" ht="17.15" hidden="false" customHeight="false" outlineLevel="0" collapsed="false">
      <c r="A379" s="0" t="s">
        <v>6182</v>
      </c>
      <c r="B379" s="0" t="s">
        <v>6183</v>
      </c>
      <c r="C379" s="0" t="s">
        <v>6184</v>
      </c>
      <c r="D379" s="0" t="s">
        <v>112</v>
      </c>
      <c r="E379" s="5" t="s">
        <v>76</v>
      </c>
      <c r="F379" s="0" t="s">
        <v>6185</v>
      </c>
      <c r="G379" s="0" t="s">
        <v>1909</v>
      </c>
      <c r="H379" s="0" t="s">
        <v>5454</v>
      </c>
      <c r="I379" s="5" t="s">
        <v>6186</v>
      </c>
      <c r="K379" s="0" t="s">
        <v>35</v>
      </c>
      <c r="L379" s="0" t="s">
        <v>6187</v>
      </c>
    </row>
    <row r="380" customFormat="false" ht="17.15" hidden="false" customHeight="false" outlineLevel="0" collapsed="false">
      <c r="A380" s="0" t="s">
        <v>6188</v>
      </c>
      <c r="B380" s="0" t="s">
        <v>6149</v>
      </c>
      <c r="C380" s="0" t="s">
        <v>6189</v>
      </c>
      <c r="D380" s="0" t="s">
        <v>4859</v>
      </c>
      <c r="E380" s="5" t="s">
        <v>76</v>
      </c>
      <c r="F380" s="0" t="s">
        <v>138</v>
      </c>
      <c r="G380" s="0" t="s">
        <v>1909</v>
      </c>
      <c r="H380" s="0" t="s">
        <v>5454</v>
      </c>
      <c r="I380" s="0" t="s">
        <v>6190</v>
      </c>
      <c r="K380" s="0" t="s">
        <v>35</v>
      </c>
      <c r="L380" s="0" t="s">
        <v>6191</v>
      </c>
    </row>
    <row r="381" customFormat="false" ht="17.15" hidden="false" customHeight="false" outlineLevel="0" collapsed="false">
      <c r="A381" s="0" t="s">
        <v>6192</v>
      </c>
      <c r="B381" s="0" t="s">
        <v>6193</v>
      </c>
      <c r="C381" s="0" t="s">
        <v>6194</v>
      </c>
      <c r="D381" s="0" t="s">
        <v>5460</v>
      </c>
      <c r="E381" s="5" t="s">
        <v>76</v>
      </c>
      <c r="F381" s="0" t="s">
        <v>5024</v>
      </c>
      <c r="G381" s="0" t="s">
        <v>1909</v>
      </c>
      <c r="H381" s="0" t="s">
        <v>5454</v>
      </c>
      <c r="I381" s="5" t="s">
        <v>6195</v>
      </c>
      <c r="K381" s="0" t="s">
        <v>35</v>
      </c>
      <c r="L381" s="0" t="s">
        <v>6196</v>
      </c>
    </row>
    <row r="382" customFormat="false" ht="17.15" hidden="false" customHeight="false" outlineLevel="0" collapsed="false">
      <c r="A382" s="0" t="s">
        <v>6197</v>
      </c>
      <c r="B382" s="0" t="s">
        <v>6193</v>
      </c>
      <c r="C382" s="0" t="s">
        <v>6198</v>
      </c>
      <c r="D382" s="0" t="s">
        <v>112</v>
      </c>
      <c r="E382" s="5" t="s">
        <v>76</v>
      </c>
      <c r="F382" s="0" t="s">
        <v>4897</v>
      </c>
      <c r="G382" s="0" t="s">
        <v>1909</v>
      </c>
      <c r="H382" s="0" t="s">
        <v>5454</v>
      </c>
      <c r="I382" s="0" t="s">
        <v>6199</v>
      </c>
      <c r="K382" s="0" t="s">
        <v>35</v>
      </c>
      <c r="L382" s="0" t="s">
        <v>6200</v>
      </c>
    </row>
    <row r="383" customFormat="false" ht="17.15" hidden="false" customHeight="false" outlineLevel="0" collapsed="false">
      <c r="A383" s="0" t="s">
        <v>6201</v>
      </c>
      <c r="B383" s="0" t="s">
        <v>6193</v>
      </c>
      <c r="C383" s="0" t="s">
        <v>6202</v>
      </c>
      <c r="D383" s="0" t="s">
        <v>112</v>
      </c>
      <c r="E383" s="5" t="s">
        <v>76</v>
      </c>
      <c r="F383" s="0" t="s">
        <v>6203</v>
      </c>
      <c r="G383" s="0" t="s">
        <v>1909</v>
      </c>
      <c r="H383" s="0" t="s">
        <v>5454</v>
      </c>
      <c r="I383" s="0" t="s">
        <v>6204</v>
      </c>
      <c r="K383" s="0" t="s">
        <v>35</v>
      </c>
      <c r="L383" s="0" t="s">
        <v>6205</v>
      </c>
    </row>
    <row r="384" customFormat="false" ht="17.15" hidden="false" customHeight="false" outlineLevel="0" collapsed="false">
      <c r="A384" s="0" t="s">
        <v>6206</v>
      </c>
      <c r="B384" s="0" t="s">
        <v>6193</v>
      </c>
      <c r="C384" s="0" t="s">
        <v>6207</v>
      </c>
      <c r="D384" s="0" t="s">
        <v>112</v>
      </c>
      <c r="E384" s="5" t="s">
        <v>76</v>
      </c>
      <c r="F384" s="0" t="s">
        <v>6203</v>
      </c>
      <c r="G384" s="0" t="s">
        <v>1909</v>
      </c>
      <c r="H384" s="0" t="s">
        <v>5454</v>
      </c>
      <c r="I384" s="0" t="s">
        <v>6208</v>
      </c>
      <c r="K384" s="0" t="s">
        <v>35</v>
      </c>
      <c r="L384" s="0" t="s">
        <v>6205</v>
      </c>
    </row>
    <row r="385" customFormat="false" ht="17.15" hidden="false" customHeight="false" outlineLevel="0" collapsed="false">
      <c r="A385" s="0" t="s">
        <v>6209</v>
      </c>
      <c r="B385" s="0" t="s">
        <v>6210</v>
      </c>
      <c r="C385" s="0" t="s">
        <v>6211</v>
      </c>
      <c r="D385" s="0" t="s">
        <v>5961</v>
      </c>
      <c r="E385" s="5" t="s">
        <v>76</v>
      </c>
      <c r="F385" s="0" t="s">
        <v>6212</v>
      </c>
      <c r="G385" s="0" t="s">
        <v>1909</v>
      </c>
      <c r="H385" s="0" t="s">
        <v>5454</v>
      </c>
      <c r="I385" s="0" t="s">
        <v>6213</v>
      </c>
      <c r="K385" s="0" t="s">
        <v>35</v>
      </c>
      <c r="L385" s="0" t="s">
        <v>6214</v>
      </c>
    </row>
    <row r="386" customFormat="false" ht="17.15" hidden="false" customHeight="false" outlineLevel="0" collapsed="false">
      <c r="A386" s="0" t="s">
        <v>6215</v>
      </c>
      <c r="B386" s="0" t="s">
        <v>6216</v>
      </c>
      <c r="C386" s="0" t="s">
        <v>6217</v>
      </c>
      <c r="D386" s="0" t="s">
        <v>6218</v>
      </c>
      <c r="E386" s="5" t="s">
        <v>76</v>
      </c>
      <c r="F386" s="0" t="s">
        <v>6219</v>
      </c>
      <c r="G386" s="0" t="s">
        <v>1909</v>
      </c>
      <c r="H386" s="0" t="s">
        <v>5454</v>
      </c>
      <c r="I386" s="0" t="s">
        <v>6220</v>
      </c>
      <c r="K386" s="0" t="s">
        <v>35</v>
      </c>
      <c r="L386" s="0" t="s">
        <v>6221</v>
      </c>
    </row>
    <row r="387" customFormat="false" ht="17.15" hidden="false" customHeight="false" outlineLevel="0" collapsed="false">
      <c r="A387" s="0" t="s">
        <v>6222</v>
      </c>
      <c r="B387" s="0" t="s">
        <v>6223</v>
      </c>
      <c r="C387" s="0" t="s">
        <v>6224</v>
      </c>
      <c r="D387" s="0" t="s">
        <v>5673</v>
      </c>
      <c r="E387" s="5" t="s">
        <v>76</v>
      </c>
      <c r="F387" s="0" t="s">
        <v>6225</v>
      </c>
      <c r="G387" s="0" t="s">
        <v>1909</v>
      </c>
      <c r="H387" s="0" t="s">
        <v>5497</v>
      </c>
      <c r="I387" s="5" t="s">
        <v>6226</v>
      </c>
      <c r="K387" s="0" t="s">
        <v>35</v>
      </c>
      <c r="L387" s="0" t="s">
        <v>6227</v>
      </c>
    </row>
    <row r="388" customFormat="false" ht="17.15" hidden="false" customHeight="false" outlineLevel="0" collapsed="false">
      <c r="A388" s="0" t="s">
        <v>6228</v>
      </c>
      <c r="B388" s="0" t="s">
        <v>6229</v>
      </c>
      <c r="C388" s="0" t="s">
        <v>6230</v>
      </c>
      <c r="D388" s="0" t="s">
        <v>6231</v>
      </c>
      <c r="E388" s="5" t="s">
        <v>76</v>
      </c>
      <c r="F388" s="0" t="s">
        <v>6232</v>
      </c>
      <c r="G388" s="0" t="s">
        <v>1909</v>
      </c>
      <c r="H388" s="0" t="s">
        <v>5497</v>
      </c>
      <c r="I388" s="5" t="s">
        <v>5756</v>
      </c>
      <c r="K388" s="0" t="s">
        <v>35</v>
      </c>
      <c r="L388" s="0" t="s">
        <v>6233</v>
      </c>
    </row>
    <row r="389" customFormat="false" ht="17.15" hidden="false" customHeight="false" outlineLevel="0" collapsed="false">
      <c r="A389" s="0" t="s">
        <v>6234</v>
      </c>
      <c r="B389" s="0" t="s">
        <v>6229</v>
      </c>
      <c r="C389" s="0" t="s">
        <v>6235</v>
      </c>
      <c r="D389" s="0" t="s">
        <v>4698</v>
      </c>
      <c r="E389" s="5" t="s">
        <v>76</v>
      </c>
      <c r="F389" s="0" t="s">
        <v>6232</v>
      </c>
      <c r="G389" s="0" t="s">
        <v>1909</v>
      </c>
      <c r="H389" s="0" t="s">
        <v>5454</v>
      </c>
      <c r="I389" s="0" t="s">
        <v>6236</v>
      </c>
      <c r="K389" s="0" t="s">
        <v>35</v>
      </c>
      <c r="L389" s="0" t="s">
        <v>6237</v>
      </c>
    </row>
    <row r="390" customFormat="false" ht="17.15" hidden="false" customHeight="false" outlineLevel="0" collapsed="false">
      <c r="A390" s="0" t="s">
        <v>6238</v>
      </c>
      <c r="B390" s="0" t="s">
        <v>6229</v>
      </c>
      <c r="C390" s="0" t="s">
        <v>6239</v>
      </c>
      <c r="D390" s="0" t="s">
        <v>5452</v>
      </c>
      <c r="E390" s="5" t="s">
        <v>76</v>
      </c>
      <c r="F390" s="0" t="s">
        <v>6232</v>
      </c>
      <c r="G390" s="0" t="s">
        <v>1909</v>
      </c>
      <c r="H390" s="0" t="s">
        <v>5497</v>
      </c>
      <c r="I390" s="5" t="s">
        <v>5756</v>
      </c>
      <c r="K390" s="0" t="s">
        <v>35</v>
      </c>
      <c r="L390" s="0" t="s">
        <v>6233</v>
      </c>
    </row>
    <row r="391" customFormat="false" ht="17.15" hidden="false" customHeight="false" outlineLevel="0" collapsed="false">
      <c r="A391" s="0" t="s">
        <v>6240</v>
      </c>
      <c r="B391" s="0" t="s">
        <v>1291</v>
      </c>
      <c r="C391" s="0" t="s">
        <v>6241</v>
      </c>
      <c r="D391" s="0" t="s">
        <v>6242</v>
      </c>
      <c r="E391" s="5" t="s">
        <v>76</v>
      </c>
      <c r="F391" s="0" t="s">
        <v>6243</v>
      </c>
      <c r="G391" s="0" t="s">
        <v>1855</v>
      </c>
      <c r="H391" s="0" t="s">
        <v>5486</v>
      </c>
      <c r="I391" s="0" t="s">
        <v>6244</v>
      </c>
      <c r="K391" s="0" t="s">
        <v>35</v>
      </c>
      <c r="L391" s="0" t="s">
        <v>6245</v>
      </c>
    </row>
    <row r="392" customFormat="false" ht="17.15" hidden="false" customHeight="false" outlineLevel="0" collapsed="false">
      <c r="A392" s="0" t="s">
        <v>6246</v>
      </c>
      <c r="B392" s="0" t="s">
        <v>1038</v>
      </c>
      <c r="C392" s="0" t="s">
        <v>6247</v>
      </c>
      <c r="D392" s="0" t="s">
        <v>5460</v>
      </c>
      <c r="E392" s="5" t="s">
        <v>76</v>
      </c>
      <c r="F392" s="0" t="s">
        <v>6248</v>
      </c>
      <c r="G392" s="0" t="s">
        <v>1909</v>
      </c>
      <c r="H392" s="0" t="s">
        <v>5454</v>
      </c>
      <c r="I392" s="0" t="s">
        <v>6249</v>
      </c>
      <c r="K392" s="0" t="s">
        <v>35</v>
      </c>
      <c r="L392" s="0" t="s">
        <v>6250</v>
      </c>
    </row>
    <row r="393" customFormat="false" ht="17.15" hidden="false" customHeight="false" outlineLevel="0" collapsed="false">
      <c r="A393" s="0" t="s">
        <v>6251</v>
      </c>
      <c r="B393" s="0" t="s">
        <v>6252</v>
      </c>
      <c r="C393" s="0" t="s">
        <v>6253</v>
      </c>
      <c r="D393" s="0" t="s">
        <v>6254</v>
      </c>
      <c r="E393" s="0" t="s">
        <v>111</v>
      </c>
      <c r="F393" s="5" t="s">
        <v>6255</v>
      </c>
      <c r="G393" s="0" t="s">
        <v>1855</v>
      </c>
      <c r="H393" s="0" t="s">
        <v>5486</v>
      </c>
      <c r="I393" s="0" t="s">
        <v>6256</v>
      </c>
      <c r="K393" s="0" t="s">
        <v>35</v>
      </c>
      <c r="L393" s="0" t="s">
        <v>6257</v>
      </c>
    </row>
    <row r="394" customFormat="false" ht="17.15" hidden="false" customHeight="false" outlineLevel="0" collapsed="false">
      <c r="A394" s="0" t="s">
        <v>6258</v>
      </c>
      <c r="B394" s="0" t="s">
        <v>6252</v>
      </c>
      <c r="C394" s="0" t="s">
        <v>6259</v>
      </c>
      <c r="D394" s="0" t="s">
        <v>112</v>
      </c>
      <c r="E394" s="5" t="s">
        <v>76</v>
      </c>
      <c r="F394" s="0" t="s">
        <v>6260</v>
      </c>
      <c r="G394" s="0" t="s">
        <v>1909</v>
      </c>
      <c r="H394" s="0" t="s">
        <v>5454</v>
      </c>
      <c r="I394" s="5" t="s">
        <v>6261</v>
      </c>
      <c r="K394" s="0" t="s">
        <v>35</v>
      </c>
      <c r="L394" s="0" t="s">
        <v>6262</v>
      </c>
    </row>
    <row r="395" customFormat="false" ht="17.15" hidden="false" customHeight="false" outlineLevel="0" collapsed="false">
      <c r="A395" s="0" t="s">
        <v>6263</v>
      </c>
      <c r="B395" s="0" t="s">
        <v>6252</v>
      </c>
      <c r="C395" s="0" t="s">
        <v>6264</v>
      </c>
      <c r="D395" s="0" t="s">
        <v>112</v>
      </c>
      <c r="E395" s="5" t="s">
        <v>76</v>
      </c>
      <c r="F395" s="0" t="s">
        <v>6265</v>
      </c>
      <c r="G395" s="0" t="s">
        <v>1855</v>
      </c>
      <c r="H395" s="0" t="s">
        <v>5497</v>
      </c>
      <c r="I395" s="5" t="s">
        <v>6226</v>
      </c>
      <c r="K395" s="0" t="s">
        <v>35</v>
      </c>
      <c r="L395" s="0" t="s">
        <v>6266</v>
      </c>
    </row>
    <row r="396" customFormat="false" ht="17.15" hidden="false" customHeight="false" outlineLevel="0" collapsed="false">
      <c r="A396" s="0" t="s">
        <v>6267</v>
      </c>
      <c r="B396" s="0" t="s">
        <v>6268</v>
      </c>
      <c r="C396" s="0" t="s">
        <v>6269</v>
      </c>
      <c r="D396" s="0" t="s">
        <v>112</v>
      </c>
      <c r="E396" s="5" t="s">
        <v>76</v>
      </c>
      <c r="F396" s="0" t="s">
        <v>5719</v>
      </c>
      <c r="G396" s="0" t="s">
        <v>1909</v>
      </c>
      <c r="H396" s="0" t="s">
        <v>5497</v>
      </c>
      <c r="I396" s="5" t="s">
        <v>5498</v>
      </c>
      <c r="K396" s="0" t="s">
        <v>35</v>
      </c>
      <c r="L396" s="0" t="s">
        <v>6270</v>
      </c>
    </row>
    <row r="397" customFormat="false" ht="17.15" hidden="false" customHeight="false" outlineLevel="0" collapsed="false">
      <c r="A397" s="0" t="s">
        <v>6271</v>
      </c>
      <c r="B397" s="0" t="s">
        <v>6272</v>
      </c>
      <c r="C397" s="0" t="s">
        <v>6273</v>
      </c>
      <c r="D397" s="0" t="s">
        <v>6274</v>
      </c>
      <c r="E397" s="5" t="s">
        <v>167</v>
      </c>
      <c r="F397" s="0" t="s">
        <v>5485</v>
      </c>
      <c r="G397" s="0" t="s">
        <v>1855</v>
      </c>
      <c r="H397" s="0" t="s">
        <v>5480</v>
      </c>
      <c r="I397" s="5" t="s">
        <v>6275</v>
      </c>
      <c r="K397" s="0" t="s">
        <v>35</v>
      </c>
      <c r="L397" s="0" t="s">
        <v>6276</v>
      </c>
    </row>
    <row r="398" customFormat="false" ht="17.15" hidden="false" customHeight="false" outlineLevel="0" collapsed="false">
      <c r="A398" s="0" t="s">
        <v>6277</v>
      </c>
      <c r="B398" s="0" t="s">
        <v>6278</v>
      </c>
      <c r="C398" s="0" t="s">
        <v>6279</v>
      </c>
      <c r="D398" s="0" t="s">
        <v>5760</v>
      </c>
      <c r="E398" s="5" t="s">
        <v>167</v>
      </c>
      <c r="F398" s="0" t="s">
        <v>6280</v>
      </c>
      <c r="G398" s="0" t="s">
        <v>1855</v>
      </c>
      <c r="H398" s="0" t="s">
        <v>5486</v>
      </c>
      <c r="I398" s="0" t="s">
        <v>6281</v>
      </c>
      <c r="K398" s="0" t="s">
        <v>35</v>
      </c>
      <c r="L398" s="0" t="s">
        <v>6282</v>
      </c>
    </row>
    <row r="399" customFormat="false" ht="17.15" hidden="false" customHeight="false" outlineLevel="0" collapsed="false">
      <c r="A399" s="0" t="s">
        <v>6283</v>
      </c>
      <c r="B399" s="0" t="s">
        <v>2459</v>
      </c>
      <c r="C399" s="0" t="s">
        <v>6284</v>
      </c>
      <c r="D399" s="0" t="s">
        <v>6285</v>
      </c>
      <c r="E399" s="5" t="s">
        <v>76</v>
      </c>
      <c r="F399" s="0" t="s">
        <v>2275</v>
      </c>
      <c r="G399" s="0" t="s">
        <v>1855</v>
      </c>
      <c r="H399" s="0" t="s">
        <v>5454</v>
      </c>
      <c r="I399" s="0" t="s">
        <v>6286</v>
      </c>
      <c r="K399" s="0" t="s">
        <v>35</v>
      </c>
      <c r="L399" s="0" t="s">
        <v>6287</v>
      </c>
    </row>
    <row r="400" customFormat="false" ht="17.15" hidden="false" customHeight="false" outlineLevel="0" collapsed="false">
      <c r="A400" s="0" t="s">
        <v>6288</v>
      </c>
      <c r="B400" s="0" t="s">
        <v>6268</v>
      </c>
      <c r="C400" s="0" t="s">
        <v>6289</v>
      </c>
      <c r="D400" s="0" t="s">
        <v>6290</v>
      </c>
      <c r="E400" s="5" t="s">
        <v>76</v>
      </c>
      <c r="F400" s="0" t="s">
        <v>4564</v>
      </c>
      <c r="G400" s="0" t="s">
        <v>1855</v>
      </c>
      <c r="H400" s="0" t="s">
        <v>5486</v>
      </c>
      <c r="I400" s="0" t="s">
        <v>6291</v>
      </c>
      <c r="K400" s="0" t="s">
        <v>35</v>
      </c>
      <c r="L400" s="0" t="s">
        <v>6292</v>
      </c>
    </row>
    <row r="401" customFormat="false" ht="17.15" hidden="false" customHeight="false" outlineLevel="0" collapsed="false">
      <c r="A401" s="0" t="s">
        <v>6293</v>
      </c>
      <c r="B401" s="0" t="s">
        <v>6268</v>
      </c>
      <c r="C401" s="0" t="s">
        <v>6294</v>
      </c>
      <c r="D401" s="0" t="s">
        <v>4518</v>
      </c>
      <c r="E401" s="5" t="s">
        <v>76</v>
      </c>
      <c r="F401" s="0" t="s">
        <v>4564</v>
      </c>
      <c r="G401" s="0" t="s">
        <v>1855</v>
      </c>
      <c r="H401" s="0" t="s">
        <v>5486</v>
      </c>
      <c r="I401" s="0" t="s">
        <v>6295</v>
      </c>
      <c r="K401" s="0" t="s">
        <v>35</v>
      </c>
      <c r="L401" s="0" t="s">
        <v>6292</v>
      </c>
    </row>
    <row r="402" customFormat="false" ht="17.15" hidden="false" customHeight="false" outlineLevel="0" collapsed="false">
      <c r="A402" s="0" t="s">
        <v>6296</v>
      </c>
      <c r="B402" s="0" t="s">
        <v>1824</v>
      </c>
      <c r="C402" s="0" t="s">
        <v>6297</v>
      </c>
      <c r="D402" s="0" t="s">
        <v>112</v>
      </c>
      <c r="E402" s="5" t="s">
        <v>76</v>
      </c>
      <c r="F402" s="0" t="s">
        <v>6298</v>
      </c>
      <c r="G402" s="0" t="s">
        <v>1909</v>
      </c>
      <c r="H402" s="0" t="s">
        <v>5454</v>
      </c>
      <c r="I402" s="0" t="s">
        <v>6299</v>
      </c>
      <c r="K402" s="0" t="s">
        <v>35</v>
      </c>
      <c r="L402" s="0" t="s">
        <v>6300</v>
      </c>
    </row>
    <row r="403" customFormat="false" ht="17.15" hidden="false" customHeight="false" outlineLevel="0" collapsed="false">
      <c r="A403" s="0" t="s">
        <v>6301</v>
      </c>
      <c r="B403" s="0" t="s">
        <v>1824</v>
      </c>
      <c r="C403" s="0" t="s">
        <v>6302</v>
      </c>
      <c r="D403" s="0" t="s">
        <v>112</v>
      </c>
      <c r="E403" s="5" t="s">
        <v>76</v>
      </c>
      <c r="F403" s="0" t="s">
        <v>6303</v>
      </c>
      <c r="G403" s="0" t="s">
        <v>1855</v>
      </c>
      <c r="H403" s="0" t="s">
        <v>5454</v>
      </c>
      <c r="I403" s="5" t="s">
        <v>6304</v>
      </c>
      <c r="K403" s="0" t="s">
        <v>35</v>
      </c>
      <c r="L403" s="0" t="s">
        <v>6305</v>
      </c>
    </row>
    <row r="404" customFormat="false" ht="17.15" hidden="false" customHeight="false" outlineLevel="0" collapsed="false">
      <c r="A404" s="0" t="s">
        <v>6306</v>
      </c>
      <c r="B404" s="0" t="s">
        <v>1824</v>
      </c>
      <c r="C404" s="0" t="s">
        <v>6307</v>
      </c>
      <c r="D404" s="0" t="s">
        <v>112</v>
      </c>
      <c r="E404" s="5" t="s">
        <v>76</v>
      </c>
      <c r="F404" s="0" t="s">
        <v>6308</v>
      </c>
      <c r="G404" s="0" t="s">
        <v>1855</v>
      </c>
      <c r="H404" s="0" t="s">
        <v>5454</v>
      </c>
      <c r="I404" s="0" t="s">
        <v>6309</v>
      </c>
      <c r="K404" s="0" t="s">
        <v>35</v>
      </c>
      <c r="L404" s="0" t="s">
        <v>6305</v>
      </c>
    </row>
    <row r="405" customFormat="false" ht="17.15" hidden="false" customHeight="false" outlineLevel="0" collapsed="false">
      <c r="A405" s="0" t="s">
        <v>6310</v>
      </c>
      <c r="B405" s="0" t="s">
        <v>6311</v>
      </c>
      <c r="C405" s="0" t="s">
        <v>6312</v>
      </c>
      <c r="D405" s="0" t="s">
        <v>6313</v>
      </c>
      <c r="E405" s="5" t="s">
        <v>76</v>
      </c>
      <c r="F405" s="0" t="s">
        <v>6314</v>
      </c>
      <c r="G405" s="0" t="s">
        <v>1909</v>
      </c>
      <c r="H405" s="0" t="s">
        <v>5486</v>
      </c>
      <c r="I405" s="0" t="s">
        <v>6315</v>
      </c>
      <c r="K405" s="0" t="s">
        <v>35</v>
      </c>
      <c r="L405" s="0" t="s">
        <v>6316</v>
      </c>
    </row>
    <row r="406" customFormat="false" ht="17.15" hidden="false" customHeight="false" outlineLevel="0" collapsed="false">
      <c r="A406" s="0" t="s">
        <v>6317</v>
      </c>
      <c r="B406" s="0" t="s">
        <v>6318</v>
      </c>
      <c r="C406" s="0" t="s">
        <v>6319</v>
      </c>
      <c r="D406" s="0" t="s">
        <v>6320</v>
      </c>
      <c r="E406" s="5" t="s">
        <v>76</v>
      </c>
      <c r="F406" s="0" t="s">
        <v>6321</v>
      </c>
      <c r="G406" s="0" t="s">
        <v>1909</v>
      </c>
      <c r="H406" s="0" t="s">
        <v>5454</v>
      </c>
      <c r="I406" s="0" t="s">
        <v>6322</v>
      </c>
      <c r="K406" s="0" t="s">
        <v>35</v>
      </c>
      <c r="L406" s="0" t="s">
        <v>6323</v>
      </c>
    </row>
    <row r="407" customFormat="false" ht="17.15" hidden="false" customHeight="false" outlineLevel="0" collapsed="false">
      <c r="A407" s="0" t="s">
        <v>6324</v>
      </c>
      <c r="B407" s="0" t="s">
        <v>6318</v>
      </c>
      <c r="C407" s="0" t="s">
        <v>6325</v>
      </c>
      <c r="D407" s="0" t="s">
        <v>6326</v>
      </c>
      <c r="E407" s="5" t="s">
        <v>76</v>
      </c>
      <c r="F407" s="0" t="s">
        <v>5507</v>
      </c>
      <c r="G407" s="0" t="s">
        <v>1909</v>
      </c>
      <c r="H407" s="0" t="s">
        <v>5497</v>
      </c>
      <c r="I407" s="5" t="s">
        <v>5498</v>
      </c>
      <c r="K407" s="0" t="s">
        <v>35</v>
      </c>
      <c r="L407" s="0" t="s">
        <v>6327</v>
      </c>
    </row>
    <row r="408" customFormat="false" ht="17.15" hidden="false" customHeight="false" outlineLevel="0" collapsed="false">
      <c r="A408" s="0" t="s">
        <v>6328</v>
      </c>
      <c r="B408" s="0" t="s">
        <v>1824</v>
      </c>
      <c r="C408" s="0" t="s">
        <v>6329</v>
      </c>
      <c r="D408" s="0" t="s">
        <v>6330</v>
      </c>
      <c r="E408" s="5" t="s">
        <v>76</v>
      </c>
      <c r="F408" s="0" t="s">
        <v>5281</v>
      </c>
      <c r="G408" s="0" t="s">
        <v>1855</v>
      </c>
      <c r="H408" s="0" t="s">
        <v>5454</v>
      </c>
      <c r="I408" s="0" t="s">
        <v>6331</v>
      </c>
      <c r="K408" s="0" t="s">
        <v>35</v>
      </c>
      <c r="L408" s="0" t="s">
        <v>6332</v>
      </c>
    </row>
    <row r="409" customFormat="false" ht="17.15" hidden="false" customHeight="false" outlineLevel="0" collapsed="false">
      <c r="A409" s="0" t="s">
        <v>6333</v>
      </c>
      <c r="B409" s="0" t="s">
        <v>1824</v>
      </c>
      <c r="C409" s="0" t="s">
        <v>6334</v>
      </c>
      <c r="D409" s="0" t="s">
        <v>112</v>
      </c>
      <c r="E409" s="5" t="s">
        <v>76</v>
      </c>
      <c r="F409" s="0" t="s">
        <v>5281</v>
      </c>
      <c r="G409" s="0" t="s">
        <v>1855</v>
      </c>
      <c r="H409" s="0" t="s">
        <v>5454</v>
      </c>
      <c r="I409" s="5" t="s">
        <v>6335</v>
      </c>
      <c r="K409" s="0" t="s">
        <v>35</v>
      </c>
      <c r="L409" s="0" t="s">
        <v>6332</v>
      </c>
    </row>
    <row r="410" customFormat="false" ht="17.15" hidden="false" customHeight="false" outlineLevel="0" collapsed="false">
      <c r="A410" s="0" t="s">
        <v>6336</v>
      </c>
      <c r="B410" s="0" t="s">
        <v>1824</v>
      </c>
      <c r="C410" s="0" t="s">
        <v>6337</v>
      </c>
      <c r="D410" s="0" t="s">
        <v>6338</v>
      </c>
      <c r="E410" s="0" t="s">
        <v>111</v>
      </c>
      <c r="F410" s="0" t="s">
        <v>2467</v>
      </c>
      <c r="G410" s="0" t="s">
        <v>1855</v>
      </c>
      <c r="H410" s="0" t="s">
        <v>5486</v>
      </c>
      <c r="I410" s="0" t="s">
        <v>6339</v>
      </c>
      <c r="K410" s="0" t="s">
        <v>35</v>
      </c>
      <c r="L410" s="0" t="s">
        <v>6340</v>
      </c>
    </row>
    <row r="411" customFormat="false" ht="17.15" hidden="false" customHeight="false" outlineLevel="0" collapsed="false">
      <c r="A411" s="0" t="s">
        <v>6341</v>
      </c>
      <c r="B411" s="0" t="s">
        <v>1824</v>
      </c>
      <c r="C411" s="0" t="s">
        <v>6342</v>
      </c>
      <c r="D411" s="0" t="s">
        <v>6343</v>
      </c>
      <c r="E411" s="5" t="s">
        <v>76</v>
      </c>
      <c r="F411" s="0" t="s">
        <v>6344</v>
      </c>
      <c r="G411" s="0" t="s">
        <v>1855</v>
      </c>
      <c r="H411" s="0" t="s">
        <v>5486</v>
      </c>
      <c r="I411" s="0" t="s">
        <v>6345</v>
      </c>
      <c r="K411" s="0" t="s">
        <v>35</v>
      </c>
      <c r="L411" s="0" t="s">
        <v>6346</v>
      </c>
    </row>
    <row r="412" customFormat="false" ht="17.15" hidden="false" customHeight="false" outlineLevel="0" collapsed="false">
      <c r="A412" s="0" t="s">
        <v>6347</v>
      </c>
      <c r="B412" s="0" t="s">
        <v>1824</v>
      </c>
      <c r="C412" s="0" t="s">
        <v>6348</v>
      </c>
      <c r="D412" s="0" t="s">
        <v>6349</v>
      </c>
      <c r="E412" s="5" t="s">
        <v>76</v>
      </c>
      <c r="G412" s="0" t="s">
        <v>1855</v>
      </c>
      <c r="H412" s="0" t="s">
        <v>5519</v>
      </c>
      <c r="I412" s="5" t="s">
        <v>6350</v>
      </c>
      <c r="K412" s="0" t="s">
        <v>35</v>
      </c>
      <c r="L412" s="0" t="s">
        <v>6351</v>
      </c>
    </row>
    <row r="413" customFormat="false" ht="17.15" hidden="false" customHeight="false" outlineLevel="0" collapsed="false">
      <c r="A413" s="0" t="s">
        <v>6352</v>
      </c>
      <c r="B413" s="0" t="s">
        <v>1824</v>
      </c>
      <c r="C413" s="0" t="s">
        <v>6353</v>
      </c>
      <c r="D413" s="0" t="s">
        <v>112</v>
      </c>
      <c r="E413" s="5" t="s">
        <v>76</v>
      </c>
      <c r="F413" s="0" t="s">
        <v>6354</v>
      </c>
      <c r="G413" s="0" t="s">
        <v>1909</v>
      </c>
      <c r="H413" s="0" t="s">
        <v>5454</v>
      </c>
      <c r="I413" s="0" t="s">
        <v>6355</v>
      </c>
      <c r="K413" s="0" t="s">
        <v>35</v>
      </c>
      <c r="L413" s="0" t="s">
        <v>6356</v>
      </c>
    </row>
    <row r="414" customFormat="false" ht="17.15" hidden="false" customHeight="false" outlineLevel="0" collapsed="false">
      <c r="A414" s="0" t="s">
        <v>6357</v>
      </c>
      <c r="B414" s="0" t="s">
        <v>1824</v>
      </c>
      <c r="C414" s="0" t="s">
        <v>6358</v>
      </c>
      <c r="D414" s="0" t="s">
        <v>112</v>
      </c>
      <c r="E414" s="5" t="s">
        <v>76</v>
      </c>
      <c r="F414" s="0" t="s">
        <v>6359</v>
      </c>
      <c r="G414" s="0" t="s">
        <v>1909</v>
      </c>
      <c r="H414" s="0" t="s">
        <v>5486</v>
      </c>
      <c r="I414" s="5" t="s">
        <v>6360</v>
      </c>
      <c r="K414" s="0" t="s">
        <v>35</v>
      </c>
      <c r="L414" s="0" t="s">
        <v>6361</v>
      </c>
    </row>
    <row r="415" customFormat="false" ht="17.15" hidden="false" customHeight="false" outlineLevel="0" collapsed="false">
      <c r="A415" s="0" t="s">
        <v>6362</v>
      </c>
      <c r="B415" s="0" t="s">
        <v>1824</v>
      </c>
      <c r="C415" s="0" t="s">
        <v>6363</v>
      </c>
      <c r="D415" s="0" t="s">
        <v>112</v>
      </c>
      <c r="E415" s="5" t="s">
        <v>76</v>
      </c>
      <c r="F415" s="0" t="s">
        <v>6364</v>
      </c>
      <c r="G415" s="0" t="s">
        <v>1855</v>
      </c>
      <c r="H415" s="0" t="s">
        <v>5486</v>
      </c>
      <c r="I415" s="5" t="s">
        <v>6365</v>
      </c>
      <c r="K415" s="0" t="s">
        <v>35</v>
      </c>
      <c r="L415" s="0" t="s">
        <v>6366</v>
      </c>
    </row>
    <row r="416" customFormat="false" ht="17.15" hidden="false" customHeight="false" outlineLevel="0" collapsed="false">
      <c r="A416" s="0" t="s">
        <v>6367</v>
      </c>
      <c r="B416" s="0" t="s">
        <v>1824</v>
      </c>
      <c r="C416" s="0" t="s">
        <v>6368</v>
      </c>
      <c r="D416" s="0" t="s">
        <v>112</v>
      </c>
      <c r="E416" s="5" t="s">
        <v>76</v>
      </c>
      <c r="F416" s="0" t="s">
        <v>5453</v>
      </c>
      <c r="G416" s="0" t="s">
        <v>1855</v>
      </c>
      <c r="H416" s="0" t="s">
        <v>5519</v>
      </c>
      <c r="I416" s="0" t="s">
        <v>6369</v>
      </c>
      <c r="K416" s="0" t="s">
        <v>35</v>
      </c>
      <c r="L416" s="0" t="s">
        <v>6370</v>
      </c>
    </row>
    <row r="417" customFormat="false" ht="17.15" hidden="false" customHeight="false" outlineLevel="0" collapsed="false">
      <c r="A417" s="0" t="s">
        <v>6371</v>
      </c>
      <c r="B417" s="0" t="s">
        <v>1824</v>
      </c>
      <c r="C417" s="0" t="s">
        <v>6372</v>
      </c>
      <c r="D417" s="0" t="s">
        <v>112</v>
      </c>
      <c r="E417" s="5" t="s">
        <v>76</v>
      </c>
      <c r="F417" s="0" t="s">
        <v>6359</v>
      </c>
      <c r="G417" s="0" t="s">
        <v>1909</v>
      </c>
      <c r="H417" s="0" t="s">
        <v>5486</v>
      </c>
      <c r="I417" s="5" t="s">
        <v>6373</v>
      </c>
      <c r="K417" s="0" t="s">
        <v>35</v>
      </c>
      <c r="L417" s="0" t="s">
        <v>6361</v>
      </c>
    </row>
    <row r="418" customFormat="false" ht="17.15" hidden="false" customHeight="false" outlineLevel="0" collapsed="false">
      <c r="A418" s="0" t="s">
        <v>6374</v>
      </c>
      <c r="B418" s="0" t="s">
        <v>6375</v>
      </c>
      <c r="C418" s="0" t="s">
        <v>6376</v>
      </c>
      <c r="D418" s="0" t="s">
        <v>6377</v>
      </c>
      <c r="E418" s="5" t="s">
        <v>76</v>
      </c>
      <c r="G418" s="0" t="s">
        <v>1909</v>
      </c>
      <c r="H418" s="0" t="s">
        <v>5454</v>
      </c>
      <c r="I418" s="0" t="s">
        <v>6378</v>
      </c>
      <c r="K418" s="0" t="s">
        <v>35</v>
      </c>
      <c r="L418" s="0" t="s">
        <v>6379</v>
      </c>
    </row>
    <row r="419" customFormat="false" ht="17.15" hidden="false" customHeight="false" outlineLevel="0" collapsed="false">
      <c r="A419" s="0" t="s">
        <v>6380</v>
      </c>
      <c r="B419" s="0" t="s">
        <v>6375</v>
      </c>
      <c r="C419" s="0" t="s">
        <v>6381</v>
      </c>
      <c r="D419" s="0" t="s">
        <v>6382</v>
      </c>
      <c r="E419" s="5" t="s">
        <v>76</v>
      </c>
      <c r="F419" s="0" t="s">
        <v>2204</v>
      </c>
      <c r="G419" s="0" t="s">
        <v>1855</v>
      </c>
      <c r="H419" s="0" t="s">
        <v>5497</v>
      </c>
      <c r="I419" s="5" t="s">
        <v>5498</v>
      </c>
      <c r="K419" s="0" t="s">
        <v>35</v>
      </c>
      <c r="L419" s="0" t="s">
        <v>6383</v>
      </c>
    </row>
    <row r="420" customFormat="false" ht="17.15" hidden="false" customHeight="false" outlineLevel="0" collapsed="false">
      <c r="A420" s="0" t="s">
        <v>6384</v>
      </c>
      <c r="B420" s="0" t="s">
        <v>6375</v>
      </c>
      <c r="C420" s="0" t="s">
        <v>6385</v>
      </c>
      <c r="D420" s="0" t="s">
        <v>6386</v>
      </c>
      <c r="E420" s="5" t="s">
        <v>76</v>
      </c>
      <c r="F420" s="0" t="s">
        <v>2204</v>
      </c>
      <c r="G420" s="0" t="s">
        <v>1855</v>
      </c>
      <c r="H420" s="0" t="s">
        <v>5497</v>
      </c>
      <c r="I420" s="5" t="s">
        <v>5498</v>
      </c>
      <c r="K420" s="0" t="s">
        <v>35</v>
      </c>
      <c r="L420" s="0" t="s">
        <v>6383</v>
      </c>
    </row>
    <row r="421" customFormat="false" ht="17.15" hidden="false" customHeight="false" outlineLevel="0" collapsed="false">
      <c r="A421" s="0" t="s">
        <v>6387</v>
      </c>
      <c r="B421" s="0" t="s">
        <v>6375</v>
      </c>
      <c r="C421" s="0" t="s">
        <v>6388</v>
      </c>
      <c r="D421" s="0" t="s">
        <v>4771</v>
      </c>
      <c r="E421" s="5" t="s">
        <v>76</v>
      </c>
      <c r="G421" s="0" t="s">
        <v>1909</v>
      </c>
      <c r="H421" s="0" t="s">
        <v>5497</v>
      </c>
      <c r="I421" s="5" t="s">
        <v>5498</v>
      </c>
      <c r="K421" s="0" t="s">
        <v>35</v>
      </c>
      <c r="L421" s="0" t="s">
        <v>6389</v>
      </c>
    </row>
    <row r="422" customFormat="false" ht="17.15" hidden="false" customHeight="false" outlineLevel="0" collapsed="false">
      <c r="A422" s="0" t="s">
        <v>6390</v>
      </c>
      <c r="B422" s="0" t="s">
        <v>6375</v>
      </c>
      <c r="C422" s="0" t="s">
        <v>6391</v>
      </c>
      <c r="D422" s="0" t="s">
        <v>112</v>
      </c>
      <c r="E422" s="5" t="s">
        <v>76</v>
      </c>
      <c r="G422" s="0" t="s">
        <v>1855</v>
      </c>
      <c r="H422" s="0" t="s">
        <v>5454</v>
      </c>
      <c r="I422" s="0" t="s">
        <v>6392</v>
      </c>
      <c r="K422" s="0" t="s">
        <v>35</v>
      </c>
      <c r="L422" s="0" t="s">
        <v>6393</v>
      </c>
    </row>
    <row r="423" customFormat="false" ht="17.15" hidden="false" customHeight="false" outlineLevel="0" collapsed="false">
      <c r="A423" s="0" t="s">
        <v>6394</v>
      </c>
      <c r="B423" s="0" t="s">
        <v>6395</v>
      </c>
      <c r="C423" s="0" t="s">
        <v>6396</v>
      </c>
      <c r="D423" s="0" t="s">
        <v>112</v>
      </c>
      <c r="E423" s="5" t="s">
        <v>76</v>
      </c>
      <c r="F423" s="0" t="s">
        <v>6397</v>
      </c>
      <c r="G423" s="0" t="s">
        <v>1855</v>
      </c>
      <c r="H423" s="0" t="s">
        <v>5497</v>
      </c>
      <c r="I423" s="5" t="s">
        <v>5707</v>
      </c>
      <c r="K423" s="0" t="s">
        <v>35</v>
      </c>
      <c r="L423" s="0" t="s">
        <v>6398</v>
      </c>
    </row>
    <row r="424" customFormat="false" ht="17.15" hidden="false" customHeight="false" outlineLevel="0" collapsed="false">
      <c r="A424" s="0" t="s">
        <v>6399</v>
      </c>
      <c r="B424" s="0" t="s">
        <v>6395</v>
      </c>
      <c r="C424" s="0" t="s">
        <v>6400</v>
      </c>
      <c r="D424" s="0" t="s">
        <v>112</v>
      </c>
      <c r="E424" s="5" t="s">
        <v>76</v>
      </c>
      <c r="F424" s="0" t="s">
        <v>2111</v>
      </c>
      <c r="G424" s="0" t="s">
        <v>1855</v>
      </c>
      <c r="H424" s="0" t="s">
        <v>5519</v>
      </c>
      <c r="I424" s="0" t="s">
        <v>6401</v>
      </c>
      <c r="K424" s="0" t="s">
        <v>35</v>
      </c>
      <c r="L424" s="0" t="s">
        <v>6402</v>
      </c>
    </row>
    <row r="425" customFormat="false" ht="17.15" hidden="false" customHeight="false" outlineLevel="0" collapsed="false">
      <c r="A425" s="0" t="s">
        <v>6403</v>
      </c>
      <c r="B425" s="0" t="s">
        <v>6395</v>
      </c>
      <c r="C425" s="0" t="s">
        <v>6404</v>
      </c>
      <c r="D425" s="0" t="s">
        <v>112</v>
      </c>
      <c r="E425" s="5" t="s">
        <v>76</v>
      </c>
      <c r="F425" s="0" t="s">
        <v>2111</v>
      </c>
      <c r="G425" s="0" t="s">
        <v>1855</v>
      </c>
      <c r="H425" s="0" t="s">
        <v>5454</v>
      </c>
      <c r="I425" s="0" t="s">
        <v>6405</v>
      </c>
      <c r="K425" s="0" t="s">
        <v>35</v>
      </c>
      <c r="L425" s="0" t="s">
        <v>6402</v>
      </c>
    </row>
    <row r="426" customFormat="false" ht="17.15" hidden="false" customHeight="false" outlineLevel="0" collapsed="false">
      <c r="A426" s="0" t="s">
        <v>6406</v>
      </c>
      <c r="B426" s="0" t="s">
        <v>6395</v>
      </c>
      <c r="C426" s="0" t="s">
        <v>6407</v>
      </c>
      <c r="D426" s="0" t="s">
        <v>5496</v>
      </c>
      <c r="E426" s="5" t="s">
        <v>76</v>
      </c>
      <c r="F426" s="0" t="s">
        <v>2362</v>
      </c>
      <c r="G426" s="0" t="s">
        <v>1855</v>
      </c>
      <c r="H426" s="0" t="s">
        <v>5497</v>
      </c>
      <c r="I426" s="5" t="s">
        <v>5707</v>
      </c>
      <c r="K426" s="0" t="s">
        <v>35</v>
      </c>
      <c r="L426" s="0" t="s">
        <v>6408</v>
      </c>
    </row>
    <row r="427" customFormat="false" ht="17.15" hidden="false" customHeight="false" outlineLevel="0" collapsed="false">
      <c r="A427" s="0" t="s">
        <v>6409</v>
      </c>
      <c r="B427" s="0" t="s">
        <v>6395</v>
      </c>
      <c r="C427" s="0" t="s">
        <v>6410</v>
      </c>
      <c r="D427" s="0" t="s">
        <v>6411</v>
      </c>
      <c r="E427" s="5" t="s">
        <v>76</v>
      </c>
      <c r="F427" s="0" t="s">
        <v>6412</v>
      </c>
      <c r="G427" s="0" t="s">
        <v>1855</v>
      </c>
      <c r="H427" s="0" t="s">
        <v>5454</v>
      </c>
      <c r="I427" s="0" t="s">
        <v>6413</v>
      </c>
      <c r="K427" s="0" t="s">
        <v>35</v>
      </c>
      <c r="L427" s="0" t="s">
        <v>6414</v>
      </c>
    </row>
    <row r="428" customFormat="false" ht="17.15" hidden="false" customHeight="false" outlineLevel="0" collapsed="false">
      <c r="A428" s="0" t="s">
        <v>6415</v>
      </c>
      <c r="B428" s="0" t="s">
        <v>5623</v>
      </c>
      <c r="C428" s="0" t="s">
        <v>6416</v>
      </c>
      <c r="D428" s="0" t="s">
        <v>4456</v>
      </c>
      <c r="E428" s="5" t="s">
        <v>76</v>
      </c>
      <c r="G428" s="0" t="s">
        <v>1909</v>
      </c>
      <c r="H428" s="0" t="s">
        <v>5497</v>
      </c>
      <c r="I428" s="5" t="s">
        <v>5498</v>
      </c>
      <c r="K428" s="0" t="s">
        <v>35</v>
      </c>
      <c r="L428" s="0" t="s">
        <v>6417</v>
      </c>
    </row>
    <row r="429" customFormat="false" ht="17.15" hidden="false" customHeight="false" outlineLevel="0" collapsed="false">
      <c r="A429" s="0" t="s">
        <v>6418</v>
      </c>
      <c r="B429" s="0" t="s">
        <v>5623</v>
      </c>
      <c r="C429" s="0" t="s">
        <v>6419</v>
      </c>
      <c r="D429" s="0" t="s">
        <v>112</v>
      </c>
      <c r="E429" s="5" t="s">
        <v>76</v>
      </c>
      <c r="F429" s="0" t="s">
        <v>4644</v>
      </c>
      <c r="G429" s="0" t="s">
        <v>1909</v>
      </c>
      <c r="H429" s="0" t="s">
        <v>5454</v>
      </c>
      <c r="I429" s="0" t="s">
        <v>6420</v>
      </c>
      <c r="K429" s="0" t="s">
        <v>35</v>
      </c>
      <c r="L429" s="0" t="s">
        <v>6421</v>
      </c>
    </row>
    <row r="430" customFormat="false" ht="17.15" hidden="false" customHeight="false" outlineLevel="0" collapsed="false">
      <c r="A430" s="0" t="s">
        <v>6422</v>
      </c>
      <c r="B430" s="0" t="s">
        <v>6423</v>
      </c>
      <c r="C430" s="0" t="s">
        <v>6424</v>
      </c>
      <c r="D430" s="0" t="s">
        <v>112</v>
      </c>
      <c r="E430" s="5" t="s">
        <v>76</v>
      </c>
      <c r="F430" s="0" t="s">
        <v>6425</v>
      </c>
      <c r="G430" s="0" t="s">
        <v>1909</v>
      </c>
      <c r="H430" s="0" t="s">
        <v>5519</v>
      </c>
      <c r="I430" s="0" t="s">
        <v>6426</v>
      </c>
      <c r="K430" s="0" t="s">
        <v>35</v>
      </c>
      <c r="L430" s="0" t="s">
        <v>6427</v>
      </c>
    </row>
    <row r="431" customFormat="false" ht="17.15" hidden="false" customHeight="false" outlineLevel="0" collapsed="false">
      <c r="A431" s="0" t="s">
        <v>6428</v>
      </c>
      <c r="B431" s="0" t="s">
        <v>6429</v>
      </c>
      <c r="C431" s="0" t="s">
        <v>6430</v>
      </c>
      <c r="D431" s="0" t="s">
        <v>112</v>
      </c>
      <c r="E431" s="5" t="s">
        <v>76</v>
      </c>
      <c r="F431" s="0" t="s">
        <v>138</v>
      </c>
      <c r="G431" s="0" t="s">
        <v>141</v>
      </c>
      <c r="H431" s="0" t="s">
        <v>5454</v>
      </c>
      <c r="I431" s="5" t="s">
        <v>6431</v>
      </c>
      <c r="K431" s="0" t="s">
        <v>35</v>
      </c>
      <c r="L431" s="0" t="s">
        <v>6432</v>
      </c>
    </row>
    <row r="432" customFormat="false" ht="17.15" hidden="false" customHeight="false" outlineLevel="0" collapsed="false">
      <c r="A432" s="0" t="s">
        <v>6433</v>
      </c>
      <c r="B432" s="0" t="s">
        <v>6429</v>
      </c>
      <c r="C432" s="0" t="s">
        <v>6434</v>
      </c>
      <c r="D432" s="0" t="s">
        <v>112</v>
      </c>
      <c r="E432" s="5" t="s">
        <v>76</v>
      </c>
      <c r="F432" s="0" t="s">
        <v>5321</v>
      </c>
      <c r="G432" s="0" t="s">
        <v>118</v>
      </c>
      <c r="H432" s="0" t="s">
        <v>5454</v>
      </c>
      <c r="I432" s="5" t="s">
        <v>6435</v>
      </c>
      <c r="K432" s="0" t="s">
        <v>35</v>
      </c>
      <c r="L432" s="0" t="s">
        <v>6436</v>
      </c>
    </row>
    <row r="433" customFormat="false" ht="17.15" hidden="false" customHeight="false" outlineLevel="0" collapsed="false">
      <c r="A433" s="0" t="s">
        <v>6437</v>
      </c>
      <c r="B433" s="0" t="s">
        <v>6438</v>
      </c>
      <c r="C433" s="0" t="s">
        <v>6439</v>
      </c>
      <c r="D433" s="0" t="s">
        <v>5460</v>
      </c>
      <c r="E433" s="5" t="s">
        <v>76</v>
      </c>
      <c r="F433" s="0" t="s">
        <v>6440</v>
      </c>
      <c r="G433" s="0" t="s">
        <v>141</v>
      </c>
      <c r="H433" s="0" t="s">
        <v>5486</v>
      </c>
      <c r="I433" s="0" t="s">
        <v>6441</v>
      </c>
      <c r="K433" s="0" t="s">
        <v>35</v>
      </c>
      <c r="L433" s="0" t="s">
        <v>6442</v>
      </c>
    </row>
    <row r="434" customFormat="false" ht="17.15" hidden="false" customHeight="false" outlineLevel="0" collapsed="false">
      <c r="A434" s="0" t="s">
        <v>6443</v>
      </c>
      <c r="B434" s="0" t="s">
        <v>6438</v>
      </c>
      <c r="C434" s="0" t="s">
        <v>6444</v>
      </c>
      <c r="D434" s="0" t="s">
        <v>6445</v>
      </c>
      <c r="E434" s="5" t="s">
        <v>76</v>
      </c>
      <c r="F434" s="0" t="s">
        <v>1708</v>
      </c>
      <c r="G434" s="0" t="s">
        <v>118</v>
      </c>
      <c r="H434" s="0" t="s">
        <v>5519</v>
      </c>
      <c r="I434" s="0" t="s">
        <v>6446</v>
      </c>
      <c r="K434" s="0" t="s">
        <v>35</v>
      </c>
      <c r="L434" s="0" t="s">
        <v>6447</v>
      </c>
    </row>
    <row r="435" customFormat="false" ht="17.15" hidden="false" customHeight="false" outlineLevel="0" collapsed="false">
      <c r="A435" s="0" t="s">
        <v>6448</v>
      </c>
      <c r="B435" s="0" t="s">
        <v>6449</v>
      </c>
      <c r="C435" s="0" t="s">
        <v>6450</v>
      </c>
      <c r="D435" s="0" t="s">
        <v>4799</v>
      </c>
      <c r="E435" s="5" t="s">
        <v>76</v>
      </c>
      <c r="F435" s="0" t="s">
        <v>119</v>
      </c>
      <c r="G435" s="0" t="s">
        <v>1855</v>
      </c>
      <c r="H435" s="0" t="s">
        <v>5497</v>
      </c>
      <c r="I435" s="5" t="s">
        <v>5498</v>
      </c>
      <c r="K435" s="0" t="s">
        <v>35</v>
      </c>
      <c r="L435" s="0" t="s">
        <v>6451</v>
      </c>
    </row>
    <row r="436" customFormat="false" ht="17.15" hidden="false" customHeight="false" outlineLevel="0" collapsed="false">
      <c r="A436" s="0" t="s">
        <v>6452</v>
      </c>
      <c r="B436" s="0" t="s">
        <v>6449</v>
      </c>
      <c r="C436" s="0" t="s">
        <v>6453</v>
      </c>
      <c r="D436" s="0" t="s">
        <v>112</v>
      </c>
      <c r="E436" s="5" t="s">
        <v>76</v>
      </c>
      <c r="F436" s="0" t="s">
        <v>4262</v>
      </c>
      <c r="G436" s="0" t="s">
        <v>1909</v>
      </c>
      <c r="H436" s="0" t="s">
        <v>5454</v>
      </c>
      <c r="I436" s="0" t="s">
        <v>6454</v>
      </c>
      <c r="K436" s="0" t="s">
        <v>35</v>
      </c>
      <c r="L436" s="0" t="s">
        <v>6455</v>
      </c>
    </row>
    <row r="437" customFormat="false" ht="17.15" hidden="false" customHeight="false" outlineLevel="0" collapsed="false">
      <c r="A437" s="0" t="s">
        <v>6456</v>
      </c>
      <c r="B437" s="0" t="s">
        <v>6449</v>
      </c>
      <c r="C437" s="0" t="s">
        <v>6457</v>
      </c>
      <c r="D437" s="0" t="s">
        <v>112</v>
      </c>
      <c r="E437" s="5" t="s">
        <v>76</v>
      </c>
      <c r="F437" s="0" t="s">
        <v>6314</v>
      </c>
      <c r="G437" s="0" t="s">
        <v>1855</v>
      </c>
      <c r="H437" s="0" t="s">
        <v>5486</v>
      </c>
      <c r="I437" s="5" t="s">
        <v>6458</v>
      </c>
      <c r="K437" s="0" t="s">
        <v>35</v>
      </c>
      <c r="L437" s="0" t="s">
        <v>6459</v>
      </c>
    </row>
    <row r="438" customFormat="false" ht="17.15" hidden="false" customHeight="false" outlineLevel="0" collapsed="false">
      <c r="A438" s="0" t="s">
        <v>6460</v>
      </c>
      <c r="B438" s="0" t="s">
        <v>1683</v>
      </c>
      <c r="C438" s="0" t="s">
        <v>6461</v>
      </c>
      <c r="D438" s="0" t="s">
        <v>4698</v>
      </c>
      <c r="E438" s="5" t="s">
        <v>76</v>
      </c>
      <c r="F438" s="0" t="s">
        <v>4931</v>
      </c>
      <c r="G438" s="0" t="s">
        <v>1909</v>
      </c>
      <c r="H438" s="0" t="s">
        <v>5454</v>
      </c>
      <c r="I438" s="5" t="s">
        <v>6462</v>
      </c>
      <c r="K438" s="0" t="s">
        <v>35</v>
      </c>
      <c r="L438" s="0" t="s">
        <v>6463</v>
      </c>
    </row>
    <row r="439" customFormat="false" ht="17.15" hidden="false" customHeight="false" outlineLevel="0" collapsed="false">
      <c r="A439" s="0" t="s">
        <v>6464</v>
      </c>
      <c r="B439" s="0" t="s">
        <v>6465</v>
      </c>
      <c r="C439" s="0" t="s">
        <v>6466</v>
      </c>
      <c r="D439" s="0" t="s">
        <v>6467</v>
      </c>
      <c r="E439" s="5" t="s">
        <v>76</v>
      </c>
      <c r="F439" s="0" t="s">
        <v>5537</v>
      </c>
      <c r="G439" s="0" t="s">
        <v>1909</v>
      </c>
      <c r="H439" s="0" t="s">
        <v>5454</v>
      </c>
      <c r="I439" s="0" t="s">
        <v>6468</v>
      </c>
      <c r="K439" s="0" t="s">
        <v>35</v>
      </c>
      <c r="L439" s="0" t="s">
        <v>6469</v>
      </c>
    </row>
    <row r="440" customFormat="false" ht="17.15" hidden="false" customHeight="false" outlineLevel="0" collapsed="false">
      <c r="A440" s="0" t="s">
        <v>6470</v>
      </c>
      <c r="B440" s="0" t="s">
        <v>6471</v>
      </c>
      <c r="C440" s="0" t="s">
        <v>6472</v>
      </c>
      <c r="D440" s="0" t="s">
        <v>4698</v>
      </c>
      <c r="E440" s="5" t="s">
        <v>76</v>
      </c>
      <c r="F440" s="0" t="s">
        <v>4851</v>
      </c>
      <c r="G440" s="0" t="s">
        <v>1909</v>
      </c>
      <c r="H440" s="0" t="s">
        <v>5502</v>
      </c>
      <c r="I440" s="0" t="s">
        <v>6473</v>
      </c>
      <c r="K440" s="0" t="s">
        <v>35</v>
      </c>
      <c r="L440" s="0" t="s">
        <v>6474</v>
      </c>
    </row>
    <row r="441" customFormat="false" ht="17.15" hidden="false" customHeight="false" outlineLevel="0" collapsed="false">
      <c r="A441" s="0" t="s">
        <v>6475</v>
      </c>
      <c r="B441" s="0" t="s">
        <v>6471</v>
      </c>
      <c r="C441" s="0" t="s">
        <v>6476</v>
      </c>
      <c r="D441" s="0" t="s">
        <v>4859</v>
      </c>
      <c r="E441" s="5" t="s">
        <v>167</v>
      </c>
      <c r="F441" s="0" t="s">
        <v>2102</v>
      </c>
      <c r="G441" s="0" t="s">
        <v>1909</v>
      </c>
      <c r="H441" s="0" t="s">
        <v>5454</v>
      </c>
      <c r="I441" s="0" t="s">
        <v>6477</v>
      </c>
      <c r="K441" s="0" t="s">
        <v>35</v>
      </c>
      <c r="L441" s="0" t="s">
        <v>6478</v>
      </c>
    </row>
    <row r="442" customFormat="false" ht="17.15" hidden="false" customHeight="false" outlineLevel="0" collapsed="false">
      <c r="A442" s="0" t="s">
        <v>6479</v>
      </c>
      <c r="B442" s="0" t="s">
        <v>6471</v>
      </c>
      <c r="C442" s="0" t="s">
        <v>6480</v>
      </c>
      <c r="D442" s="0" t="s">
        <v>5578</v>
      </c>
      <c r="E442" s="5" t="s">
        <v>76</v>
      </c>
      <c r="F442" s="0" t="s">
        <v>6481</v>
      </c>
      <c r="G442" s="0" t="s">
        <v>1909</v>
      </c>
      <c r="H442" s="0" t="s">
        <v>5454</v>
      </c>
      <c r="I442" s="0" t="s">
        <v>6482</v>
      </c>
      <c r="K442" s="0" t="s">
        <v>35</v>
      </c>
      <c r="L442" s="0" t="s">
        <v>6483</v>
      </c>
    </row>
    <row r="443" customFormat="false" ht="17.15" hidden="false" customHeight="false" outlineLevel="0" collapsed="false">
      <c r="A443" s="0" t="s">
        <v>6484</v>
      </c>
      <c r="B443" s="0" t="s">
        <v>6485</v>
      </c>
      <c r="C443" s="0" t="s">
        <v>6486</v>
      </c>
      <c r="D443" s="0" t="s">
        <v>112</v>
      </c>
      <c r="E443" s="5" t="s">
        <v>76</v>
      </c>
      <c r="F443" s="0" t="s">
        <v>2472</v>
      </c>
      <c r="G443" s="0" t="s">
        <v>1855</v>
      </c>
      <c r="H443" s="0" t="s">
        <v>5454</v>
      </c>
      <c r="I443" s="5" t="s">
        <v>6487</v>
      </c>
      <c r="K443" s="0" t="s">
        <v>35</v>
      </c>
      <c r="L443" s="0" t="s">
        <v>6488</v>
      </c>
    </row>
    <row r="444" customFormat="false" ht="17.15" hidden="false" customHeight="false" outlineLevel="0" collapsed="false">
      <c r="A444" s="0" t="s">
        <v>6489</v>
      </c>
      <c r="B444" s="0" t="s">
        <v>2459</v>
      </c>
      <c r="C444" s="0" t="s">
        <v>6490</v>
      </c>
      <c r="D444" s="0" t="s">
        <v>5496</v>
      </c>
      <c r="E444" s="5" t="s">
        <v>76</v>
      </c>
      <c r="F444" s="0" t="s">
        <v>2091</v>
      </c>
      <c r="G444" s="0" t="s">
        <v>1909</v>
      </c>
      <c r="H444" s="0" t="s">
        <v>5486</v>
      </c>
      <c r="I444" s="0" t="s">
        <v>6491</v>
      </c>
      <c r="K444" s="0" t="s">
        <v>35</v>
      </c>
      <c r="L444" s="0" t="s">
        <v>6492</v>
      </c>
    </row>
    <row r="445" customFormat="false" ht="17.15" hidden="false" customHeight="false" outlineLevel="0" collapsed="false">
      <c r="A445" s="0" t="s">
        <v>6493</v>
      </c>
      <c r="B445" s="0" t="s">
        <v>5794</v>
      </c>
      <c r="C445" s="0" t="s">
        <v>6494</v>
      </c>
      <c r="D445" s="0" t="s">
        <v>4771</v>
      </c>
      <c r="E445" s="5" t="s">
        <v>76</v>
      </c>
      <c r="F445" s="0" t="s">
        <v>5024</v>
      </c>
      <c r="G445" s="0" t="s">
        <v>1909</v>
      </c>
      <c r="H445" s="0" t="s">
        <v>5486</v>
      </c>
      <c r="I445" s="0" t="s">
        <v>6495</v>
      </c>
      <c r="K445" s="0" t="s">
        <v>35</v>
      </c>
      <c r="L445" s="0" t="s">
        <v>6496</v>
      </c>
    </row>
    <row r="446" customFormat="false" ht="17.15" hidden="false" customHeight="false" outlineLevel="0" collapsed="false">
      <c r="A446" s="0" t="s">
        <v>6497</v>
      </c>
      <c r="B446" s="0" t="s">
        <v>5794</v>
      </c>
      <c r="C446" s="0" t="s">
        <v>6498</v>
      </c>
      <c r="D446" s="0" t="s">
        <v>6499</v>
      </c>
      <c r="E446" s="5" t="s">
        <v>76</v>
      </c>
      <c r="F446" s="0" t="s">
        <v>4644</v>
      </c>
      <c r="G446" s="0" t="s">
        <v>1855</v>
      </c>
      <c r="H446" s="0" t="s">
        <v>5497</v>
      </c>
      <c r="I446" s="5" t="s">
        <v>5498</v>
      </c>
      <c r="K446" s="0" t="s">
        <v>35</v>
      </c>
      <c r="L446" s="0" t="s">
        <v>6500</v>
      </c>
    </row>
    <row r="447" customFormat="false" ht="17.15" hidden="false" customHeight="false" outlineLevel="0" collapsed="false">
      <c r="A447" s="0" t="s">
        <v>6501</v>
      </c>
      <c r="B447" s="0" t="s">
        <v>5794</v>
      </c>
      <c r="C447" s="0" t="s">
        <v>6502</v>
      </c>
      <c r="D447" s="0" t="s">
        <v>4771</v>
      </c>
      <c r="E447" s="5" t="s">
        <v>76</v>
      </c>
      <c r="F447" s="0" t="s">
        <v>5024</v>
      </c>
      <c r="G447" s="0" t="s">
        <v>1909</v>
      </c>
      <c r="H447" s="0" t="s">
        <v>5454</v>
      </c>
      <c r="I447" s="0" t="s">
        <v>6503</v>
      </c>
      <c r="K447" s="0" t="s">
        <v>35</v>
      </c>
      <c r="L447" s="0" t="s">
        <v>6496</v>
      </c>
    </row>
    <row r="448" customFormat="false" ht="17.15" hidden="false" customHeight="false" outlineLevel="0" collapsed="false">
      <c r="A448" s="0" t="s">
        <v>6504</v>
      </c>
      <c r="B448" s="0" t="s">
        <v>5794</v>
      </c>
      <c r="C448" s="0" t="s">
        <v>6505</v>
      </c>
      <c r="D448" s="0" t="s">
        <v>6506</v>
      </c>
      <c r="E448" s="5" t="s">
        <v>76</v>
      </c>
      <c r="F448" s="0" t="s">
        <v>4644</v>
      </c>
      <c r="G448" s="0" t="s">
        <v>1909</v>
      </c>
      <c r="H448" s="0" t="s">
        <v>5497</v>
      </c>
      <c r="I448" s="5" t="s">
        <v>5498</v>
      </c>
      <c r="K448" s="0" t="s">
        <v>35</v>
      </c>
      <c r="L448" s="0" t="s">
        <v>6500</v>
      </c>
    </row>
    <row r="449" customFormat="false" ht="17.15" hidden="false" customHeight="false" outlineLevel="0" collapsed="false">
      <c r="A449" s="0" t="s">
        <v>6507</v>
      </c>
      <c r="B449" s="0" t="s">
        <v>5794</v>
      </c>
      <c r="C449" s="0" t="s">
        <v>6508</v>
      </c>
      <c r="D449" s="0" t="s">
        <v>5496</v>
      </c>
      <c r="E449" s="5" t="s">
        <v>76</v>
      </c>
      <c r="F449" s="0" t="s">
        <v>5024</v>
      </c>
      <c r="G449" s="0" t="s">
        <v>1909</v>
      </c>
      <c r="H449" s="0" t="s">
        <v>5454</v>
      </c>
      <c r="I449" s="0" t="s">
        <v>6509</v>
      </c>
      <c r="K449" s="0" t="s">
        <v>35</v>
      </c>
      <c r="L449" s="0" t="s">
        <v>6496</v>
      </c>
    </row>
    <row r="450" customFormat="false" ht="17.15" hidden="false" customHeight="false" outlineLevel="0" collapsed="false">
      <c r="A450" s="0" t="s">
        <v>6510</v>
      </c>
      <c r="B450" s="0" t="s">
        <v>6511</v>
      </c>
      <c r="C450" s="0" t="s">
        <v>6512</v>
      </c>
      <c r="D450" s="0" t="s">
        <v>5460</v>
      </c>
      <c r="E450" s="5" t="s">
        <v>76</v>
      </c>
      <c r="F450" s="0" t="s">
        <v>6397</v>
      </c>
      <c r="G450" s="0" t="s">
        <v>1909</v>
      </c>
      <c r="H450" s="0" t="s">
        <v>5454</v>
      </c>
      <c r="I450" s="0" t="s">
        <v>6513</v>
      </c>
      <c r="K450" s="0" t="s">
        <v>35</v>
      </c>
      <c r="L450" s="0" t="s">
        <v>6514</v>
      </c>
    </row>
    <row r="451" customFormat="false" ht="17.15" hidden="false" customHeight="false" outlineLevel="0" collapsed="false">
      <c r="A451" s="0" t="s">
        <v>6515</v>
      </c>
      <c r="B451" s="0" t="s">
        <v>6511</v>
      </c>
      <c r="C451" s="0" t="s">
        <v>6516</v>
      </c>
      <c r="D451" s="0" t="s">
        <v>4711</v>
      </c>
      <c r="E451" s="5" t="s">
        <v>76</v>
      </c>
      <c r="F451" s="0" t="s">
        <v>6397</v>
      </c>
      <c r="G451" s="0" t="s">
        <v>1909</v>
      </c>
      <c r="H451" s="0" t="s">
        <v>5454</v>
      </c>
      <c r="I451" s="0" t="s">
        <v>6517</v>
      </c>
      <c r="K451" s="0" t="s">
        <v>35</v>
      </c>
      <c r="L451" s="0" t="s">
        <v>6514</v>
      </c>
    </row>
    <row r="452" customFormat="false" ht="17.15" hidden="false" customHeight="false" outlineLevel="0" collapsed="false">
      <c r="A452" s="0" t="s">
        <v>6518</v>
      </c>
      <c r="B452" s="0" t="s">
        <v>6519</v>
      </c>
      <c r="C452" s="0" t="s">
        <v>6520</v>
      </c>
      <c r="D452" s="0" t="s">
        <v>6521</v>
      </c>
      <c r="E452" s="5" t="s">
        <v>76</v>
      </c>
      <c r="F452" s="0" t="s">
        <v>6166</v>
      </c>
      <c r="G452" s="0" t="s">
        <v>1909</v>
      </c>
      <c r="H452" s="0" t="s">
        <v>5486</v>
      </c>
      <c r="I452" s="0" t="s">
        <v>6522</v>
      </c>
      <c r="K452" s="0" t="s">
        <v>35</v>
      </c>
      <c r="L452" s="0" t="s">
        <v>6523</v>
      </c>
    </row>
    <row r="453" customFormat="false" ht="17.15" hidden="false" customHeight="false" outlineLevel="0" collapsed="false">
      <c r="A453" s="0" t="s">
        <v>6524</v>
      </c>
      <c r="B453" s="0" t="s">
        <v>6519</v>
      </c>
      <c r="C453" s="0" t="s">
        <v>6525</v>
      </c>
      <c r="D453" s="0" t="s">
        <v>5673</v>
      </c>
      <c r="E453" s="5" t="s">
        <v>76</v>
      </c>
      <c r="F453" s="0" t="s">
        <v>1989</v>
      </c>
      <c r="G453" s="0" t="s">
        <v>1909</v>
      </c>
      <c r="H453" s="0" t="s">
        <v>5454</v>
      </c>
      <c r="I453" s="0" t="s">
        <v>6526</v>
      </c>
      <c r="K453" s="0" t="s">
        <v>35</v>
      </c>
      <c r="L453" s="0" t="s">
        <v>6527</v>
      </c>
    </row>
    <row r="454" customFormat="false" ht="17.15" hidden="false" customHeight="false" outlineLevel="0" collapsed="false">
      <c r="A454" s="0" t="s">
        <v>6528</v>
      </c>
      <c r="B454" s="0" t="s">
        <v>6529</v>
      </c>
      <c r="C454" s="0" t="s">
        <v>6530</v>
      </c>
      <c r="D454" s="0" t="s">
        <v>6531</v>
      </c>
      <c r="E454" s="5" t="s">
        <v>76</v>
      </c>
      <c r="F454" s="0" t="s">
        <v>6532</v>
      </c>
      <c r="G454" s="0" t="s">
        <v>1909</v>
      </c>
      <c r="H454" s="0" t="s">
        <v>5497</v>
      </c>
      <c r="I454" s="5" t="s">
        <v>5756</v>
      </c>
      <c r="K454" s="0" t="s">
        <v>35</v>
      </c>
      <c r="L454" s="0" t="s">
        <v>6533</v>
      </c>
    </row>
    <row r="455" customFormat="false" ht="17.15" hidden="false" customHeight="false" outlineLevel="0" collapsed="false">
      <c r="A455" s="0" t="s">
        <v>6534</v>
      </c>
      <c r="B455" s="0" t="s">
        <v>6535</v>
      </c>
      <c r="C455" s="0" t="s">
        <v>6536</v>
      </c>
      <c r="D455" s="0" t="s">
        <v>112</v>
      </c>
      <c r="E455" s="5" t="s">
        <v>76</v>
      </c>
      <c r="F455" s="0" t="s">
        <v>5507</v>
      </c>
      <c r="G455" s="0" t="s">
        <v>1909</v>
      </c>
      <c r="H455" s="0" t="s">
        <v>5519</v>
      </c>
      <c r="I455" s="5" t="s">
        <v>6537</v>
      </c>
      <c r="K455" s="0" t="s">
        <v>35</v>
      </c>
      <c r="L455" s="0" t="s">
        <v>6538</v>
      </c>
    </row>
    <row r="456" customFormat="false" ht="17.15" hidden="false" customHeight="false" outlineLevel="0" collapsed="false">
      <c r="A456" s="0" t="s">
        <v>6539</v>
      </c>
      <c r="B456" s="0" t="s">
        <v>6540</v>
      </c>
      <c r="C456" s="0" t="s">
        <v>6541</v>
      </c>
      <c r="D456" s="0" t="s">
        <v>5961</v>
      </c>
      <c r="E456" s="0" t="s">
        <v>111</v>
      </c>
      <c r="F456" s="0" t="s">
        <v>4753</v>
      </c>
      <c r="G456" s="0" t="s">
        <v>1909</v>
      </c>
      <c r="H456" s="0" t="s">
        <v>5497</v>
      </c>
      <c r="I456" s="5" t="s">
        <v>5498</v>
      </c>
      <c r="K456" s="0" t="s">
        <v>35</v>
      </c>
      <c r="L456" s="0" t="s">
        <v>6542</v>
      </c>
    </row>
    <row r="457" customFormat="false" ht="17.15" hidden="false" customHeight="false" outlineLevel="0" collapsed="false">
      <c r="A457" s="0" t="s">
        <v>6543</v>
      </c>
      <c r="B457" s="0" t="s">
        <v>6544</v>
      </c>
      <c r="C457" s="0" t="s">
        <v>6545</v>
      </c>
      <c r="D457" s="0" t="s">
        <v>6546</v>
      </c>
      <c r="E457" s="5" t="s">
        <v>167</v>
      </c>
      <c r="F457" s="0" t="s">
        <v>4570</v>
      </c>
      <c r="G457" s="0" t="s">
        <v>1909</v>
      </c>
      <c r="H457" s="0" t="s">
        <v>5486</v>
      </c>
      <c r="I457" s="5" t="s">
        <v>6547</v>
      </c>
      <c r="K457" s="0" t="s">
        <v>35</v>
      </c>
      <c r="L457" s="0" t="s">
        <v>6548</v>
      </c>
    </row>
    <row r="458" customFormat="false" ht="17.15" hidden="false" customHeight="false" outlineLevel="0" collapsed="false">
      <c r="A458" s="0" t="s">
        <v>6549</v>
      </c>
      <c r="B458" s="0" t="s">
        <v>5639</v>
      </c>
      <c r="C458" s="0" t="s">
        <v>6550</v>
      </c>
      <c r="D458" s="0" t="s">
        <v>5961</v>
      </c>
      <c r="E458" s="0" t="s">
        <v>111</v>
      </c>
      <c r="F458" s="0" t="s">
        <v>4593</v>
      </c>
      <c r="G458" s="0" t="s">
        <v>1909</v>
      </c>
      <c r="H458" s="0" t="s">
        <v>5497</v>
      </c>
      <c r="I458" s="5" t="s">
        <v>5498</v>
      </c>
      <c r="J458" s="0" t="s">
        <v>719</v>
      </c>
      <c r="K458" s="5" t="s">
        <v>1851</v>
      </c>
      <c r="L458" s="0" t="s">
        <v>6551</v>
      </c>
    </row>
    <row r="459" customFormat="false" ht="17.15" hidden="false" customHeight="false" outlineLevel="0" collapsed="false">
      <c r="A459" s="0" t="s">
        <v>6552</v>
      </c>
      <c r="B459" s="0" t="s">
        <v>5639</v>
      </c>
      <c r="C459" s="0" t="s">
        <v>6553</v>
      </c>
      <c r="D459" s="0" t="s">
        <v>6554</v>
      </c>
      <c r="E459" s="0" t="s">
        <v>111</v>
      </c>
      <c r="F459" s="0" t="s">
        <v>6532</v>
      </c>
      <c r="G459" s="0" t="s">
        <v>1909</v>
      </c>
      <c r="H459" s="0" t="s">
        <v>5497</v>
      </c>
      <c r="I459" s="5" t="s">
        <v>5498</v>
      </c>
      <c r="K459" s="0" t="s">
        <v>35</v>
      </c>
      <c r="L459" s="0" t="s">
        <v>6555</v>
      </c>
    </row>
    <row r="460" customFormat="false" ht="17.15" hidden="false" customHeight="false" outlineLevel="0" collapsed="false">
      <c r="A460" s="0" t="s">
        <v>6556</v>
      </c>
      <c r="B460" s="0" t="s">
        <v>5639</v>
      </c>
      <c r="C460" s="0" t="s">
        <v>6557</v>
      </c>
      <c r="D460" s="0" t="s">
        <v>4771</v>
      </c>
      <c r="E460" s="5" t="s">
        <v>76</v>
      </c>
      <c r="F460" s="0" t="s">
        <v>6558</v>
      </c>
      <c r="G460" s="0" t="s">
        <v>1909</v>
      </c>
      <c r="H460" s="0" t="s">
        <v>5454</v>
      </c>
      <c r="I460" s="0" t="s">
        <v>6559</v>
      </c>
      <c r="K460" s="0" t="s">
        <v>35</v>
      </c>
      <c r="L460" s="0" t="s">
        <v>6560</v>
      </c>
    </row>
    <row r="461" customFormat="false" ht="17.15" hidden="false" customHeight="false" outlineLevel="0" collapsed="false">
      <c r="A461" s="0" t="s">
        <v>6561</v>
      </c>
      <c r="B461" s="0" t="s">
        <v>5771</v>
      </c>
      <c r="C461" s="0" t="s">
        <v>6562</v>
      </c>
      <c r="D461" s="0" t="s">
        <v>6563</v>
      </c>
      <c r="E461" s="5" t="s">
        <v>76</v>
      </c>
      <c r="F461" s="0" t="s">
        <v>6564</v>
      </c>
      <c r="G461" s="0" t="s">
        <v>1909</v>
      </c>
      <c r="H461" s="0" t="s">
        <v>5454</v>
      </c>
      <c r="I461" s="0" t="s">
        <v>6565</v>
      </c>
      <c r="J461" s="0" t="s">
        <v>722</v>
      </c>
      <c r="K461" s="5" t="s">
        <v>1851</v>
      </c>
      <c r="L461" s="0" t="s">
        <v>6566</v>
      </c>
    </row>
    <row r="462" customFormat="false" ht="17.15" hidden="false" customHeight="false" outlineLevel="0" collapsed="false">
      <c r="A462" s="0" t="s">
        <v>6567</v>
      </c>
      <c r="B462" s="0" t="s">
        <v>5771</v>
      </c>
      <c r="C462" s="0" t="s">
        <v>6568</v>
      </c>
      <c r="D462" s="0" t="s">
        <v>5791</v>
      </c>
      <c r="E462" s="0" t="s">
        <v>111</v>
      </c>
      <c r="F462" s="0" t="s">
        <v>6569</v>
      </c>
      <c r="G462" s="0" t="s">
        <v>1855</v>
      </c>
      <c r="H462" s="0" t="s">
        <v>5497</v>
      </c>
      <c r="I462" s="5" t="s">
        <v>5498</v>
      </c>
      <c r="K462" s="0" t="s">
        <v>35</v>
      </c>
      <c r="L462" s="0" t="s">
        <v>6570</v>
      </c>
    </row>
    <row r="463" customFormat="false" ht="17.15" hidden="false" customHeight="false" outlineLevel="0" collapsed="false">
      <c r="A463" s="0" t="s">
        <v>6571</v>
      </c>
      <c r="B463" s="0" t="s">
        <v>5771</v>
      </c>
      <c r="C463" s="0" t="s">
        <v>6572</v>
      </c>
      <c r="D463" s="0" t="s">
        <v>5791</v>
      </c>
      <c r="E463" s="0" t="s">
        <v>111</v>
      </c>
      <c r="F463" s="0" t="s">
        <v>6569</v>
      </c>
      <c r="G463" s="0" t="s">
        <v>1855</v>
      </c>
      <c r="H463" s="0" t="s">
        <v>5497</v>
      </c>
      <c r="I463" s="5" t="s">
        <v>5498</v>
      </c>
      <c r="K463" s="0" t="s">
        <v>35</v>
      </c>
      <c r="L463" s="0" t="s">
        <v>6570</v>
      </c>
    </row>
    <row r="464" customFormat="false" ht="17.15" hidden="false" customHeight="false" outlineLevel="0" collapsed="false">
      <c r="A464" s="0" t="s">
        <v>6573</v>
      </c>
      <c r="B464" s="0" t="s">
        <v>5771</v>
      </c>
      <c r="C464" s="0" t="s">
        <v>6574</v>
      </c>
      <c r="D464" s="0" t="s">
        <v>5017</v>
      </c>
      <c r="E464" s="0" t="s">
        <v>111</v>
      </c>
      <c r="F464" s="0" t="s">
        <v>6569</v>
      </c>
      <c r="G464" s="0" t="s">
        <v>1855</v>
      </c>
      <c r="H464" s="0" t="s">
        <v>5502</v>
      </c>
      <c r="I464" s="0" t="s">
        <v>6575</v>
      </c>
      <c r="K464" s="0" t="s">
        <v>35</v>
      </c>
      <c r="L464" s="0" t="s">
        <v>6576</v>
      </c>
    </row>
    <row r="465" customFormat="false" ht="17.15" hidden="false" customHeight="false" outlineLevel="0" collapsed="false">
      <c r="A465" s="0" t="s">
        <v>6577</v>
      </c>
      <c r="B465" s="0" t="s">
        <v>6578</v>
      </c>
      <c r="C465" s="0" t="s">
        <v>6579</v>
      </c>
      <c r="D465" s="0" t="s">
        <v>6580</v>
      </c>
      <c r="E465" s="5" t="s">
        <v>76</v>
      </c>
      <c r="F465" s="0" t="s">
        <v>6581</v>
      </c>
      <c r="G465" s="0" t="s">
        <v>1909</v>
      </c>
      <c r="H465" s="0" t="s">
        <v>5454</v>
      </c>
      <c r="I465" s="0" t="s">
        <v>6582</v>
      </c>
      <c r="K465" s="0" t="s">
        <v>35</v>
      </c>
      <c r="L465" s="0" t="s">
        <v>6583</v>
      </c>
    </row>
    <row r="466" customFormat="false" ht="17.15" hidden="false" customHeight="false" outlineLevel="0" collapsed="false">
      <c r="A466" s="0" t="s">
        <v>6584</v>
      </c>
      <c r="B466" s="0" t="s">
        <v>6585</v>
      </c>
      <c r="C466" s="0" t="s">
        <v>6586</v>
      </c>
      <c r="D466" s="0" t="s">
        <v>6320</v>
      </c>
      <c r="E466" s="5" t="s">
        <v>76</v>
      </c>
      <c r="F466" s="0" t="s">
        <v>1720</v>
      </c>
      <c r="G466" s="0" t="s">
        <v>1855</v>
      </c>
      <c r="H466" s="0" t="s">
        <v>5486</v>
      </c>
      <c r="I466" s="0" t="s">
        <v>6587</v>
      </c>
      <c r="K466" s="0" t="s">
        <v>35</v>
      </c>
      <c r="L466" s="0" t="s">
        <v>6588</v>
      </c>
    </row>
    <row r="467" customFormat="false" ht="17.15" hidden="false" customHeight="false" outlineLevel="0" collapsed="false">
      <c r="A467" s="0" t="s">
        <v>6589</v>
      </c>
      <c r="B467" s="0" t="s">
        <v>6585</v>
      </c>
      <c r="C467" s="0" t="s">
        <v>6590</v>
      </c>
      <c r="D467" s="0" t="s">
        <v>6103</v>
      </c>
      <c r="E467" s="5" t="s">
        <v>76</v>
      </c>
      <c r="F467" s="0" t="s">
        <v>6591</v>
      </c>
      <c r="G467" s="0" t="s">
        <v>1909</v>
      </c>
      <c r="H467" s="0" t="s">
        <v>5519</v>
      </c>
      <c r="I467" s="0" t="s">
        <v>6592</v>
      </c>
      <c r="K467" s="0" t="s">
        <v>35</v>
      </c>
      <c r="L467" s="0" t="s">
        <v>6593</v>
      </c>
    </row>
    <row r="468" customFormat="false" ht="17.15" hidden="false" customHeight="false" outlineLevel="0" collapsed="false">
      <c r="A468" s="0" t="s">
        <v>6594</v>
      </c>
      <c r="B468" s="0" t="s">
        <v>6595</v>
      </c>
      <c r="C468" s="0" t="s">
        <v>6596</v>
      </c>
      <c r="D468" s="0" t="s">
        <v>112</v>
      </c>
      <c r="E468" s="5" t="s">
        <v>76</v>
      </c>
      <c r="F468" s="0" t="s">
        <v>6212</v>
      </c>
      <c r="G468" s="0" t="s">
        <v>1909</v>
      </c>
      <c r="H468" s="0" t="s">
        <v>5519</v>
      </c>
      <c r="I468" s="5" t="s">
        <v>6597</v>
      </c>
      <c r="K468" s="0" t="s">
        <v>35</v>
      </c>
      <c r="L468" s="0" t="s">
        <v>6598</v>
      </c>
    </row>
    <row r="469" customFormat="false" ht="17.15" hidden="false" customHeight="false" outlineLevel="0" collapsed="false">
      <c r="A469" s="0" t="s">
        <v>6599</v>
      </c>
      <c r="B469" s="0" t="s">
        <v>2471</v>
      </c>
      <c r="C469" s="0" t="s">
        <v>6600</v>
      </c>
      <c r="D469" s="0" t="s">
        <v>6109</v>
      </c>
      <c r="E469" s="5" t="s">
        <v>76</v>
      </c>
      <c r="F469" s="0" t="s">
        <v>6601</v>
      </c>
      <c r="G469" s="0" t="s">
        <v>1909</v>
      </c>
      <c r="H469" s="0" t="s">
        <v>5502</v>
      </c>
      <c r="I469" s="5" t="s">
        <v>6602</v>
      </c>
      <c r="K469" s="0" t="s">
        <v>35</v>
      </c>
      <c r="L469" s="0" t="s">
        <v>6603</v>
      </c>
    </row>
    <row r="470" customFormat="false" ht="17.15" hidden="false" customHeight="false" outlineLevel="0" collapsed="false">
      <c r="A470" s="0" t="s">
        <v>6604</v>
      </c>
      <c r="B470" s="0" t="s">
        <v>2471</v>
      </c>
      <c r="C470" s="0" t="s">
        <v>6605</v>
      </c>
      <c r="D470" s="0" t="s">
        <v>6606</v>
      </c>
      <c r="E470" s="5" t="s">
        <v>76</v>
      </c>
      <c r="F470" s="0" t="s">
        <v>5281</v>
      </c>
      <c r="G470" s="0" t="s">
        <v>1909</v>
      </c>
      <c r="H470" s="0" t="s">
        <v>5454</v>
      </c>
      <c r="I470" s="0" t="s">
        <v>6607</v>
      </c>
      <c r="J470" s="0" t="s">
        <v>725</v>
      </c>
      <c r="K470" s="5" t="s">
        <v>1851</v>
      </c>
      <c r="L470" s="0" t="s">
        <v>6608</v>
      </c>
    </row>
    <row r="471" customFormat="false" ht="17.15" hidden="false" customHeight="false" outlineLevel="0" collapsed="false">
      <c r="A471" s="0" t="s">
        <v>6609</v>
      </c>
      <c r="B471" s="0" t="s">
        <v>2471</v>
      </c>
      <c r="C471" s="0" t="s">
        <v>6610</v>
      </c>
      <c r="D471" s="0" t="s">
        <v>5083</v>
      </c>
      <c r="E471" s="5" t="s">
        <v>76</v>
      </c>
      <c r="F471" s="0" t="s">
        <v>6166</v>
      </c>
      <c r="G471" s="0" t="s">
        <v>1909</v>
      </c>
      <c r="H471" s="0" t="s">
        <v>5519</v>
      </c>
      <c r="I471" s="0" t="s">
        <v>6611</v>
      </c>
      <c r="K471" s="0" t="s">
        <v>35</v>
      </c>
      <c r="L471" s="0" t="s">
        <v>6612</v>
      </c>
    </row>
    <row r="472" customFormat="false" ht="17.15" hidden="false" customHeight="false" outlineLevel="0" collapsed="false">
      <c r="A472" s="0" t="s">
        <v>6613</v>
      </c>
      <c r="B472" s="0" t="s">
        <v>2471</v>
      </c>
      <c r="C472" s="0" t="s">
        <v>6614</v>
      </c>
      <c r="D472" s="0" t="s">
        <v>5083</v>
      </c>
      <c r="E472" s="5" t="s">
        <v>76</v>
      </c>
      <c r="F472" s="0" t="s">
        <v>5281</v>
      </c>
      <c r="G472" s="0" t="s">
        <v>1909</v>
      </c>
      <c r="H472" s="0" t="s">
        <v>5519</v>
      </c>
      <c r="I472" s="5" t="s">
        <v>6615</v>
      </c>
      <c r="K472" s="0" t="s">
        <v>35</v>
      </c>
      <c r="L472" s="0" t="s">
        <v>6616</v>
      </c>
    </row>
    <row r="473" customFormat="false" ht="17.15" hidden="false" customHeight="false" outlineLevel="0" collapsed="false">
      <c r="A473" s="0" t="s">
        <v>6617</v>
      </c>
      <c r="B473" s="0" t="s">
        <v>2484</v>
      </c>
      <c r="C473" s="0" t="s">
        <v>6618</v>
      </c>
      <c r="D473" s="0" t="s">
        <v>4698</v>
      </c>
      <c r="E473" s="5" t="s">
        <v>76</v>
      </c>
      <c r="F473" s="0" t="s">
        <v>6619</v>
      </c>
      <c r="G473" s="0" t="s">
        <v>1909</v>
      </c>
      <c r="H473" s="0" t="s">
        <v>5497</v>
      </c>
      <c r="I473" s="5" t="s">
        <v>5498</v>
      </c>
      <c r="K473" s="0" t="s">
        <v>35</v>
      </c>
      <c r="L473" s="0" t="s">
        <v>6620</v>
      </c>
    </row>
    <row r="474" customFormat="false" ht="17.15" hidden="false" customHeight="false" outlineLevel="0" collapsed="false">
      <c r="A474" s="0" t="s">
        <v>6621</v>
      </c>
      <c r="B474" s="0" t="s">
        <v>2484</v>
      </c>
      <c r="C474" s="0" t="s">
        <v>6622</v>
      </c>
      <c r="D474" s="0" t="s">
        <v>4711</v>
      </c>
      <c r="E474" s="5" t="s">
        <v>76</v>
      </c>
      <c r="F474" s="0" t="s">
        <v>6623</v>
      </c>
      <c r="G474" s="0" t="s">
        <v>1909</v>
      </c>
      <c r="H474" s="0" t="s">
        <v>5454</v>
      </c>
      <c r="I474" s="0" t="s">
        <v>6624</v>
      </c>
      <c r="K474" s="0" t="s">
        <v>35</v>
      </c>
      <c r="L474" s="0" t="s">
        <v>6625</v>
      </c>
    </row>
    <row r="475" customFormat="false" ht="17.15" hidden="false" customHeight="false" outlineLevel="0" collapsed="false">
      <c r="A475" s="0" t="s">
        <v>6626</v>
      </c>
      <c r="B475" s="0" t="s">
        <v>2484</v>
      </c>
      <c r="C475" s="0" t="s">
        <v>6627</v>
      </c>
      <c r="D475" s="0" t="s">
        <v>4771</v>
      </c>
      <c r="E475" s="5" t="s">
        <v>76</v>
      </c>
      <c r="F475" s="0" t="s">
        <v>6619</v>
      </c>
      <c r="G475" s="0" t="s">
        <v>1909</v>
      </c>
      <c r="H475" s="0" t="s">
        <v>5497</v>
      </c>
      <c r="I475" s="5" t="s">
        <v>5498</v>
      </c>
      <c r="K475" s="0" t="s">
        <v>35</v>
      </c>
      <c r="L475" s="0" t="s">
        <v>6620</v>
      </c>
    </row>
    <row r="476" customFormat="false" ht="17.15" hidden="false" customHeight="false" outlineLevel="0" collapsed="false">
      <c r="A476" s="0" t="s">
        <v>6628</v>
      </c>
      <c r="B476" s="0" t="s">
        <v>2484</v>
      </c>
      <c r="C476" s="0" t="s">
        <v>6629</v>
      </c>
      <c r="D476" s="0" t="s">
        <v>6330</v>
      </c>
      <c r="E476" s="5" t="s">
        <v>76</v>
      </c>
      <c r="F476" s="0" t="s">
        <v>6232</v>
      </c>
      <c r="G476" s="0" t="s">
        <v>1909</v>
      </c>
      <c r="H476" s="0" t="s">
        <v>5497</v>
      </c>
      <c r="I476" s="5" t="s">
        <v>5498</v>
      </c>
      <c r="K476" s="0" t="s">
        <v>35</v>
      </c>
      <c r="L476" s="0" t="s">
        <v>6630</v>
      </c>
    </row>
    <row r="477" customFormat="false" ht="17.15" hidden="false" customHeight="false" outlineLevel="0" collapsed="false">
      <c r="A477" s="0" t="s">
        <v>6631</v>
      </c>
      <c r="B477" s="0" t="s">
        <v>6632</v>
      </c>
      <c r="C477" s="0" t="s">
        <v>6633</v>
      </c>
      <c r="D477" s="0" t="s">
        <v>6634</v>
      </c>
      <c r="E477" s="5" t="s">
        <v>76</v>
      </c>
      <c r="F477" s="0" t="s">
        <v>6635</v>
      </c>
      <c r="G477" s="0" t="s">
        <v>1909</v>
      </c>
      <c r="H477" s="0" t="s">
        <v>5497</v>
      </c>
      <c r="I477" s="5" t="s">
        <v>5756</v>
      </c>
      <c r="K477" s="0" t="s">
        <v>35</v>
      </c>
      <c r="L477" s="0" t="s">
        <v>6636</v>
      </c>
    </row>
    <row r="478" customFormat="false" ht="17.15" hidden="false" customHeight="false" outlineLevel="0" collapsed="false">
      <c r="A478" s="0" t="s">
        <v>6637</v>
      </c>
      <c r="B478" s="0" t="s">
        <v>6632</v>
      </c>
      <c r="C478" s="0" t="s">
        <v>6638</v>
      </c>
      <c r="D478" s="0" t="s">
        <v>4698</v>
      </c>
      <c r="E478" s="5" t="s">
        <v>76</v>
      </c>
      <c r="F478" s="0" t="s">
        <v>6635</v>
      </c>
      <c r="G478" s="0" t="s">
        <v>1909</v>
      </c>
      <c r="H478" s="0" t="s">
        <v>5454</v>
      </c>
      <c r="I478" s="0" t="s">
        <v>6639</v>
      </c>
      <c r="K478" s="0" t="s">
        <v>35</v>
      </c>
      <c r="L478" s="0" t="s">
        <v>6640</v>
      </c>
    </row>
    <row r="479" customFormat="false" ht="17.15" hidden="false" customHeight="false" outlineLevel="0" collapsed="false">
      <c r="A479" s="0" t="s">
        <v>6641</v>
      </c>
      <c r="B479" s="0" t="s">
        <v>6642</v>
      </c>
      <c r="C479" s="0" t="s">
        <v>6643</v>
      </c>
      <c r="D479" s="0" t="s">
        <v>6644</v>
      </c>
      <c r="E479" s="5" t="s">
        <v>76</v>
      </c>
      <c r="F479" s="0" t="s">
        <v>5202</v>
      </c>
      <c r="G479" s="0" t="s">
        <v>1909</v>
      </c>
      <c r="H479" s="0" t="s">
        <v>5502</v>
      </c>
      <c r="I479" s="0" t="s">
        <v>6645</v>
      </c>
      <c r="K479" s="0" t="s">
        <v>35</v>
      </c>
      <c r="L479" s="0" t="s">
        <v>6646</v>
      </c>
    </row>
    <row r="480" customFormat="false" ht="17.15" hidden="false" customHeight="false" outlineLevel="0" collapsed="false">
      <c r="A480" s="0" t="s">
        <v>6647</v>
      </c>
      <c r="B480" s="0" t="s">
        <v>6642</v>
      </c>
      <c r="C480" s="0" t="s">
        <v>6648</v>
      </c>
      <c r="D480" s="0" t="s">
        <v>6649</v>
      </c>
      <c r="E480" s="5" t="s">
        <v>76</v>
      </c>
      <c r="F480" s="0" t="s">
        <v>5336</v>
      </c>
      <c r="G480" s="0" t="s">
        <v>1909</v>
      </c>
      <c r="H480" s="0" t="s">
        <v>5519</v>
      </c>
      <c r="I480" s="5" t="s">
        <v>6650</v>
      </c>
      <c r="K480" s="0" t="s">
        <v>35</v>
      </c>
      <c r="L480" s="0" t="s">
        <v>6651</v>
      </c>
    </row>
    <row r="481" customFormat="false" ht="17.15" hidden="false" customHeight="false" outlineLevel="0" collapsed="false">
      <c r="A481" s="0" t="s">
        <v>6652</v>
      </c>
      <c r="B481" s="0" t="s">
        <v>6642</v>
      </c>
      <c r="C481" s="0" t="s">
        <v>6653</v>
      </c>
      <c r="D481" s="0" t="s">
        <v>6649</v>
      </c>
      <c r="E481" s="5" t="s">
        <v>76</v>
      </c>
      <c r="F481" s="0" t="s">
        <v>5202</v>
      </c>
      <c r="G481" s="0" t="s">
        <v>1909</v>
      </c>
      <c r="H481" s="0" t="s">
        <v>5502</v>
      </c>
      <c r="I481" s="5" t="s">
        <v>6654</v>
      </c>
      <c r="K481" s="0" t="s">
        <v>35</v>
      </c>
      <c r="L481" s="0" t="s">
        <v>6646</v>
      </c>
    </row>
    <row r="482" customFormat="false" ht="17.15" hidden="false" customHeight="false" outlineLevel="0" collapsed="false">
      <c r="A482" s="0" t="s">
        <v>6655</v>
      </c>
      <c r="B482" s="0" t="s">
        <v>6656</v>
      </c>
      <c r="C482" s="0" t="s">
        <v>6657</v>
      </c>
      <c r="D482" s="0" t="s">
        <v>5777</v>
      </c>
      <c r="E482" s="0" t="s">
        <v>111</v>
      </c>
      <c r="F482" s="0" t="s">
        <v>6658</v>
      </c>
      <c r="G482" s="0" t="s">
        <v>1855</v>
      </c>
      <c r="H482" s="0" t="s">
        <v>5497</v>
      </c>
      <c r="I482" s="5" t="s">
        <v>5756</v>
      </c>
      <c r="K482" s="0" t="s">
        <v>35</v>
      </c>
      <c r="L482" s="0" t="s">
        <v>6659</v>
      </c>
    </row>
    <row r="483" customFormat="false" ht="17.15" hidden="false" customHeight="false" outlineLevel="0" collapsed="false">
      <c r="A483" s="0" t="s">
        <v>6660</v>
      </c>
      <c r="B483" s="0" t="s">
        <v>6656</v>
      </c>
      <c r="C483" s="0" t="s">
        <v>6661</v>
      </c>
      <c r="D483" s="0" t="s">
        <v>6662</v>
      </c>
      <c r="E483" s="0" t="s">
        <v>111</v>
      </c>
      <c r="F483" s="0" t="s">
        <v>2095</v>
      </c>
      <c r="G483" s="0" t="s">
        <v>4476</v>
      </c>
      <c r="H483" s="0" t="s">
        <v>5454</v>
      </c>
      <c r="I483" s="0" t="s">
        <v>6663</v>
      </c>
      <c r="J483" s="0" t="s">
        <v>741</v>
      </c>
      <c r="K483" s="5" t="s">
        <v>4519</v>
      </c>
      <c r="L483" s="0" t="s">
        <v>6664</v>
      </c>
    </row>
    <row r="484" customFormat="false" ht="17.15" hidden="false" customHeight="false" outlineLevel="0" collapsed="false">
      <c r="A484" s="0" t="s">
        <v>6665</v>
      </c>
      <c r="B484" s="0" t="s">
        <v>6666</v>
      </c>
      <c r="C484" s="0" t="s">
        <v>6667</v>
      </c>
      <c r="D484" s="0" t="s">
        <v>5496</v>
      </c>
      <c r="E484" s="5" t="s">
        <v>76</v>
      </c>
      <c r="F484" s="0" t="s">
        <v>138</v>
      </c>
      <c r="G484" s="0" t="s">
        <v>1909</v>
      </c>
      <c r="H484" s="0" t="s">
        <v>5454</v>
      </c>
      <c r="I484" s="0" t="s">
        <v>6668</v>
      </c>
      <c r="K484" s="0" t="s">
        <v>35</v>
      </c>
      <c r="L484" s="0" t="s">
        <v>6669</v>
      </c>
    </row>
    <row r="485" customFormat="false" ht="17.15" hidden="false" customHeight="false" outlineLevel="0" collapsed="false">
      <c r="A485" s="0" t="s">
        <v>6670</v>
      </c>
      <c r="B485" s="0" t="s">
        <v>6666</v>
      </c>
      <c r="C485" s="0" t="s">
        <v>6671</v>
      </c>
      <c r="D485" s="0" t="s">
        <v>4774</v>
      </c>
      <c r="E485" s="5" t="s">
        <v>76</v>
      </c>
      <c r="F485" s="0" t="s">
        <v>138</v>
      </c>
      <c r="G485" s="0" t="s">
        <v>1909</v>
      </c>
      <c r="H485" s="0" t="s">
        <v>5486</v>
      </c>
      <c r="I485" s="0" t="s">
        <v>6672</v>
      </c>
      <c r="K485" s="0" t="s">
        <v>35</v>
      </c>
      <c r="L485" s="0" t="s">
        <v>6669</v>
      </c>
    </row>
    <row r="486" customFormat="false" ht="17.15" hidden="false" customHeight="false" outlineLevel="0" collapsed="false">
      <c r="A486" s="0" t="s">
        <v>6673</v>
      </c>
      <c r="B486" s="0" t="s">
        <v>6666</v>
      </c>
      <c r="C486" s="0" t="s">
        <v>6674</v>
      </c>
      <c r="D486" s="0" t="s">
        <v>5777</v>
      </c>
      <c r="E486" s="5" t="s">
        <v>76</v>
      </c>
      <c r="F486" s="0" t="s">
        <v>138</v>
      </c>
      <c r="G486" s="0" t="s">
        <v>1909</v>
      </c>
      <c r="H486" s="0" t="s">
        <v>5519</v>
      </c>
      <c r="I486" s="0" t="s">
        <v>6675</v>
      </c>
      <c r="J486" s="0" t="s">
        <v>738</v>
      </c>
      <c r="K486" s="5" t="s">
        <v>4519</v>
      </c>
      <c r="L486" s="0" t="s">
        <v>6669</v>
      </c>
    </row>
    <row r="487" customFormat="false" ht="17.15" hidden="false" customHeight="false" outlineLevel="0" collapsed="false">
      <c r="A487" s="0" t="s">
        <v>6676</v>
      </c>
      <c r="B487" s="0" t="s">
        <v>6666</v>
      </c>
      <c r="C487" s="0" t="s">
        <v>6677</v>
      </c>
      <c r="D487" s="0" t="s">
        <v>4846</v>
      </c>
      <c r="E487" s="5" t="s">
        <v>76</v>
      </c>
      <c r="F487" s="0" t="s">
        <v>6678</v>
      </c>
      <c r="G487" s="0" t="s">
        <v>1909</v>
      </c>
      <c r="H487" s="0" t="s">
        <v>5454</v>
      </c>
      <c r="I487" s="0" t="s">
        <v>6679</v>
      </c>
      <c r="K487" s="0" t="s">
        <v>35</v>
      </c>
      <c r="L487" s="0" t="s">
        <v>6680</v>
      </c>
    </row>
    <row r="488" customFormat="false" ht="17.15" hidden="false" customHeight="false" outlineLevel="0" collapsed="false">
      <c r="A488" s="0" t="s">
        <v>6681</v>
      </c>
      <c r="B488" s="0" t="s">
        <v>6682</v>
      </c>
      <c r="C488" s="0" t="s">
        <v>6683</v>
      </c>
      <c r="D488" s="0" t="s">
        <v>112</v>
      </c>
      <c r="E488" s="5" t="s">
        <v>76</v>
      </c>
      <c r="F488" s="0" t="s">
        <v>6684</v>
      </c>
      <c r="G488" s="0" t="s">
        <v>1909</v>
      </c>
      <c r="H488" s="0" t="s">
        <v>5454</v>
      </c>
      <c r="I488" s="5" t="s">
        <v>6685</v>
      </c>
      <c r="K488" s="0" t="s">
        <v>35</v>
      </c>
      <c r="L488" s="0" t="s">
        <v>6686</v>
      </c>
    </row>
    <row r="489" customFormat="false" ht="17.15" hidden="false" customHeight="false" outlineLevel="0" collapsed="false">
      <c r="A489" s="0" t="s">
        <v>6687</v>
      </c>
      <c r="B489" s="0" t="s">
        <v>6688</v>
      </c>
      <c r="C489" s="0" t="s">
        <v>6689</v>
      </c>
      <c r="D489" s="0" t="s">
        <v>112</v>
      </c>
      <c r="E489" s="5" t="s">
        <v>76</v>
      </c>
      <c r="F489" s="0" t="s">
        <v>4448</v>
      </c>
      <c r="G489" s="0" t="s">
        <v>1909</v>
      </c>
      <c r="H489" s="0" t="s">
        <v>5502</v>
      </c>
      <c r="I489" s="5" t="s">
        <v>6690</v>
      </c>
      <c r="K489" s="0" t="s">
        <v>35</v>
      </c>
      <c r="L489" s="0" t="s">
        <v>6691</v>
      </c>
    </row>
    <row r="490" customFormat="false" ht="17.15" hidden="false" customHeight="false" outlineLevel="0" collapsed="false">
      <c r="A490" s="0" t="s">
        <v>6692</v>
      </c>
      <c r="B490" s="0" t="s">
        <v>6693</v>
      </c>
      <c r="C490" s="0" t="s">
        <v>6694</v>
      </c>
      <c r="D490" s="0" t="s">
        <v>5460</v>
      </c>
      <c r="E490" s="5" t="s">
        <v>76</v>
      </c>
      <c r="F490" s="0" t="s">
        <v>5706</v>
      </c>
      <c r="G490" s="0" t="s">
        <v>1909</v>
      </c>
      <c r="H490" s="0" t="s">
        <v>5486</v>
      </c>
      <c r="I490" s="5" t="s">
        <v>6695</v>
      </c>
      <c r="K490" s="0" t="s">
        <v>35</v>
      </c>
      <c r="L490" s="0" t="s">
        <v>6696</v>
      </c>
    </row>
    <row r="491" customFormat="false" ht="17.15" hidden="false" customHeight="false" outlineLevel="0" collapsed="false">
      <c r="A491" s="0" t="s">
        <v>6697</v>
      </c>
      <c r="B491" s="0" t="s">
        <v>6693</v>
      </c>
      <c r="C491" s="0" t="s">
        <v>6698</v>
      </c>
      <c r="D491" s="0" t="s">
        <v>4771</v>
      </c>
      <c r="E491" s="5" t="s">
        <v>76</v>
      </c>
      <c r="F491" s="0" t="s">
        <v>5706</v>
      </c>
      <c r="G491" s="0" t="s">
        <v>1909</v>
      </c>
      <c r="H491" s="0" t="s">
        <v>5486</v>
      </c>
      <c r="I491" s="0" t="s">
        <v>6699</v>
      </c>
      <c r="K491" s="0" t="s">
        <v>35</v>
      </c>
      <c r="L491" s="0" t="s">
        <v>6696</v>
      </c>
    </row>
    <row r="492" customFormat="false" ht="17.15" hidden="false" customHeight="false" outlineLevel="0" collapsed="false">
      <c r="A492" s="0" t="s">
        <v>6700</v>
      </c>
      <c r="B492" s="0" t="s">
        <v>6701</v>
      </c>
      <c r="C492" s="0" t="s">
        <v>6702</v>
      </c>
      <c r="D492" s="0" t="s">
        <v>5460</v>
      </c>
      <c r="E492" s="5" t="s">
        <v>76</v>
      </c>
      <c r="F492" s="0" t="s">
        <v>6703</v>
      </c>
      <c r="G492" s="0" t="s">
        <v>1909</v>
      </c>
      <c r="H492" s="0" t="s">
        <v>5497</v>
      </c>
      <c r="I492" s="5" t="s">
        <v>5756</v>
      </c>
      <c r="K492" s="0" t="s">
        <v>35</v>
      </c>
      <c r="L492" s="0" t="s">
        <v>6704</v>
      </c>
    </row>
    <row r="493" customFormat="false" ht="17.15" hidden="false" customHeight="false" outlineLevel="0" collapsed="false">
      <c r="A493" s="0" t="s">
        <v>6705</v>
      </c>
      <c r="B493" s="0" t="s">
        <v>6701</v>
      </c>
      <c r="C493" s="0" t="s">
        <v>6706</v>
      </c>
      <c r="D493" s="0" t="s">
        <v>112</v>
      </c>
      <c r="E493" s="5" t="s">
        <v>76</v>
      </c>
      <c r="F493" s="0" t="s">
        <v>6703</v>
      </c>
      <c r="G493" s="0" t="s">
        <v>1909</v>
      </c>
      <c r="H493" s="0" t="s">
        <v>5497</v>
      </c>
      <c r="I493" s="5" t="s">
        <v>5756</v>
      </c>
      <c r="K493" s="0" t="s">
        <v>35</v>
      </c>
      <c r="L493" s="0" t="s">
        <v>6704</v>
      </c>
    </row>
    <row r="494" customFormat="false" ht="17.15" hidden="false" customHeight="false" outlineLevel="0" collapsed="false">
      <c r="A494" s="0" t="s">
        <v>6707</v>
      </c>
      <c r="B494" s="0" t="s">
        <v>6708</v>
      </c>
      <c r="C494" s="0" t="s">
        <v>6709</v>
      </c>
      <c r="D494" s="0" t="s">
        <v>5460</v>
      </c>
      <c r="E494" s="5" t="s">
        <v>76</v>
      </c>
      <c r="F494" s="0" t="s">
        <v>6710</v>
      </c>
      <c r="G494" s="0" t="s">
        <v>1855</v>
      </c>
      <c r="H494" s="0" t="s">
        <v>5497</v>
      </c>
      <c r="I494" s="5" t="s">
        <v>5498</v>
      </c>
      <c r="K494" s="0" t="s">
        <v>35</v>
      </c>
      <c r="L494" s="0" t="s">
        <v>6711</v>
      </c>
    </row>
    <row r="495" customFormat="false" ht="17.15" hidden="false" customHeight="false" outlineLevel="0" collapsed="false">
      <c r="A495" s="0" t="s">
        <v>6712</v>
      </c>
      <c r="B495" s="0" t="s">
        <v>6713</v>
      </c>
      <c r="C495" s="0" t="s">
        <v>6714</v>
      </c>
      <c r="D495" s="0" t="s">
        <v>5460</v>
      </c>
      <c r="E495" s="5" t="s">
        <v>76</v>
      </c>
      <c r="F495" s="0" t="s">
        <v>2149</v>
      </c>
      <c r="G495" s="0" t="s">
        <v>1909</v>
      </c>
      <c r="H495" s="0" t="s">
        <v>5454</v>
      </c>
      <c r="I495" s="0" t="s">
        <v>6715</v>
      </c>
      <c r="K495" s="0" t="s">
        <v>35</v>
      </c>
      <c r="L495" s="0" t="s">
        <v>6716</v>
      </c>
    </row>
    <row r="496" customFormat="false" ht="17.15" hidden="false" customHeight="false" outlineLevel="0" collapsed="false">
      <c r="A496" s="0" t="s">
        <v>6717</v>
      </c>
      <c r="B496" s="0" t="s">
        <v>6718</v>
      </c>
      <c r="C496" s="0" t="s">
        <v>6719</v>
      </c>
      <c r="D496" s="0" t="s">
        <v>6330</v>
      </c>
      <c r="E496" s="5" t="s">
        <v>76</v>
      </c>
      <c r="F496" s="0" t="s">
        <v>6720</v>
      </c>
      <c r="G496" s="0" t="s">
        <v>1909</v>
      </c>
      <c r="H496" s="0" t="s">
        <v>5502</v>
      </c>
      <c r="I496" s="0" t="s">
        <v>6721</v>
      </c>
      <c r="K496" s="0" t="s">
        <v>35</v>
      </c>
      <c r="L496" s="0" t="s">
        <v>6722</v>
      </c>
    </row>
    <row r="497" customFormat="false" ht="17.15" hidden="false" customHeight="false" outlineLevel="0" collapsed="false">
      <c r="A497" s="0" t="s">
        <v>6723</v>
      </c>
      <c r="B497" s="0" t="s">
        <v>6718</v>
      </c>
      <c r="C497" s="0" t="s">
        <v>6724</v>
      </c>
      <c r="D497" s="0" t="s">
        <v>4859</v>
      </c>
      <c r="E497" s="5" t="s">
        <v>76</v>
      </c>
      <c r="F497" s="0" t="s">
        <v>6720</v>
      </c>
      <c r="G497" s="0" t="s">
        <v>1909</v>
      </c>
      <c r="H497" s="0" t="s">
        <v>5502</v>
      </c>
      <c r="I497" s="0" t="s">
        <v>6725</v>
      </c>
      <c r="K497" s="0" t="s">
        <v>35</v>
      </c>
      <c r="L497" s="0" t="s">
        <v>6722</v>
      </c>
    </row>
    <row r="498" customFormat="false" ht="17.15" hidden="false" customHeight="false" outlineLevel="0" collapsed="false">
      <c r="A498" s="0" t="s">
        <v>6726</v>
      </c>
      <c r="B498" s="0" t="s">
        <v>6718</v>
      </c>
      <c r="C498" s="0" t="s">
        <v>6727</v>
      </c>
      <c r="D498" s="0" t="s">
        <v>112</v>
      </c>
      <c r="E498" s="5" t="s">
        <v>76</v>
      </c>
      <c r="F498" s="0" t="s">
        <v>6248</v>
      </c>
      <c r="G498" s="0" t="s">
        <v>1909</v>
      </c>
      <c r="H498" s="0" t="s">
        <v>5454</v>
      </c>
      <c r="I498" s="0" t="s">
        <v>6728</v>
      </c>
      <c r="K498" s="0" t="s">
        <v>35</v>
      </c>
      <c r="L498" s="0" t="s">
        <v>6729</v>
      </c>
    </row>
    <row r="499" customFormat="false" ht="17.15" hidden="false" customHeight="false" outlineLevel="0" collapsed="false">
      <c r="A499" s="0" t="s">
        <v>6730</v>
      </c>
      <c r="B499" s="0" t="s">
        <v>6731</v>
      </c>
      <c r="C499" s="0" t="s">
        <v>6732</v>
      </c>
      <c r="D499" s="0" t="s">
        <v>6733</v>
      </c>
      <c r="E499" s="5" t="s">
        <v>76</v>
      </c>
      <c r="F499" s="0" t="s">
        <v>5919</v>
      </c>
      <c r="G499" s="0" t="s">
        <v>1909</v>
      </c>
      <c r="H499" s="0" t="s">
        <v>5519</v>
      </c>
      <c r="I499" s="0" t="s">
        <v>6734</v>
      </c>
      <c r="K499" s="0" t="s">
        <v>35</v>
      </c>
      <c r="L499" s="0" t="s">
        <v>6735</v>
      </c>
    </row>
    <row r="500" customFormat="false" ht="17.15" hidden="false" customHeight="false" outlineLevel="0" collapsed="false">
      <c r="A500" s="0" t="s">
        <v>6736</v>
      </c>
      <c r="B500" s="0" t="s">
        <v>6731</v>
      </c>
      <c r="C500" s="0" t="s">
        <v>6737</v>
      </c>
      <c r="D500" s="0" t="s">
        <v>6738</v>
      </c>
      <c r="E500" s="0" t="s">
        <v>111</v>
      </c>
      <c r="F500" s="0" t="s">
        <v>2393</v>
      </c>
      <c r="G500" s="0" t="s">
        <v>1866</v>
      </c>
      <c r="H500" s="0" t="s">
        <v>5519</v>
      </c>
      <c r="I500" s="5" t="s">
        <v>6739</v>
      </c>
      <c r="K500" s="0" t="s">
        <v>35</v>
      </c>
      <c r="L500" s="0" t="s">
        <v>6740</v>
      </c>
    </row>
    <row r="501" customFormat="false" ht="17.15" hidden="false" customHeight="false" outlineLevel="0" collapsed="false">
      <c r="A501" s="0" t="s">
        <v>6741</v>
      </c>
      <c r="B501" s="0" t="s">
        <v>6731</v>
      </c>
      <c r="C501" s="0" t="s">
        <v>6742</v>
      </c>
      <c r="D501" s="0" t="s">
        <v>6738</v>
      </c>
      <c r="E501" s="0" t="s">
        <v>111</v>
      </c>
      <c r="F501" s="0" t="s">
        <v>2393</v>
      </c>
      <c r="G501" s="0" t="s">
        <v>1866</v>
      </c>
      <c r="H501" s="0" t="s">
        <v>5519</v>
      </c>
      <c r="I501" s="0" t="s">
        <v>6743</v>
      </c>
      <c r="K501" s="0" t="s">
        <v>35</v>
      </c>
      <c r="L501" s="0" t="s">
        <v>6740</v>
      </c>
    </row>
    <row r="502" customFormat="false" ht="17.15" hidden="false" customHeight="false" outlineLevel="0" collapsed="false">
      <c r="A502" s="0" t="s">
        <v>6744</v>
      </c>
      <c r="B502" s="0" t="s">
        <v>6745</v>
      </c>
      <c r="C502" s="0" t="s">
        <v>6746</v>
      </c>
      <c r="D502" s="0" t="s">
        <v>5460</v>
      </c>
      <c r="E502" s="0" t="s">
        <v>111</v>
      </c>
      <c r="F502" s="0" t="s">
        <v>4936</v>
      </c>
      <c r="G502" s="0" t="s">
        <v>1909</v>
      </c>
      <c r="H502" s="0" t="s">
        <v>5502</v>
      </c>
      <c r="I502" s="0" t="s">
        <v>6747</v>
      </c>
      <c r="K502" s="0" t="s">
        <v>35</v>
      </c>
      <c r="L502" s="0" t="s">
        <v>6748</v>
      </c>
    </row>
    <row r="503" customFormat="false" ht="17.15" hidden="false" customHeight="false" outlineLevel="0" collapsed="false">
      <c r="A503" s="0" t="s">
        <v>6749</v>
      </c>
      <c r="B503" s="0" t="s">
        <v>6745</v>
      </c>
      <c r="C503" s="0" t="s">
        <v>6750</v>
      </c>
      <c r="D503" s="0" t="s">
        <v>112</v>
      </c>
      <c r="E503" s="5" t="s">
        <v>76</v>
      </c>
      <c r="F503" s="0" t="s">
        <v>4936</v>
      </c>
      <c r="G503" s="0" t="s">
        <v>1909</v>
      </c>
      <c r="H503" s="0" t="s">
        <v>5454</v>
      </c>
      <c r="I503" s="0" t="s">
        <v>6751</v>
      </c>
      <c r="K503" s="0" t="s">
        <v>35</v>
      </c>
      <c r="L503" s="0" t="s">
        <v>6752</v>
      </c>
    </row>
    <row r="504" customFormat="false" ht="17.15" hidden="false" customHeight="false" outlineLevel="0" collapsed="false">
      <c r="A504" s="0" t="s">
        <v>6753</v>
      </c>
      <c r="B504" s="0" t="s">
        <v>6754</v>
      </c>
      <c r="C504" s="0" t="s">
        <v>6755</v>
      </c>
      <c r="D504" s="0" t="s">
        <v>5017</v>
      </c>
      <c r="E504" s="5" t="s">
        <v>76</v>
      </c>
      <c r="F504" s="0" t="s">
        <v>6756</v>
      </c>
      <c r="G504" s="0" t="s">
        <v>1909</v>
      </c>
      <c r="H504" s="0" t="s">
        <v>5454</v>
      </c>
      <c r="I504" s="0" t="s">
        <v>6757</v>
      </c>
      <c r="K504" s="0" t="s">
        <v>35</v>
      </c>
      <c r="L504" s="0" t="s">
        <v>6758</v>
      </c>
    </row>
    <row r="505" customFormat="false" ht="17.15" hidden="false" customHeight="false" outlineLevel="0" collapsed="false">
      <c r="A505" s="0" t="s">
        <v>6759</v>
      </c>
      <c r="B505" s="0" t="s">
        <v>6754</v>
      </c>
      <c r="C505" s="0" t="s">
        <v>6760</v>
      </c>
      <c r="D505" s="0" t="s">
        <v>5578</v>
      </c>
      <c r="E505" s="5" t="s">
        <v>76</v>
      </c>
      <c r="F505" s="0" t="s">
        <v>6756</v>
      </c>
      <c r="G505" s="0" t="s">
        <v>1866</v>
      </c>
      <c r="H505" s="0" t="s">
        <v>5502</v>
      </c>
      <c r="I505" s="5" t="s">
        <v>6761</v>
      </c>
      <c r="K505" s="0" t="s">
        <v>35</v>
      </c>
      <c r="L505" s="0" t="s">
        <v>6758</v>
      </c>
    </row>
    <row r="506" customFormat="false" ht="17.15" hidden="false" customHeight="false" outlineLevel="0" collapsed="false">
      <c r="A506" s="0" t="s">
        <v>6762</v>
      </c>
      <c r="B506" s="0" t="s">
        <v>6763</v>
      </c>
      <c r="C506" s="0" t="s">
        <v>6764</v>
      </c>
      <c r="D506" s="0" t="s">
        <v>5010</v>
      </c>
      <c r="E506" s="5" t="s">
        <v>76</v>
      </c>
      <c r="F506" s="0" t="s">
        <v>6765</v>
      </c>
      <c r="G506" s="0" t="s">
        <v>1909</v>
      </c>
      <c r="H506" s="0" t="s">
        <v>5497</v>
      </c>
      <c r="I506" s="5" t="s">
        <v>5707</v>
      </c>
      <c r="K506" s="0" t="s">
        <v>35</v>
      </c>
      <c r="L506" s="0" t="s">
        <v>6766</v>
      </c>
    </row>
    <row r="507" customFormat="false" ht="17.15" hidden="false" customHeight="false" outlineLevel="0" collapsed="false">
      <c r="A507" s="0" t="s">
        <v>6767</v>
      </c>
      <c r="B507" s="0" t="s">
        <v>6763</v>
      </c>
      <c r="C507" s="0" t="s">
        <v>6768</v>
      </c>
      <c r="D507" s="0" t="s">
        <v>4771</v>
      </c>
      <c r="E507" s="5" t="s">
        <v>76</v>
      </c>
      <c r="F507" s="0" t="s">
        <v>6765</v>
      </c>
      <c r="G507" s="0" t="s">
        <v>1909</v>
      </c>
      <c r="H507" s="0" t="s">
        <v>5497</v>
      </c>
      <c r="I507" s="5" t="s">
        <v>5707</v>
      </c>
      <c r="K507" s="0" t="s">
        <v>35</v>
      </c>
      <c r="L507" s="0" t="s">
        <v>6766</v>
      </c>
    </row>
    <row r="508" customFormat="false" ht="17.15" hidden="false" customHeight="false" outlineLevel="0" collapsed="false">
      <c r="A508" s="0" t="s">
        <v>6769</v>
      </c>
      <c r="B508" s="0" t="s">
        <v>6770</v>
      </c>
      <c r="C508" s="0" t="s">
        <v>6771</v>
      </c>
      <c r="D508" s="0" t="s">
        <v>5017</v>
      </c>
      <c r="E508" s="5" t="s">
        <v>76</v>
      </c>
      <c r="F508" s="0" t="s">
        <v>5548</v>
      </c>
      <c r="G508" s="0" t="s">
        <v>1909</v>
      </c>
      <c r="H508" s="0" t="s">
        <v>5454</v>
      </c>
      <c r="I508" s="0" t="s">
        <v>6772</v>
      </c>
      <c r="K508" s="0" t="s">
        <v>35</v>
      </c>
      <c r="L508" s="0" t="s">
        <v>6773</v>
      </c>
    </row>
    <row r="509" customFormat="false" ht="17.15" hidden="false" customHeight="false" outlineLevel="0" collapsed="false">
      <c r="A509" s="0" t="s">
        <v>6774</v>
      </c>
      <c r="B509" s="0" t="s">
        <v>6775</v>
      </c>
      <c r="C509" s="0" t="s">
        <v>6776</v>
      </c>
      <c r="D509" s="0" t="s">
        <v>112</v>
      </c>
      <c r="E509" s="5" t="s">
        <v>76</v>
      </c>
      <c r="F509" s="0" t="s">
        <v>5548</v>
      </c>
      <c r="G509" s="0" t="s">
        <v>1909</v>
      </c>
      <c r="H509" s="0" t="s">
        <v>5502</v>
      </c>
      <c r="I509" s="5" t="s">
        <v>6777</v>
      </c>
      <c r="K509" s="0" t="s">
        <v>35</v>
      </c>
      <c r="L509" s="0" t="s">
        <v>6773</v>
      </c>
    </row>
    <row r="510" customFormat="false" ht="17.15" hidden="false" customHeight="false" outlineLevel="0" collapsed="false">
      <c r="A510" s="0" t="s">
        <v>6778</v>
      </c>
      <c r="B510" s="0" t="s">
        <v>6775</v>
      </c>
      <c r="C510" s="0" t="s">
        <v>6779</v>
      </c>
      <c r="D510" s="0" t="s">
        <v>112</v>
      </c>
      <c r="E510" s="5" t="s">
        <v>76</v>
      </c>
      <c r="F510" s="0" t="s">
        <v>5548</v>
      </c>
      <c r="G510" s="0" t="s">
        <v>1909</v>
      </c>
      <c r="H510" s="0" t="s">
        <v>5454</v>
      </c>
      <c r="I510" s="5" t="s">
        <v>6780</v>
      </c>
      <c r="K510" s="0" t="s">
        <v>35</v>
      </c>
      <c r="L510" s="0" t="s">
        <v>6781</v>
      </c>
    </row>
    <row r="511" customFormat="false" ht="17.15" hidden="false" customHeight="false" outlineLevel="0" collapsed="false">
      <c r="A511" s="0" t="s">
        <v>6782</v>
      </c>
      <c r="B511" s="0" t="s">
        <v>6783</v>
      </c>
      <c r="C511" s="0" t="s">
        <v>6784</v>
      </c>
      <c r="D511" s="0" t="s">
        <v>4711</v>
      </c>
      <c r="E511" s="5" t="s">
        <v>76</v>
      </c>
      <c r="F511" s="0" t="s">
        <v>1708</v>
      </c>
      <c r="G511" s="0" t="s">
        <v>1909</v>
      </c>
      <c r="H511" s="0" t="s">
        <v>5454</v>
      </c>
      <c r="I511" s="0" t="s">
        <v>6785</v>
      </c>
      <c r="K511" s="0" t="s">
        <v>35</v>
      </c>
      <c r="L511" s="0" t="s">
        <v>6786</v>
      </c>
    </row>
    <row r="512" customFormat="false" ht="17.15" hidden="false" customHeight="false" outlineLevel="0" collapsed="false">
      <c r="A512" s="0" t="s">
        <v>6787</v>
      </c>
      <c r="B512" s="0" t="s">
        <v>6783</v>
      </c>
      <c r="C512" s="0" t="s">
        <v>6788</v>
      </c>
      <c r="D512" s="0" t="s">
        <v>6789</v>
      </c>
      <c r="E512" s="0" t="s">
        <v>111</v>
      </c>
      <c r="F512" s="0" t="s">
        <v>1708</v>
      </c>
      <c r="G512" s="0" t="s">
        <v>1909</v>
      </c>
      <c r="H512" s="0" t="s">
        <v>5454</v>
      </c>
      <c r="I512" s="0" t="s">
        <v>6790</v>
      </c>
      <c r="K512" s="0" t="s">
        <v>35</v>
      </c>
      <c r="L512" s="0" t="s">
        <v>6786</v>
      </c>
    </row>
    <row r="513" customFormat="false" ht="17.15" hidden="false" customHeight="false" outlineLevel="0" collapsed="false">
      <c r="A513" s="0" t="s">
        <v>6791</v>
      </c>
      <c r="B513" s="0" t="s">
        <v>6783</v>
      </c>
      <c r="C513" s="0" t="s">
        <v>6792</v>
      </c>
      <c r="D513" s="0" t="s">
        <v>6793</v>
      </c>
      <c r="E513" s="5" t="s">
        <v>167</v>
      </c>
      <c r="F513" s="0" t="s">
        <v>5116</v>
      </c>
      <c r="G513" s="0" t="s">
        <v>1909</v>
      </c>
      <c r="H513" s="0" t="s">
        <v>5486</v>
      </c>
      <c r="I513" s="0" t="s">
        <v>6794</v>
      </c>
      <c r="K513" s="0" t="s">
        <v>35</v>
      </c>
      <c r="L513" s="0" t="s">
        <v>6795</v>
      </c>
    </row>
    <row r="514" customFormat="false" ht="17.15" hidden="false" customHeight="false" outlineLevel="0" collapsed="false">
      <c r="A514" s="0" t="s">
        <v>6796</v>
      </c>
      <c r="B514" s="0" t="s">
        <v>6797</v>
      </c>
      <c r="C514" s="0" t="s">
        <v>6798</v>
      </c>
      <c r="D514" s="0" t="s">
        <v>6799</v>
      </c>
      <c r="E514" s="5" t="s">
        <v>76</v>
      </c>
      <c r="F514" s="0" t="s">
        <v>6800</v>
      </c>
      <c r="G514" s="0" t="s">
        <v>1855</v>
      </c>
      <c r="H514" s="0" t="s">
        <v>5454</v>
      </c>
      <c r="I514" s="0" t="s">
        <v>6801</v>
      </c>
      <c r="K514" s="0" t="s">
        <v>35</v>
      </c>
      <c r="L514" s="0" t="s">
        <v>6802</v>
      </c>
    </row>
    <row r="515" customFormat="false" ht="17.15" hidden="false" customHeight="false" outlineLevel="0" collapsed="false">
      <c r="A515" s="0" t="s">
        <v>6803</v>
      </c>
      <c r="B515" s="0" t="s">
        <v>6783</v>
      </c>
      <c r="C515" s="0" t="s">
        <v>6804</v>
      </c>
      <c r="D515" s="0" t="s">
        <v>5017</v>
      </c>
      <c r="E515" s="5" t="s">
        <v>76</v>
      </c>
      <c r="F515" s="0" t="s">
        <v>5116</v>
      </c>
      <c r="G515" s="0" t="s">
        <v>1909</v>
      </c>
      <c r="H515" s="0" t="s">
        <v>5454</v>
      </c>
      <c r="I515" s="5" t="s">
        <v>6805</v>
      </c>
      <c r="K515" s="0" t="s">
        <v>35</v>
      </c>
      <c r="L515" s="0" t="s">
        <v>6795</v>
      </c>
    </row>
    <row r="516" customFormat="false" ht="17.15" hidden="false" customHeight="false" outlineLevel="0" collapsed="false">
      <c r="A516" s="0" t="s">
        <v>6806</v>
      </c>
      <c r="B516" s="0" t="s">
        <v>6783</v>
      </c>
      <c r="C516" s="0" t="s">
        <v>6807</v>
      </c>
      <c r="D516" s="0" t="s">
        <v>4799</v>
      </c>
      <c r="E516" s="5" t="s">
        <v>76</v>
      </c>
      <c r="F516" s="0" t="s">
        <v>5116</v>
      </c>
      <c r="G516" s="0" t="s">
        <v>1909</v>
      </c>
      <c r="H516" s="0" t="s">
        <v>5454</v>
      </c>
      <c r="I516" s="0" t="s">
        <v>6808</v>
      </c>
      <c r="K516" s="0" t="s">
        <v>35</v>
      </c>
      <c r="L516" s="0" t="s">
        <v>6795</v>
      </c>
    </row>
    <row r="517" customFormat="false" ht="17.15" hidden="false" customHeight="false" outlineLevel="0" collapsed="false">
      <c r="A517" s="0" t="s">
        <v>6809</v>
      </c>
      <c r="B517" s="0" t="s">
        <v>6731</v>
      </c>
      <c r="C517" s="0" t="s">
        <v>6810</v>
      </c>
      <c r="D517" s="0" t="s">
        <v>6811</v>
      </c>
      <c r="E517" s="0" t="s">
        <v>111</v>
      </c>
      <c r="F517" s="0" t="s">
        <v>2111</v>
      </c>
      <c r="G517" s="0" t="s">
        <v>118</v>
      </c>
      <c r="H517" s="0" t="s">
        <v>5497</v>
      </c>
      <c r="I517" s="5" t="s">
        <v>5498</v>
      </c>
      <c r="K517" s="0" t="s">
        <v>35</v>
      </c>
      <c r="L517" s="0" t="s">
        <v>6812</v>
      </c>
    </row>
    <row r="518" customFormat="false" ht="17.15" hidden="false" customHeight="false" outlineLevel="0" collapsed="false">
      <c r="A518" s="0" t="s">
        <v>6813</v>
      </c>
      <c r="B518" s="0" t="s">
        <v>6731</v>
      </c>
      <c r="C518" s="0" t="s">
        <v>6814</v>
      </c>
      <c r="D518" s="0" t="s">
        <v>112</v>
      </c>
      <c r="E518" s="5" t="s">
        <v>76</v>
      </c>
      <c r="F518" s="0" t="s">
        <v>2111</v>
      </c>
      <c r="G518" s="0" t="s">
        <v>118</v>
      </c>
      <c r="H518" s="0" t="s">
        <v>5497</v>
      </c>
      <c r="I518" s="5" t="s">
        <v>5498</v>
      </c>
      <c r="K518" s="0" t="s">
        <v>35</v>
      </c>
      <c r="L518" s="0" t="s">
        <v>6812</v>
      </c>
    </row>
    <row r="519" customFormat="false" ht="17.15" hidden="false" customHeight="false" outlineLevel="0" collapsed="false">
      <c r="A519" s="0" t="s">
        <v>6815</v>
      </c>
      <c r="B519" s="0" t="s">
        <v>6731</v>
      </c>
      <c r="C519" s="0" t="s">
        <v>6816</v>
      </c>
      <c r="D519" s="0" t="s">
        <v>112</v>
      </c>
      <c r="E519" s="5" t="s">
        <v>76</v>
      </c>
      <c r="F519" s="0" t="s">
        <v>2111</v>
      </c>
      <c r="G519" s="0" t="s">
        <v>141</v>
      </c>
      <c r="H519" s="0" t="s">
        <v>5519</v>
      </c>
      <c r="I519" s="5" t="s">
        <v>6817</v>
      </c>
      <c r="K519" s="0" t="s">
        <v>35</v>
      </c>
      <c r="L519" s="0" t="s">
        <v>6818</v>
      </c>
    </row>
    <row r="520" customFormat="false" ht="17.15" hidden="false" customHeight="false" outlineLevel="0" collapsed="false">
      <c r="A520" s="0" t="s">
        <v>6819</v>
      </c>
      <c r="B520" s="0" t="s">
        <v>6820</v>
      </c>
      <c r="C520" s="0" t="s">
        <v>6821</v>
      </c>
      <c r="D520" s="0" t="s">
        <v>4846</v>
      </c>
      <c r="E520" s="5" t="s">
        <v>76</v>
      </c>
      <c r="F520" s="0" t="s">
        <v>6822</v>
      </c>
      <c r="G520" s="0" t="s">
        <v>1909</v>
      </c>
      <c r="H520" s="0" t="s">
        <v>5454</v>
      </c>
      <c r="I520" s="5" t="s">
        <v>6823</v>
      </c>
      <c r="K520" s="0" t="s">
        <v>35</v>
      </c>
      <c r="L520" s="0" t="s">
        <v>6824</v>
      </c>
    </row>
    <row r="521" customFormat="false" ht="17.15" hidden="false" customHeight="false" outlineLevel="0" collapsed="false">
      <c r="A521" s="0" t="s">
        <v>6825</v>
      </c>
      <c r="B521" s="0" t="s">
        <v>6820</v>
      </c>
      <c r="C521" s="0" t="s">
        <v>6826</v>
      </c>
      <c r="D521" s="0" t="s">
        <v>4846</v>
      </c>
      <c r="E521" s="5" t="s">
        <v>76</v>
      </c>
      <c r="F521" s="0" t="s">
        <v>6822</v>
      </c>
      <c r="G521" s="0" t="s">
        <v>1909</v>
      </c>
      <c r="H521" s="0" t="s">
        <v>5454</v>
      </c>
      <c r="I521" s="0" t="s">
        <v>6827</v>
      </c>
      <c r="K521" s="0" t="s">
        <v>35</v>
      </c>
      <c r="L521" s="0" t="s">
        <v>6824</v>
      </c>
    </row>
    <row r="522" customFormat="false" ht="17.15" hidden="false" customHeight="false" outlineLevel="0" collapsed="false">
      <c r="A522" s="0" t="s">
        <v>6828</v>
      </c>
      <c r="B522" s="0" t="s">
        <v>6820</v>
      </c>
      <c r="C522" s="0" t="s">
        <v>6829</v>
      </c>
      <c r="D522" s="0" t="s">
        <v>4846</v>
      </c>
      <c r="E522" s="5" t="s">
        <v>76</v>
      </c>
      <c r="F522" s="0" t="s">
        <v>6822</v>
      </c>
      <c r="G522" s="0" t="s">
        <v>1909</v>
      </c>
      <c r="H522" s="0" t="s">
        <v>5454</v>
      </c>
      <c r="I522" s="0" t="s">
        <v>6830</v>
      </c>
      <c r="K522" s="0" t="s">
        <v>35</v>
      </c>
      <c r="L522" s="0" t="s">
        <v>6824</v>
      </c>
    </row>
    <row r="523" customFormat="false" ht="17.15" hidden="false" customHeight="false" outlineLevel="0" collapsed="false">
      <c r="A523" s="0" t="s">
        <v>6831</v>
      </c>
      <c r="B523" s="0" t="s">
        <v>6820</v>
      </c>
      <c r="C523" s="0" t="s">
        <v>6832</v>
      </c>
      <c r="D523" s="0" t="s">
        <v>5564</v>
      </c>
      <c r="E523" s="5" t="s">
        <v>76</v>
      </c>
      <c r="F523" s="0" t="s">
        <v>2338</v>
      </c>
      <c r="G523" s="0" t="s">
        <v>1909</v>
      </c>
      <c r="H523" s="0" t="s">
        <v>5454</v>
      </c>
      <c r="I523" s="0" t="s">
        <v>6833</v>
      </c>
      <c r="K523" s="0" t="s">
        <v>35</v>
      </c>
      <c r="L523" s="0" t="s">
        <v>6834</v>
      </c>
    </row>
    <row r="524" customFormat="false" ht="17.15" hidden="false" customHeight="false" outlineLevel="0" collapsed="false">
      <c r="A524" s="0" t="s">
        <v>6835</v>
      </c>
      <c r="B524" s="0" t="s">
        <v>6836</v>
      </c>
      <c r="C524" s="0" t="s">
        <v>6837</v>
      </c>
      <c r="D524" s="0" t="s">
        <v>4518</v>
      </c>
      <c r="E524" s="0" t="s">
        <v>111</v>
      </c>
      <c r="F524" s="0" t="s">
        <v>1708</v>
      </c>
      <c r="G524" s="0" t="s">
        <v>1909</v>
      </c>
      <c r="H524" s="0" t="s">
        <v>5454</v>
      </c>
      <c r="I524" s="0" t="s">
        <v>6838</v>
      </c>
      <c r="K524" s="0" t="s">
        <v>35</v>
      </c>
      <c r="L524" s="0" t="s">
        <v>6839</v>
      </c>
    </row>
    <row r="525" customFormat="false" ht="17.15" hidden="false" customHeight="false" outlineLevel="0" collapsed="false">
      <c r="A525" s="0" t="s">
        <v>6840</v>
      </c>
      <c r="B525" s="0" t="s">
        <v>6841</v>
      </c>
      <c r="C525" s="0" t="s">
        <v>6842</v>
      </c>
      <c r="D525" s="0" t="s">
        <v>4518</v>
      </c>
      <c r="E525" s="0" t="s">
        <v>111</v>
      </c>
      <c r="F525" s="0" t="s">
        <v>6843</v>
      </c>
      <c r="G525" s="0" t="s">
        <v>1909</v>
      </c>
      <c r="H525" s="0" t="s">
        <v>5454</v>
      </c>
      <c r="I525" s="0" t="s">
        <v>6844</v>
      </c>
      <c r="K525" s="0" t="s">
        <v>35</v>
      </c>
      <c r="L525" s="0" t="s">
        <v>6845</v>
      </c>
    </row>
    <row r="526" customFormat="false" ht="17.15" hidden="false" customHeight="false" outlineLevel="0" collapsed="false">
      <c r="A526" s="0" t="s">
        <v>6846</v>
      </c>
      <c r="B526" s="0" t="s">
        <v>6847</v>
      </c>
      <c r="C526" s="0" t="s">
        <v>6848</v>
      </c>
      <c r="D526" s="0" t="s">
        <v>6662</v>
      </c>
      <c r="E526" s="5" t="s">
        <v>76</v>
      </c>
      <c r="F526" s="0" t="s">
        <v>6849</v>
      </c>
      <c r="G526" s="0" t="s">
        <v>1909</v>
      </c>
      <c r="H526" s="0" t="s">
        <v>5454</v>
      </c>
      <c r="I526" s="0" t="s">
        <v>6850</v>
      </c>
      <c r="K526" s="0" t="s">
        <v>35</v>
      </c>
      <c r="L526" s="0" t="s">
        <v>6851</v>
      </c>
    </row>
    <row r="527" customFormat="false" ht="17.15" hidden="false" customHeight="false" outlineLevel="0" collapsed="false">
      <c r="A527" s="0" t="s">
        <v>6852</v>
      </c>
      <c r="B527" s="0" t="s">
        <v>6853</v>
      </c>
      <c r="C527" s="0" t="s">
        <v>6854</v>
      </c>
      <c r="D527" s="0" t="s">
        <v>4771</v>
      </c>
      <c r="E527" s="5" t="s">
        <v>76</v>
      </c>
      <c r="F527" s="0" t="s">
        <v>5507</v>
      </c>
      <c r="G527" s="0" t="s">
        <v>1909</v>
      </c>
      <c r="H527" s="0" t="s">
        <v>5519</v>
      </c>
      <c r="I527" s="0" t="s">
        <v>6855</v>
      </c>
      <c r="K527" s="0" t="s">
        <v>35</v>
      </c>
      <c r="L527" s="0" t="s">
        <v>6856</v>
      </c>
    </row>
    <row r="528" customFormat="false" ht="17.15" hidden="false" customHeight="false" outlineLevel="0" collapsed="false">
      <c r="A528" s="0" t="s">
        <v>6857</v>
      </c>
      <c r="B528" s="0" t="s">
        <v>6853</v>
      </c>
      <c r="C528" s="0" t="s">
        <v>6858</v>
      </c>
      <c r="D528" s="0" t="s">
        <v>112</v>
      </c>
      <c r="E528" s="5" t="s">
        <v>76</v>
      </c>
      <c r="F528" s="0" t="s">
        <v>2511</v>
      </c>
      <c r="G528" s="0" t="s">
        <v>1909</v>
      </c>
      <c r="H528" s="0" t="s">
        <v>5519</v>
      </c>
      <c r="I528" s="0" t="s">
        <v>6859</v>
      </c>
      <c r="K528" s="0" t="s">
        <v>35</v>
      </c>
      <c r="L528" s="0" t="s">
        <v>6860</v>
      </c>
    </row>
    <row r="529" customFormat="false" ht="17.15" hidden="false" customHeight="false" outlineLevel="0" collapsed="false">
      <c r="A529" s="0" t="s">
        <v>6861</v>
      </c>
      <c r="B529" s="5" t="s">
        <v>6862</v>
      </c>
      <c r="C529" s="5" t="s">
        <v>6863</v>
      </c>
      <c r="D529" s="0" t="s">
        <v>5452</v>
      </c>
      <c r="E529" s="5" t="s">
        <v>76</v>
      </c>
      <c r="F529" s="0" t="s">
        <v>6155</v>
      </c>
      <c r="G529" s="0" t="s">
        <v>1909</v>
      </c>
      <c r="H529" s="0" t="s">
        <v>5454</v>
      </c>
      <c r="I529" s="0" t="s">
        <v>6864</v>
      </c>
      <c r="K529" s="0" t="s">
        <v>35</v>
      </c>
      <c r="L529" s="0" t="s">
        <v>6865</v>
      </c>
    </row>
    <row r="530" customFormat="false" ht="17.15" hidden="false" customHeight="false" outlineLevel="0" collapsed="false">
      <c r="A530" s="0" t="s">
        <v>6866</v>
      </c>
      <c r="B530" s="5" t="s">
        <v>6867</v>
      </c>
      <c r="C530" s="5" t="s">
        <v>6868</v>
      </c>
      <c r="D530" s="0" t="s">
        <v>112</v>
      </c>
      <c r="E530" s="5" t="s">
        <v>76</v>
      </c>
      <c r="F530" s="0" t="s">
        <v>4564</v>
      </c>
      <c r="G530" s="0" t="s">
        <v>1909</v>
      </c>
      <c r="H530" s="0" t="s">
        <v>5486</v>
      </c>
      <c r="I530" s="5" t="s">
        <v>6869</v>
      </c>
      <c r="K530" s="0" t="s">
        <v>35</v>
      </c>
      <c r="L530" s="0" t="s">
        <v>6870</v>
      </c>
    </row>
    <row r="531" customFormat="false" ht="17.15" hidden="false" customHeight="false" outlineLevel="0" collapsed="false">
      <c r="A531" s="0" t="s">
        <v>6871</v>
      </c>
      <c r="B531" s="0" t="s">
        <v>6872</v>
      </c>
      <c r="C531" s="0" t="s">
        <v>6873</v>
      </c>
      <c r="D531" s="0" t="s">
        <v>6874</v>
      </c>
      <c r="E531" s="0" t="s">
        <v>111</v>
      </c>
      <c r="G531" s="0" t="s">
        <v>1855</v>
      </c>
      <c r="H531" s="0" t="s">
        <v>5486</v>
      </c>
      <c r="I531" s="0" t="s">
        <v>6875</v>
      </c>
      <c r="K531" s="0" t="s">
        <v>35</v>
      </c>
      <c r="L531" s="0" t="s">
        <v>6876</v>
      </c>
    </row>
    <row r="532" customFormat="false" ht="17.15" hidden="false" customHeight="false" outlineLevel="0" collapsed="false">
      <c r="A532" s="0" t="s">
        <v>6877</v>
      </c>
      <c r="B532" s="0" t="s">
        <v>6878</v>
      </c>
      <c r="C532" s="0" t="s">
        <v>6879</v>
      </c>
      <c r="D532" s="0" t="s">
        <v>4698</v>
      </c>
      <c r="E532" s="5" t="s">
        <v>76</v>
      </c>
      <c r="F532" s="0" t="s">
        <v>6880</v>
      </c>
      <c r="G532" s="0" t="s">
        <v>1909</v>
      </c>
      <c r="H532" s="0" t="s">
        <v>5454</v>
      </c>
      <c r="I532" s="5" t="s">
        <v>6881</v>
      </c>
      <c r="K532" s="0" t="s">
        <v>35</v>
      </c>
      <c r="L532" s="0" t="s">
        <v>6882</v>
      </c>
    </row>
    <row r="533" customFormat="false" ht="17.15" hidden="false" customHeight="false" outlineLevel="0" collapsed="false">
      <c r="A533" s="0" t="s">
        <v>6883</v>
      </c>
      <c r="B533" s="0" t="s">
        <v>6884</v>
      </c>
      <c r="C533" s="0" t="s">
        <v>6885</v>
      </c>
      <c r="D533" s="0" t="s">
        <v>6218</v>
      </c>
      <c r="E533" s="5" t="s">
        <v>76</v>
      </c>
      <c r="F533" s="0" t="s">
        <v>6880</v>
      </c>
      <c r="G533" s="0" t="s">
        <v>1909</v>
      </c>
      <c r="H533" s="0" t="s">
        <v>5497</v>
      </c>
      <c r="I533" s="5" t="s">
        <v>5498</v>
      </c>
      <c r="K533" s="0" t="s">
        <v>35</v>
      </c>
      <c r="L533" s="0" t="s">
        <v>6886</v>
      </c>
    </row>
    <row r="534" customFormat="false" ht="17.15" hidden="false" customHeight="false" outlineLevel="0" collapsed="false">
      <c r="A534" s="0" t="s">
        <v>6887</v>
      </c>
      <c r="B534" s="0" t="s">
        <v>6884</v>
      </c>
      <c r="C534" s="0" t="s">
        <v>6888</v>
      </c>
      <c r="D534" s="0" t="s">
        <v>112</v>
      </c>
      <c r="E534" s="5" t="s">
        <v>76</v>
      </c>
      <c r="F534" s="0" t="s">
        <v>5765</v>
      </c>
      <c r="G534" s="0" t="s">
        <v>1909</v>
      </c>
      <c r="H534" s="0" t="s">
        <v>5454</v>
      </c>
      <c r="I534" s="5" t="s">
        <v>6889</v>
      </c>
      <c r="K534" s="0" t="s">
        <v>35</v>
      </c>
      <c r="L534" s="0" t="s">
        <v>6890</v>
      </c>
    </row>
    <row r="535" customFormat="false" ht="17.15" hidden="false" customHeight="false" outlineLevel="0" collapsed="false">
      <c r="A535" s="0" t="s">
        <v>6891</v>
      </c>
      <c r="B535" s="0" t="s">
        <v>6892</v>
      </c>
      <c r="C535" s="0" t="s">
        <v>6893</v>
      </c>
      <c r="D535" s="0" t="s">
        <v>5460</v>
      </c>
      <c r="E535" s="5" t="s">
        <v>76</v>
      </c>
      <c r="F535" s="0" t="s">
        <v>6035</v>
      </c>
      <c r="G535" s="0" t="s">
        <v>1909</v>
      </c>
      <c r="H535" s="0" t="s">
        <v>5486</v>
      </c>
      <c r="I535" s="5" t="s">
        <v>6894</v>
      </c>
      <c r="K535" s="0" t="s">
        <v>35</v>
      </c>
      <c r="L535" s="0" t="s">
        <v>6895</v>
      </c>
    </row>
    <row r="536" customFormat="false" ht="17.15" hidden="false" customHeight="false" outlineLevel="0" collapsed="false">
      <c r="A536" s="0" t="s">
        <v>6896</v>
      </c>
      <c r="B536" s="0" t="s">
        <v>6897</v>
      </c>
      <c r="C536" s="0" t="s">
        <v>6898</v>
      </c>
      <c r="D536" s="0" t="s">
        <v>112</v>
      </c>
      <c r="E536" s="5" t="s">
        <v>76</v>
      </c>
      <c r="F536" s="0" t="s">
        <v>6440</v>
      </c>
      <c r="G536" s="0" t="s">
        <v>1909</v>
      </c>
      <c r="H536" s="0" t="s">
        <v>5519</v>
      </c>
      <c r="I536" s="5" t="s">
        <v>6899</v>
      </c>
      <c r="K536" s="0" t="s">
        <v>35</v>
      </c>
      <c r="L536" s="0" t="s">
        <v>6900</v>
      </c>
    </row>
    <row r="537" customFormat="false" ht="17.15" hidden="false" customHeight="false" outlineLevel="0" collapsed="false">
      <c r="A537" s="0" t="s">
        <v>6901</v>
      </c>
      <c r="B537" s="0" t="s">
        <v>6897</v>
      </c>
      <c r="C537" s="0" t="s">
        <v>6902</v>
      </c>
      <c r="D537" s="0" t="s">
        <v>112</v>
      </c>
      <c r="E537" s="5" t="s">
        <v>76</v>
      </c>
      <c r="F537" s="0" t="s">
        <v>6903</v>
      </c>
      <c r="G537" s="0" t="s">
        <v>1909</v>
      </c>
      <c r="H537" s="0" t="s">
        <v>5454</v>
      </c>
      <c r="I537" s="5" t="s">
        <v>6904</v>
      </c>
      <c r="K537" s="0" t="s">
        <v>35</v>
      </c>
      <c r="L537" s="0" t="s">
        <v>6905</v>
      </c>
    </row>
    <row r="538" customFormat="false" ht="17.15" hidden="false" customHeight="false" outlineLevel="0" collapsed="false">
      <c r="A538" s="0" t="s">
        <v>6906</v>
      </c>
      <c r="B538" s="0" t="s">
        <v>6907</v>
      </c>
      <c r="C538" s="0" t="s">
        <v>6908</v>
      </c>
      <c r="D538" s="0" t="s">
        <v>6909</v>
      </c>
      <c r="E538" s="5" t="s">
        <v>76</v>
      </c>
      <c r="F538" s="0" t="s">
        <v>5635</v>
      </c>
      <c r="G538" s="0" t="s">
        <v>118</v>
      </c>
      <c r="H538" s="0" t="s">
        <v>5502</v>
      </c>
      <c r="I538" s="5" t="s">
        <v>6910</v>
      </c>
      <c r="K538" s="0" t="s">
        <v>35</v>
      </c>
      <c r="L538" s="0" t="s">
        <v>5656</v>
      </c>
    </row>
    <row r="539" customFormat="false" ht="17.15" hidden="false" customHeight="false" outlineLevel="0" collapsed="false">
      <c r="A539" s="0" t="s">
        <v>6911</v>
      </c>
      <c r="B539" s="0" t="s">
        <v>6897</v>
      </c>
      <c r="C539" s="0" t="s">
        <v>6912</v>
      </c>
      <c r="D539" s="0" t="s">
        <v>5578</v>
      </c>
      <c r="E539" s="5" t="s">
        <v>76</v>
      </c>
      <c r="F539" s="0" t="s">
        <v>6913</v>
      </c>
      <c r="G539" s="0" t="s">
        <v>1855</v>
      </c>
      <c r="H539" s="0" t="s">
        <v>5454</v>
      </c>
      <c r="I539" s="0" t="s">
        <v>6914</v>
      </c>
      <c r="K539" s="0" t="s">
        <v>35</v>
      </c>
      <c r="L539" s="0" t="s">
        <v>6915</v>
      </c>
    </row>
    <row r="540" customFormat="false" ht="17.15" hidden="false" customHeight="false" outlineLevel="0" collapsed="false">
      <c r="A540" s="0" t="s">
        <v>6916</v>
      </c>
      <c r="B540" s="0" t="s">
        <v>6897</v>
      </c>
      <c r="C540" s="0" t="s">
        <v>6917</v>
      </c>
      <c r="D540" s="0" t="s">
        <v>112</v>
      </c>
      <c r="E540" s="5" t="s">
        <v>76</v>
      </c>
      <c r="F540" s="0" t="s">
        <v>6918</v>
      </c>
      <c r="G540" s="0" t="s">
        <v>1909</v>
      </c>
      <c r="H540" s="0" t="s">
        <v>5454</v>
      </c>
      <c r="I540" s="5" t="s">
        <v>6919</v>
      </c>
      <c r="K540" s="0" t="s">
        <v>35</v>
      </c>
      <c r="L540" s="0" t="s">
        <v>6920</v>
      </c>
    </row>
    <row r="541" customFormat="false" ht="17.15" hidden="false" customHeight="false" outlineLevel="0" collapsed="false">
      <c r="A541" s="0" t="s">
        <v>6921</v>
      </c>
      <c r="B541" s="0" t="s">
        <v>6897</v>
      </c>
      <c r="C541" s="0" t="s">
        <v>6922</v>
      </c>
      <c r="D541" s="0" t="s">
        <v>112</v>
      </c>
      <c r="E541" s="5" t="s">
        <v>76</v>
      </c>
      <c r="F541" s="0" t="s">
        <v>6260</v>
      </c>
      <c r="G541" s="0" t="s">
        <v>1909</v>
      </c>
      <c r="H541" s="0" t="s">
        <v>5454</v>
      </c>
      <c r="I541" s="5" t="s">
        <v>6923</v>
      </c>
      <c r="K541" s="0" t="s">
        <v>35</v>
      </c>
      <c r="L541" s="0" t="s">
        <v>6924</v>
      </c>
    </row>
    <row r="542" customFormat="false" ht="17.15" hidden="false" customHeight="false" outlineLevel="0" collapsed="false">
      <c r="A542" s="0" t="s">
        <v>6925</v>
      </c>
      <c r="B542" s="0" t="s">
        <v>6926</v>
      </c>
      <c r="C542" s="0" t="s">
        <v>6927</v>
      </c>
      <c r="D542" s="0" t="s">
        <v>5952</v>
      </c>
      <c r="E542" s="5" t="s">
        <v>76</v>
      </c>
      <c r="F542" s="0" t="s">
        <v>6928</v>
      </c>
      <c r="G542" s="0" t="s">
        <v>1909</v>
      </c>
      <c r="H542" s="0" t="s">
        <v>5502</v>
      </c>
      <c r="I542" s="0" t="s">
        <v>6929</v>
      </c>
      <c r="K542" s="0" t="s">
        <v>35</v>
      </c>
      <c r="L542" s="0" t="s">
        <v>6930</v>
      </c>
    </row>
    <row r="543" customFormat="false" ht="17.15" hidden="false" customHeight="false" outlineLevel="0" collapsed="false">
      <c r="A543" s="0" t="s">
        <v>6931</v>
      </c>
      <c r="B543" s="0" t="s">
        <v>6926</v>
      </c>
      <c r="C543" s="0" t="s">
        <v>6932</v>
      </c>
      <c r="D543" s="0" t="s">
        <v>4859</v>
      </c>
      <c r="E543" s="5" t="s">
        <v>76</v>
      </c>
      <c r="F543" s="0" t="s">
        <v>6928</v>
      </c>
      <c r="G543" s="0" t="s">
        <v>1909</v>
      </c>
      <c r="H543" s="0" t="s">
        <v>5502</v>
      </c>
      <c r="I543" s="5" t="s">
        <v>6933</v>
      </c>
      <c r="K543" s="0" t="s">
        <v>35</v>
      </c>
      <c r="L543" s="0" t="s">
        <v>6930</v>
      </c>
    </row>
    <row r="544" customFormat="false" ht="17.15" hidden="false" customHeight="false" outlineLevel="0" collapsed="false">
      <c r="A544" s="0" t="s">
        <v>6934</v>
      </c>
      <c r="B544" s="0" t="s">
        <v>6926</v>
      </c>
      <c r="C544" s="0" t="s">
        <v>6935</v>
      </c>
      <c r="D544" s="0" t="s">
        <v>6936</v>
      </c>
      <c r="E544" s="0" t="s">
        <v>111</v>
      </c>
      <c r="F544" s="0" t="s">
        <v>6937</v>
      </c>
      <c r="G544" s="0" t="s">
        <v>1909</v>
      </c>
      <c r="H544" s="0" t="s">
        <v>5454</v>
      </c>
      <c r="I544" s="0" t="s">
        <v>6938</v>
      </c>
      <c r="K544" s="0" t="s">
        <v>35</v>
      </c>
      <c r="L544" s="0" t="s">
        <v>6939</v>
      </c>
    </row>
    <row r="545" customFormat="false" ht="17.15" hidden="false" customHeight="false" outlineLevel="0" collapsed="false">
      <c r="A545" s="0" t="s">
        <v>6940</v>
      </c>
      <c r="B545" s="0" t="s">
        <v>6941</v>
      </c>
      <c r="C545" s="0" t="s">
        <v>6942</v>
      </c>
      <c r="D545" s="0" t="s">
        <v>5578</v>
      </c>
      <c r="E545" s="5" t="s">
        <v>76</v>
      </c>
      <c r="F545" s="0" t="s">
        <v>6943</v>
      </c>
      <c r="G545" s="0" t="s">
        <v>1909</v>
      </c>
      <c r="H545" s="0" t="s">
        <v>5454</v>
      </c>
      <c r="I545" s="0" t="s">
        <v>6944</v>
      </c>
      <c r="K545" s="0" t="s">
        <v>35</v>
      </c>
      <c r="L545" s="0" t="s">
        <v>6945</v>
      </c>
    </row>
    <row r="546" customFormat="false" ht="17.15" hidden="false" customHeight="false" outlineLevel="0" collapsed="false">
      <c r="A546" s="0" t="s">
        <v>6946</v>
      </c>
      <c r="B546" s="0" t="s">
        <v>6947</v>
      </c>
      <c r="C546" s="0" t="s">
        <v>6948</v>
      </c>
      <c r="D546" s="0" t="s">
        <v>4456</v>
      </c>
      <c r="E546" s="5" t="s">
        <v>76</v>
      </c>
      <c r="F546" s="0" t="s">
        <v>6949</v>
      </c>
      <c r="G546" s="0" t="s">
        <v>1909</v>
      </c>
      <c r="H546" s="0" t="s">
        <v>5454</v>
      </c>
      <c r="I546" s="0" t="s">
        <v>6950</v>
      </c>
      <c r="K546" s="0" t="s">
        <v>35</v>
      </c>
      <c r="L546" s="0" t="s">
        <v>6951</v>
      </c>
    </row>
    <row r="547" customFormat="false" ht="17.15" hidden="false" customHeight="false" outlineLevel="0" collapsed="false">
      <c r="A547" s="0" t="s">
        <v>6952</v>
      </c>
      <c r="B547" s="0" t="s">
        <v>6947</v>
      </c>
      <c r="C547" s="0" t="s">
        <v>6953</v>
      </c>
      <c r="D547" s="0" t="s">
        <v>4859</v>
      </c>
      <c r="E547" s="5" t="s">
        <v>76</v>
      </c>
      <c r="F547" s="0" t="s">
        <v>6954</v>
      </c>
      <c r="G547" s="0" t="s">
        <v>1909</v>
      </c>
      <c r="H547" s="0" t="s">
        <v>5519</v>
      </c>
      <c r="I547" s="0" t="s">
        <v>6955</v>
      </c>
      <c r="K547" s="0" t="s">
        <v>35</v>
      </c>
      <c r="L547" s="0" t="s">
        <v>6956</v>
      </c>
    </row>
    <row r="548" customFormat="false" ht="17.15" hidden="false" customHeight="false" outlineLevel="0" collapsed="false">
      <c r="A548" s="0" t="s">
        <v>6957</v>
      </c>
      <c r="B548" s="0" t="s">
        <v>6958</v>
      </c>
      <c r="C548" s="0" t="s">
        <v>6959</v>
      </c>
      <c r="D548" s="0" t="s">
        <v>4846</v>
      </c>
      <c r="E548" s="5" t="s">
        <v>76</v>
      </c>
      <c r="F548" s="0" t="s">
        <v>6960</v>
      </c>
      <c r="G548" s="0" t="s">
        <v>1909</v>
      </c>
      <c r="H548" s="0" t="s">
        <v>5454</v>
      </c>
      <c r="I548" s="0" t="s">
        <v>6961</v>
      </c>
      <c r="J548" s="0" t="s">
        <v>734</v>
      </c>
      <c r="K548" s="5" t="s">
        <v>4519</v>
      </c>
      <c r="L548" s="0" t="s">
        <v>6962</v>
      </c>
    </row>
    <row r="549" customFormat="false" ht="17.15" hidden="false" customHeight="false" outlineLevel="0" collapsed="false">
      <c r="A549" s="0" t="s">
        <v>6963</v>
      </c>
      <c r="B549" s="0" t="s">
        <v>6958</v>
      </c>
      <c r="C549" s="0" t="s">
        <v>6964</v>
      </c>
      <c r="D549" s="0" t="s">
        <v>4771</v>
      </c>
      <c r="E549" s="5" t="s">
        <v>76</v>
      </c>
      <c r="F549" s="0" t="s">
        <v>6965</v>
      </c>
      <c r="G549" s="0" t="s">
        <v>1909</v>
      </c>
      <c r="H549" s="0" t="s">
        <v>5502</v>
      </c>
      <c r="I549" s="0" t="s">
        <v>6966</v>
      </c>
      <c r="K549" s="0" t="s">
        <v>35</v>
      </c>
      <c r="L549" s="0" t="s">
        <v>6967</v>
      </c>
    </row>
    <row r="550" customFormat="false" ht="17.15" hidden="false" customHeight="false" outlineLevel="0" collapsed="false">
      <c r="A550" s="0" t="s">
        <v>6968</v>
      </c>
      <c r="B550" s="0" t="s">
        <v>6969</v>
      </c>
      <c r="C550" s="0" t="s">
        <v>6970</v>
      </c>
      <c r="D550" s="0" t="s">
        <v>5791</v>
      </c>
      <c r="E550" s="5" t="s">
        <v>76</v>
      </c>
      <c r="F550" s="0" t="s">
        <v>6971</v>
      </c>
      <c r="G550" s="0" t="s">
        <v>1909</v>
      </c>
      <c r="H550" s="0" t="s">
        <v>5497</v>
      </c>
      <c r="I550" s="5" t="s">
        <v>6226</v>
      </c>
      <c r="K550" s="0" t="s">
        <v>35</v>
      </c>
      <c r="L550" s="0" t="s">
        <v>6972</v>
      </c>
    </row>
    <row r="551" customFormat="false" ht="17.15" hidden="false" customHeight="false" outlineLevel="0" collapsed="false">
      <c r="A551" s="0" t="s">
        <v>6973</v>
      </c>
      <c r="B551" s="0" t="s">
        <v>6969</v>
      </c>
      <c r="C551" s="0" t="s">
        <v>6974</v>
      </c>
      <c r="D551" s="0" t="s">
        <v>4859</v>
      </c>
      <c r="E551" s="5" t="s">
        <v>76</v>
      </c>
      <c r="F551" s="0" t="s">
        <v>6971</v>
      </c>
      <c r="G551" s="0" t="s">
        <v>1909</v>
      </c>
      <c r="H551" s="0" t="s">
        <v>5497</v>
      </c>
      <c r="I551" s="5" t="s">
        <v>6226</v>
      </c>
      <c r="K551" s="0" t="s">
        <v>35</v>
      </c>
      <c r="L551" s="0" t="s">
        <v>6972</v>
      </c>
    </row>
    <row r="552" customFormat="false" ht="17.15" hidden="false" customHeight="false" outlineLevel="0" collapsed="false">
      <c r="A552" s="0" t="s">
        <v>6975</v>
      </c>
      <c r="B552" s="0" t="s">
        <v>6976</v>
      </c>
      <c r="C552" s="0" t="s">
        <v>6977</v>
      </c>
      <c r="D552" s="0" t="s">
        <v>4518</v>
      </c>
      <c r="E552" s="5" t="s">
        <v>76</v>
      </c>
      <c r="F552" s="0" t="s">
        <v>6880</v>
      </c>
      <c r="G552" s="0" t="s">
        <v>1909</v>
      </c>
      <c r="H552" s="0" t="s">
        <v>5454</v>
      </c>
      <c r="I552" s="0" t="s">
        <v>6978</v>
      </c>
      <c r="K552" s="0" t="s">
        <v>35</v>
      </c>
      <c r="L552" s="0" t="s">
        <v>6979</v>
      </c>
    </row>
    <row r="553" customFormat="false" ht="17.15" hidden="false" customHeight="false" outlineLevel="0" collapsed="false">
      <c r="A553" s="0" t="s">
        <v>6980</v>
      </c>
      <c r="B553" s="0" t="s">
        <v>6981</v>
      </c>
      <c r="C553" s="0" t="s">
        <v>6982</v>
      </c>
      <c r="D553" s="0" t="s">
        <v>6983</v>
      </c>
      <c r="E553" s="5" t="s">
        <v>76</v>
      </c>
      <c r="F553" s="0" t="s">
        <v>6880</v>
      </c>
      <c r="G553" s="0" t="s">
        <v>1909</v>
      </c>
      <c r="H553" s="0" t="s">
        <v>5454</v>
      </c>
      <c r="I553" s="0" t="s">
        <v>6984</v>
      </c>
      <c r="K553" s="0" t="s">
        <v>35</v>
      </c>
      <c r="L553" s="0" t="s">
        <v>6979</v>
      </c>
    </row>
    <row r="554" customFormat="false" ht="17.15" hidden="false" customHeight="false" outlineLevel="0" collapsed="false">
      <c r="A554" s="0" t="s">
        <v>6985</v>
      </c>
      <c r="B554" s="0" t="s">
        <v>6986</v>
      </c>
      <c r="C554" s="0" t="s">
        <v>6987</v>
      </c>
      <c r="D554" s="0" t="s">
        <v>6988</v>
      </c>
      <c r="E554" s="5" t="s">
        <v>76</v>
      </c>
      <c r="F554" s="0" t="s">
        <v>6989</v>
      </c>
      <c r="G554" s="0" t="s">
        <v>1909</v>
      </c>
      <c r="H554" s="0" t="s">
        <v>5454</v>
      </c>
      <c r="I554" s="0" t="s">
        <v>6990</v>
      </c>
      <c r="J554" s="0" t="s">
        <v>713</v>
      </c>
      <c r="K554" s="5" t="s">
        <v>1851</v>
      </c>
      <c r="L554" s="0" t="s">
        <v>6991</v>
      </c>
    </row>
    <row r="555" customFormat="false" ht="17.15" hidden="false" customHeight="false" outlineLevel="0" collapsed="false">
      <c r="A555" s="0" t="s">
        <v>6992</v>
      </c>
      <c r="B555" s="0" t="s">
        <v>6986</v>
      </c>
      <c r="C555" s="0" t="s">
        <v>6993</v>
      </c>
      <c r="D555" s="0" t="s">
        <v>6994</v>
      </c>
      <c r="E555" s="5" t="s">
        <v>76</v>
      </c>
      <c r="F555" s="0" t="s">
        <v>6995</v>
      </c>
      <c r="G555" s="0" t="s">
        <v>1866</v>
      </c>
      <c r="H555" s="0" t="s">
        <v>5454</v>
      </c>
      <c r="I555" s="0" t="s">
        <v>6996</v>
      </c>
      <c r="J555" s="0" t="s">
        <v>716</v>
      </c>
      <c r="K555" s="5" t="s">
        <v>1851</v>
      </c>
      <c r="L555" s="0" t="s">
        <v>6997</v>
      </c>
    </row>
    <row r="556" customFormat="false" ht="17.15" hidden="false" customHeight="false" outlineLevel="0" collapsed="false">
      <c r="A556" s="0" t="s">
        <v>6998</v>
      </c>
      <c r="B556" s="0" t="s">
        <v>6999</v>
      </c>
      <c r="C556" s="0" t="s">
        <v>7000</v>
      </c>
      <c r="D556" s="0" t="s">
        <v>5777</v>
      </c>
      <c r="E556" s="5" t="s">
        <v>76</v>
      </c>
      <c r="F556" s="0" t="s">
        <v>7001</v>
      </c>
      <c r="G556" s="0" t="s">
        <v>1909</v>
      </c>
      <c r="H556" s="0" t="s">
        <v>5454</v>
      </c>
      <c r="I556" s="0" t="s">
        <v>7002</v>
      </c>
      <c r="J556" s="0" t="s">
        <v>713</v>
      </c>
      <c r="K556" s="5" t="s">
        <v>1851</v>
      </c>
      <c r="L556" s="0" t="s">
        <v>7003</v>
      </c>
    </row>
    <row r="557" customFormat="false" ht="17.15" hidden="false" customHeight="false" outlineLevel="0" collapsed="false">
      <c r="A557" s="0" t="s">
        <v>7004</v>
      </c>
      <c r="B557" s="0" t="s">
        <v>7005</v>
      </c>
      <c r="C557" s="0" t="s">
        <v>7006</v>
      </c>
      <c r="D557" s="0" t="s">
        <v>5564</v>
      </c>
      <c r="E557" s="5" t="s">
        <v>76</v>
      </c>
      <c r="F557" s="0" t="s">
        <v>7001</v>
      </c>
      <c r="G557" s="0" t="s">
        <v>1909</v>
      </c>
      <c r="H557" s="0" t="s">
        <v>5454</v>
      </c>
      <c r="I557" s="5" t="s">
        <v>7007</v>
      </c>
      <c r="K557" s="0" t="s">
        <v>35</v>
      </c>
      <c r="L557" s="0" t="s">
        <v>7003</v>
      </c>
    </row>
    <row r="558" customFormat="false" ht="17.15" hidden="false" customHeight="false" outlineLevel="0" collapsed="false">
      <c r="A558" s="0" t="s">
        <v>7008</v>
      </c>
      <c r="B558" s="0" t="s">
        <v>7009</v>
      </c>
      <c r="C558" s="0" t="s">
        <v>7010</v>
      </c>
      <c r="D558" s="0" t="s">
        <v>6789</v>
      </c>
      <c r="E558" s="5" t="s">
        <v>76</v>
      </c>
      <c r="F558" s="0" t="s">
        <v>5513</v>
      </c>
      <c r="G558" s="0" t="s">
        <v>1909</v>
      </c>
      <c r="H558" s="0" t="s">
        <v>5486</v>
      </c>
      <c r="I558" s="5" t="s">
        <v>7011</v>
      </c>
      <c r="K558" s="0" t="s">
        <v>35</v>
      </c>
      <c r="L558" s="0" t="s">
        <v>7012</v>
      </c>
    </row>
    <row r="559" customFormat="false" ht="17.15" hidden="false" customHeight="false" outlineLevel="0" collapsed="false">
      <c r="A559" s="0" t="s">
        <v>7013</v>
      </c>
      <c r="B559" s="0" t="s">
        <v>7009</v>
      </c>
      <c r="C559" s="0" t="s">
        <v>7014</v>
      </c>
      <c r="D559" s="0" t="s">
        <v>112</v>
      </c>
      <c r="E559" s="5" t="s">
        <v>76</v>
      </c>
      <c r="F559" s="0" t="s">
        <v>6344</v>
      </c>
      <c r="G559" s="0" t="s">
        <v>1909</v>
      </c>
      <c r="H559" s="0" t="s">
        <v>5486</v>
      </c>
      <c r="I559" s="0" t="s">
        <v>7015</v>
      </c>
      <c r="K559" s="0" t="s">
        <v>35</v>
      </c>
      <c r="L559" s="0" t="s">
        <v>7016</v>
      </c>
    </row>
    <row r="560" customFormat="false" ht="17.15" hidden="false" customHeight="false" outlineLevel="0" collapsed="false">
      <c r="A560" s="0" t="s">
        <v>7017</v>
      </c>
      <c r="B560" s="0" t="s">
        <v>7018</v>
      </c>
      <c r="C560" s="0" t="s">
        <v>7019</v>
      </c>
      <c r="D560" s="0" t="s">
        <v>5777</v>
      </c>
      <c r="E560" s="5" t="s">
        <v>76</v>
      </c>
      <c r="F560" s="0" t="s">
        <v>7020</v>
      </c>
      <c r="G560" s="0" t="s">
        <v>1909</v>
      </c>
      <c r="H560" s="0" t="s">
        <v>5502</v>
      </c>
      <c r="I560" s="0" t="s">
        <v>7021</v>
      </c>
      <c r="K560" s="0" t="s">
        <v>35</v>
      </c>
      <c r="L560" s="0" t="s">
        <v>7022</v>
      </c>
    </row>
    <row r="561" customFormat="false" ht="17.15" hidden="false" customHeight="false" outlineLevel="0" collapsed="false">
      <c r="A561" s="0" t="s">
        <v>7023</v>
      </c>
      <c r="B561" s="0" t="s">
        <v>7018</v>
      </c>
      <c r="C561" s="0" t="s">
        <v>7024</v>
      </c>
      <c r="D561" s="0" t="s">
        <v>6789</v>
      </c>
      <c r="E561" s="5" t="s">
        <v>76</v>
      </c>
      <c r="F561" s="0" t="s">
        <v>7020</v>
      </c>
      <c r="G561" s="0" t="s">
        <v>1909</v>
      </c>
      <c r="H561" s="0" t="s">
        <v>5502</v>
      </c>
      <c r="I561" s="5" t="s">
        <v>7025</v>
      </c>
      <c r="K561" s="0" t="s">
        <v>35</v>
      </c>
      <c r="L561" s="0" t="s">
        <v>7022</v>
      </c>
    </row>
    <row r="562" customFormat="false" ht="17.15" hidden="false" customHeight="false" outlineLevel="0" collapsed="false">
      <c r="A562" s="0" t="s">
        <v>7026</v>
      </c>
      <c r="B562" s="0" t="s">
        <v>7018</v>
      </c>
      <c r="C562" s="0" t="s">
        <v>7027</v>
      </c>
      <c r="D562" s="0" t="s">
        <v>5805</v>
      </c>
      <c r="E562" s="5" t="s">
        <v>76</v>
      </c>
      <c r="F562" s="0" t="s">
        <v>7020</v>
      </c>
      <c r="G562" s="0" t="s">
        <v>1909</v>
      </c>
      <c r="H562" s="0" t="s">
        <v>5502</v>
      </c>
      <c r="I562" s="5" t="s">
        <v>7028</v>
      </c>
      <c r="K562" s="0" t="s">
        <v>35</v>
      </c>
      <c r="L562" s="0" t="s">
        <v>7022</v>
      </c>
    </row>
    <row r="563" customFormat="false" ht="17.15" hidden="false" customHeight="false" outlineLevel="0" collapsed="false">
      <c r="A563" s="0" t="s">
        <v>7029</v>
      </c>
      <c r="B563" s="0" t="s">
        <v>7018</v>
      </c>
      <c r="C563" s="0" t="s">
        <v>7030</v>
      </c>
      <c r="D563" s="0" t="s">
        <v>5805</v>
      </c>
      <c r="E563" s="5" t="s">
        <v>76</v>
      </c>
      <c r="F563" s="0" t="s">
        <v>7020</v>
      </c>
      <c r="G563" s="0" t="s">
        <v>1866</v>
      </c>
      <c r="H563" s="0" t="s">
        <v>5502</v>
      </c>
      <c r="I563" s="5" t="s">
        <v>7031</v>
      </c>
      <c r="K563" s="0" t="s">
        <v>35</v>
      </c>
      <c r="L563" s="0" t="s">
        <v>7022</v>
      </c>
    </row>
    <row r="564" customFormat="false" ht="17.15" hidden="false" customHeight="false" outlineLevel="0" collapsed="false">
      <c r="A564" s="0" t="s">
        <v>7032</v>
      </c>
      <c r="B564" s="0" t="s">
        <v>7033</v>
      </c>
      <c r="C564" s="0" t="s">
        <v>7034</v>
      </c>
      <c r="D564" s="0" t="s">
        <v>7035</v>
      </c>
      <c r="E564" s="5" t="s">
        <v>76</v>
      </c>
      <c r="F564" s="0" t="s">
        <v>7036</v>
      </c>
      <c r="G564" s="0" t="s">
        <v>1909</v>
      </c>
      <c r="H564" s="0" t="s">
        <v>5454</v>
      </c>
      <c r="I564" s="0" t="s">
        <v>7037</v>
      </c>
      <c r="K564" s="0" t="s">
        <v>35</v>
      </c>
      <c r="L564" s="0" t="s">
        <v>7038</v>
      </c>
    </row>
    <row r="565" customFormat="false" ht="17.15" hidden="false" customHeight="false" outlineLevel="0" collapsed="false">
      <c r="A565" s="0" t="s">
        <v>7039</v>
      </c>
      <c r="B565" s="0" t="s">
        <v>7018</v>
      </c>
      <c r="C565" s="0" t="s">
        <v>7040</v>
      </c>
      <c r="D565" s="0" t="s">
        <v>112</v>
      </c>
      <c r="E565" s="5" t="s">
        <v>76</v>
      </c>
      <c r="F565" s="0" t="s">
        <v>7041</v>
      </c>
      <c r="G565" s="0" t="s">
        <v>1909</v>
      </c>
      <c r="H565" s="0" t="s">
        <v>5454</v>
      </c>
      <c r="I565" s="0" t="s">
        <v>7042</v>
      </c>
      <c r="K565" s="0" t="s">
        <v>35</v>
      </c>
      <c r="L565" s="0" t="s">
        <v>7043</v>
      </c>
    </row>
    <row r="566" customFormat="false" ht="17.15" hidden="false" customHeight="false" outlineLevel="0" collapsed="false">
      <c r="A566" s="0" t="s">
        <v>7044</v>
      </c>
      <c r="B566" s="0" t="s">
        <v>7045</v>
      </c>
      <c r="C566" s="0" t="s">
        <v>7046</v>
      </c>
      <c r="D566" s="0" t="s">
        <v>6330</v>
      </c>
      <c r="E566" s="5" t="s">
        <v>76</v>
      </c>
      <c r="F566" s="0" t="s">
        <v>7047</v>
      </c>
      <c r="G566" s="0" t="s">
        <v>1909</v>
      </c>
      <c r="H566" s="0" t="s">
        <v>5454</v>
      </c>
      <c r="I566" s="5" t="s">
        <v>7048</v>
      </c>
      <c r="K566" s="0" t="s">
        <v>35</v>
      </c>
      <c r="L566" s="0" t="s">
        <v>7049</v>
      </c>
    </row>
    <row r="567" customFormat="false" ht="17.15" hidden="false" customHeight="false" outlineLevel="0" collapsed="false">
      <c r="A567" s="0" t="s">
        <v>7050</v>
      </c>
      <c r="B567" s="0" t="s">
        <v>7045</v>
      </c>
      <c r="C567" s="0" t="s">
        <v>7051</v>
      </c>
      <c r="D567" s="0" t="s">
        <v>7052</v>
      </c>
      <c r="E567" s="5" t="s">
        <v>76</v>
      </c>
      <c r="F567" s="0" t="s">
        <v>7047</v>
      </c>
      <c r="G567" s="0" t="s">
        <v>1909</v>
      </c>
      <c r="H567" s="0" t="s">
        <v>5502</v>
      </c>
      <c r="I567" s="0" t="s">
        <v>7053</v>
      </c>
      <c r="K567" s="0" t="s">
        <v>35</v>
      </c>
      <c r="L567" s="0" t="s">
        <v>7049</v>
      </c>
    </row>
    <row r="568" customFormat="false" ht="17.15" hidden="false" customHeight="false" outlineLevel="0" collapsed="false">
      <c r="A568" s="0" t="s">
        <v>7054</v>
      </c>
      <c r="B568" s="0" t="s">
        <v>7045</v>
      </c>
      <c r="C568" s="0" t="s">
        <v>7055</v>
      </c>
      <c r="D568" s="0" t="s">
        <v>5460</v>
      </c>
      <c r="E568" s="5" t="s">
        <v>76</v>
      </c>
      <c r="F568" s="0" t="s">
        <v>7047</v>
      </c>
      <c r="G568" s="0" t="s">
        <v>1909</v>
      </c>
      <c r="H568" s="0" t="s">
        <v>5502</v>
      </c>
      <c r="I568" s="0" t="s">
        <v>7056</v>
      </c>
      <c r="K568" s="0" t="s">
        <v>35</v>
      </c>
      <c r="L568" s="0" t="s">
        <v>7049</v>
      </c>
    </row>
    <row r="569" customFormat="false" ht="17.15" hidden="false" customHeight="false" outlineLevel="0" collapsed="false">
      <c r="A569" s="0" t="s">
        <v>7057</v>
      </c>
      <c r="B569" s="0" t="s">
        <v>7058</v>
      </c>
      <c r="C569" s="0" t="s">
        <v>7059</v>
      </c>
      <c r="D569" s="0" t="s">
        <v>6377</v>
      </c>
      <c r="E569" s="0" t="s">
        <v>111</v>
      </c>
      <c r="F569" s="5" t="s">
        <v>6255</v>
      </c>
      <c r="G569" s="0" t="s">
        <v>1909</v>
      </c>
      <c r="H569" s="0" t="s">
        <v>5454</v>
      </c>
      <c r="I569" s="0" t="s">
        <v>7060</v>
      </c>
      <c r="K569" s="0" t="s">
        <v>35</v>
      </c>
      <c r="L569" s="0" t="s">
        <v>7061</v>
      </c>
    </row>
    <row r="570" customFormat="false" ht="17.15" hidden="false" customHeight="false" outlineLevel="0" collapsed="false">
      <c r="A570" s="0" t="s">
        <v>7062</v>
      </c>
      <c r="B570" s="0" t="s">
        <v>7063</v>
      </c>
      <c r="C570" s="0" t="s">
        <v>7064</v>
      </c>
      <c r="D570" s="0" t="s">
        <v>6789</v>
      </c>
      <c r="E570" s="0" t="s">
        <v>111</v>
      </c>
      <c r="F570" s="5" t="s">
        <v>6255</v>
      </c>
      <c r="G570" s="0" t="s">
        <v>1909</v>
      </c>
      <c r="H570" s="0" t="s">
        <v>5454</v>
      </c>
      <c r="I570" s="0" t="s">
        <v>7065</v>
      </c>
      <c r="K570" s="0" t="s">
        <v>35</v>
      </c>
      <c r="L570" s="0" t="s">
        <v>7061</v>
      </c>
    </row>
    <row r="571" customFormat="false" ht="17.15" hidden="false" customHeight="false" outlineLevel="0" collapsed="false">
      <c r="A571" s="0" t="s">
        <v>7066</v>
      </c>
      <c r="B571" s="0" t="s">
        <v>7058</v>
      </c>
      <c r="C571" s="0" t="s">
        <v>7067</v>
      </c>
      <c r="D571" s="0" t="s">
        <v>112</v>
      </c>
      <c r="E571" s="5" t="s">
        <v>76</v>
      </c>
      <c r="F571" s="5" t="s">
        <v>6255</v>
      </c>
      <c r="G571" s="0" t="s">
        <v>1909</v>
      </c>
      <c r="H571" s="0" t="s">
        <v>5502</v>
      </c>
      <c r="I571" s="5" t="s">
        <v>7068</v>
      </c>
      <c r="K571" s="0" t="s">
        <v>35</v>
      </c>
      <c r="L571" s="0" t="s">
        <v>7061</v>
      </c>
    </row>
    <row r="572" customFormat="false" ht="17.15" hidden="false" customHeight="false" outlineLevel="0" collapsed="false">
      <c r="A572" s="0" t="s">
        <v>7069</v>
      </c>
      <c r="B572" s="0" t="s">
        <v>7070</v>
      </c>
      <c r="C572" s="0" t="s">
        <v>7071</v>
      </c>
      <c r="D572" s="0" t="s">
        <v>7072</v>
      </c>
      <c r="E572" s="5" t="s">
        <v>76</v>
      </c>
      <c r="F572" s="0" t="s">
        <v>119</v>
      </c>
      <c r="G572" s="0" t="s">
        <v>1909</v>
      </c>
      <c r="H572" s="0" t="s">
        <v>5454</v>
      </c>
      <c r="I572" s="0" t="s">
        <v>7073</v>
      </c>
      <c r="K572" s="0" t="s">
        <v>35</v>
      </c>
      <c r="L572" s="0" t="s">
        <v>7074</v>
      </c>
    </row>
    <row r="573" customFormat="false" ht="17.15" hidden="false" customHeight="false" outlineLevel="0" collapsed="false">
      <c r="A573" s="0" t="s">
        <v>7075</v>
      </c>
      <c r="B573" s="0" t="s">
        <v>7070</v>
      </c>
      <c r="C573" s="0" t="s">
        <v>7076</v>
      </c>
      <c r="D573" s="0" t="s">
        <v>7077</v>
      </c>
      <c r="E573" s="5" t="s">
        <v>76</v>
      </c>
      <c r="F573" s="0" t="s">
        <v>119</v>
      </c>
      <c r="G573" s="0" t="s">
        <v>1909</v>
      </c>
      <c r="H573" s="0" t="s">
        <v>5454</v>
      </c>
      <c r="I573" s="0" t="s">
        <v>7078</v>
      </c>
      <c r="K573" s="0" t="s">
        <v>35</v>
      </c>
      <c r="L573" s="0" t="s">
        <v>7074</v>
      </c>
    </row>
    <row r="574" customFormat="false" ht="17.15" hidden="false" customHeight="false" outlineLevel="0" collapsed="false">
      <c r="A574" s="0" t="s">
        <v>7079</v>
      </c>
      <c r="B574" s="0" t="s">
        <v>7070</v>
      </c>
      <c r="C574" s="0" t="s">
        <v>7080</v>
      </c>
      <c r="D574" s="0" t="s">
        <v>6218</v>
      </c>
      <c r="E574" s="5" t="s">
        <v>76</v>
      </c>
      <c r="F574" s="0" t="s">
        <v>119</v>
      </c>
      <c r="G574" s="0" t="s">
        <v>1909</v>
      </c>
      <c r="H574" s="0" t="s">
        <v>5486</v>
      </c>
      <c r="I574" s="0" t="s">
        <v>7081</v>
      </c>
      <c r="K574" s="0" t="s">
        <v>35</v>
      </c>
      <c r="L574" s="0" t="s">
        <v>7082</v>
      </c>
    </row>
    <row r="575" customFormat="false" ht="17.15" hidden="false" customHeight="false" outlineLevel="0" collapsed="false">
      <c r="A575" s="0" t="s">
        <v>7083</v>
      </c>
      <c r="B575" s="0" t="s">
        <v>7070</v>
      </c>
      <c r="C575" s="0" t="s">
        <v>7084</v>
      </c>
      <c r="D575" s="0" t="s">
        <v>5017</v>
      </c>
      <c r="E575" s="5" t="s">
        <v>76</v>
      </c>
      <c r="F575" s="0" t="s">
        <v>119</v>
      </c>
      <c r="G575" s="0" t="s">
        <v>1909</v>
      </c>
      <c r="H575" s="0" t="s">
        <v>5519</v>
      </c>
      <c r="I575" s="5" t="s">
        <v>7085</v>
      </c>
      <c r="K575" s="0" t="s">
        <v>35</v>
      </c>
      <c r="L575" s="0" t="s">
        <v>7086</v>
      </c>
    </row>
    <row r="576" customFormat="false" ht="17.15" hidden="false" customHeight="false" outlineLevel="0" collapsed="false">
      <c r="A576" s="0" t="s">
        <v>7087</v>
      </c>
      <c r="B576" s="0" t="s">
        <v>7070</v>
      </c>
      <c r="C576" s="0" t="s">
        <v>7088</v>
      </c>
      <c r="D576" s="0" t="s">
        <v>6789</v>
      </c>
      <c r="E576" s="5" t="s">
        <v>76</v>
      </c>
      <c r="F576" s="0" t="s">
        <v>119</v>
      </c>
      <c r="G576" s="0" t="s">
        <v>1909</v>
      </c>
      <c r="H576" s="0" t="s">
        <v>5519</v>
      </c>
      <c r="I576" s="5" t="s">
        <v>7089</v>
      </c>
      <c r="K576" s="0" t="s">
        <v>35</v>
      </c>
      <c r="L576" s="0" t="s">
        <v>7086</v>
      </c>
    </row>
    <row r="577" customFormat="false" ht="17.15" hidden="false" customHeight="false" outlineLevel="0" collapsed="false">
      <c r="A577" s="0" t="s">
        <v>7090</v>
      </c>
      <c r="B577" s="0" t="s">
        <v>7091</v>
      </c>
      <c r="C577" s="0" t="s">
        <v>7092</v>
      </c>
      <c r="D577" s="0" t="s">
        <v>7093</v>
      </c>
      <c r="E577" s="5" t="s">
        <v>76</v>
      </c>
      <c r="F577" s="0" t="s">
        <v>7094</v>
      </c>
      <c r="G577" s="0" t="s">
        <v>1909</v>
      </c>
      <c r="H577" s="0" t="s">
        <v>5454</v>
      </c>
      <c r="I577" s="0" t="s">
        <v>7095</v>
      </c>
      <c r="K577" s="0" t="s">
        <v>35</v>
      </c>
      <c r="L577" s="0" t="s">
        <v>7096</v>
      </c>
    </row>
    <row r="578" customFormat="false" ht="17.15" hidden="false" customHeight="false" outlineLevel="0" collapsed="false">
      <c r="A578" s="0" t="s">
        <v>7097</v>
      </c>
      <c r="B578" s="0" t="s">
        <v>7091</v>
      </c>
      <c r="C578" s="0" t="s">
        <v>7098</v>
      </c>
      <c r="D578" s="0" t="s">
        <v>5017</v>
      </c>
      <c r="E578" s="5" t="s">
        <v>76</v>
      </c>
      <c r="F578" s="0" t="s">
        <v>7099</v>
      </c>
      <c r="G578" s="0" t="s">
        <v>1909</v>
      </c>
      <c r="H578" s="0" t="s">
        <v>5454</v>
      </c>
      <c r="I578" s="5" t="s">
        <v>7100</v>
      </c>
      <c r="K578" s="0" t="s">
        <v>35</v>
      </c>
      <c r="L578" s="0" t="s">
        <v>7101</v>
      </c>
    </row>
    <row r="579" customFormat="false" ht="17.15" hidden="false" customHeight="false" outlineLevel="0" collapsed="false">
      <c r="A579" s="0" t="s">
        <v>7102</v>
      </c>
      <c r="B579" s="0" t="s">
        <v>7091</v>
      </c>
      <c r="C579" s="0" t="s">
        <v>7103</v>
      </c>
      <c r="D579" s="0" t="s">
        <v>6563</v>
      </c>
      <c r="E579" s="5" t="s">
        <v>76</v>
      </c>
      <c r="F579" s="0" t="s">
        <v>7099</v>
      </c>
      <c r="G579" s="0" t="s">
        <v>1909</v>
      </c>
      <c r="H579" s="0" t="s">
        <v>5454</v>
      </c>
      <c r="I579" s="0" t="s">
        <v>7104</v>
      </c>
      <c r="K579" s="0" t="s">
        <v>35</v>
      </c>
      <c r="L579" s="0" t="s">
        <v>7101</v>
      </c>
    </row>
    <row r="580" customFormat="false" ht="17.15" hidden="false" customHeight="false" outlineLevel="0" collapsed="false">
      <c r="A580" s="0" t="s">
        <v>7105</v>
      </c>
      <c r="B580" s="0" t="s">
        <v>5740</v>
      </c>
      <c r="C580" s="0" t="s">
        <v>7106</v>
      </c>
      <c r="D580" s="0" t="s">
        <v>4771</v>
      </c>
      <c r="E580" s="0" t="s">
        <v>111</v>
      </c>
      <c r="F580" s="0" t="s">
        <v>2334</v>
      </c>
      <c r="G580" s="0" t="s">
        <v>1909</v>
      </c>
      <c r="H580" s="0" t="s">
        <v>5454</v>
      </c>
      <c r="I580" s="0" t="s">
        <v>7107</v>
      </c>
      <c r="K580" s="0" t="s">
        <v>35</v>
      </c>
      <c r="L580" s="0" t="s">
        <v>7108</v>
      </c>
    </row>
    <row r="581" customFormat="false" ht="17.15" hidden="false" customHeight="false" outlineLevel="0" collapsed="false">
      <c r="A581" s="0" t="s">
        <v>7109</v>
      </c>
      <c r="B581" s="0" t="s">
        <v>7110</v>
      </c>
      <c r="C581" s="0" t="s">
        <v>7111</v>
      </c>
      <c r="D581" s="0" t="s">
        <v>7112</v>
      </c>
      <c r="E581" s="5" t="s">
        <v>76</v>
      </c>
      <c r="F581" s="0" t="s">
        <v>7113</v>
      </c>
      <c r="G581" s="0" t="s">
        <v>1855</v>
      </c>
      <c r="H581" s="0" t="s">
        <v>5454</v>
      </c>
      <c r="I581" s="0" t="s">
        <v>7114</v>
      </c>
      <c r="K581" s="0" t="s">
        <v>35</v>
      </c>
      <c r="L581" s="0" t="s">
        <v>7115</v>
      </c>
    </row>
    <row r="582" customFormat="false" ht="17.15" hidden="false" customHeight="false" outlineLevel="0" collapsed="false">
      <c r="A582" s="0" t="s">
        <v>7116</v>
      </c>
      <c r="B582" s="0" t="s">
        <v>7110</v>
      </c>
      <c r="C582" s="0" t="s">
        <v>7117</v>
      </c>
      <c r="D582" s="0" t="s">
        <v>5989</v>
      </c>
      <c r="E582" s="0" t="s">
        <v>111</v>
      </c>
      <c r="F582" s="0" t="s">
        <v>7118</v>
      </c>
      <c r="G582" s="0" t="s">
        <v>1909</v>
      </c>
      <c r="H582" s="0" t="s">
        <v>5454</v>
      </c>
      <c r="I582" s="0" t="s">
        <v>7119</v>
      </c>
      <c r="K582" s="0" t="s">
        <v>35</v>
      </c>
      <c r="L582" s="0" t="s">
        <v>7120</v>
      </c>
    </row>
    <row r="583" customFormat="false" ht="17.15" hidden="false" customHeight="false" outlineLevel="0" collapsed="false">
      <c r="A583" s="0" t="s">
        <v>7121</v>
      </c>
      <c r="B583" s="0" t="s">
        <v>5740</v>
      </c>
      <c r="C583" s="0" t="s">
        <v>7122</v>
      </c>
      <c r="D583" s="0" t="s">
        <v>112</v>
      </c>
      <c r="E583" s="5" t="s">
        <v>76</v>
      </c>
      <c r="G583" s="0" t="s">
        <v>4476</v>
      </c>
      <c r="H583" s="0" t="s">
        <v>5502</v>
      </c>
      <c r="I583" s="5" t="s">
        <v>7123</v>
      </c>
      <c r="K583" s="0" t="s">
        <v>35</v>
      </c>
      <c r="L583" s="0" t="s">
        <v>7124</v>
      </c>
    </row>
    <row r="584" customFormat="false" ht="17.15" hidden="false" customHeight="false" outlineLevel="0" collapsed="false">
      <c r="A584" s="0" t="s">
        <v>7125</v>
      </c>
      <c r="B584" s="0" t="s">
        <v>7126</v>
      </c>
      <c r="C584" s="0" t="s">
        <v>7127</v>
      </c>
      <c r="D584" s="0" t="s">
        <v>7128</v>
      </c>
      <c r="E584" s="5" t="s">
        <v>76</v>
      </c>
      <c r="F584" s="0" t="s">
        <v>2329</v>
      </c>
      <c r="G584" s="0" t="s">
        <v>1909</v>
      </c>
      <c r="H584" s="0" t="s">
        <v>5486</v>
      </c>
      <c r="I584" s="5" t="s">
        <v>7129</v>
      </c>
      <c r="K584" s="0" t="s">
        <v>35</v>
      </c>
      <c r="L584" s="0" t="s">
        <v>7130</v>
      </c>
    </row>
    <row r="585" customFormat="false" ht="17.15" hidden="false" customHeight="false" outlineLevel="0" collapsed="false">
      <c r="A585" s="0" t="s">
        <v>7131</v>
      </c>
      <c r="B585" s="0" t="s">
        <v>7126</v>
      </c>
      <c r="C585" s="0" t="s">
        <v>7132</v>
      </c>
      <c r="D585" s="0" t="s">
        <v>4711</v>
      </c>
      <c r="E585" s="5" t="s">
        <v>76</v>
      </c>
      <c r="F585" s="0" t="s">
        <v>6314</v>
      </c>
      <c r="G585" s="0" t="s">
        <v>1909</v>
      </c>
      <c r="H585" s="0" t="s">
        <v>5454</v>
      </c>
      <c r="I585" s="0" t="s">
        <v>7133</v>
      </c>
      <c r="K585" s="0" t="s">
        <v>35</v>
      </c>
      <c r="L585" s="0" t="s">
        <v>7134</v>
      </c>
    </row>
    <row r="586" customFormat="false" ht="17.15" hidden="false" customHeight="false" outlineLevel="0" collapsed="false">
      <c r="A586" s="0" t="s">
        <v>7135</v>
      </c>
      <c r="B586" s="0" t="s">
        <v>7136</v>
      </c>
      <c r="C586" s="0" t="s">
        <v>7137</v>
      </c>
      <c r="D586" s="0" t="s">
        <v>7138</v>
      </c>
      <c r="E586" s="0" t="s">
        <v>111</v>
      </c>
      <c r="G586" s="0" t="s">
        <v>1909</v>
      </c>
      <c r="H586" s="0" t="s">
        <v>5486</v>
      </c>
      <c r="I586" s="5" t="s">
        <v>7139</v>
      </c>
      <c r="K586" s="0" t="s">
        <v>35</v>
      </c>
      <c r="L586" s="0" t="s">
        <v>7140</v>
      </c>
    </row>
    <row r="587" customFormat="false" ht="17.15" hidden="false" customHeight="false" outlineLevel="0" collapsed="false">
      <c r="A587" s="0" t="s">
        <v>7141</v>
      </c>
      <c r="B587" s="0" t="s">
        <v>7126</v>
      </c>
      <c r="C587" s="0" t="s">
        <v>7142</v>
      </c>
      <c r="D587" s="0" t="s">
        <v>6546</v>
      </c>
      <c r="E587" s="0" t="s">
        <v>111</v>
      </c>
      <c r="F587" s="0" t="s">
        <v>4448</v>
      </c>
      <c r="G587" s="0" t="s">
        <v>1855</v>
      </c>
      <c r="H587" s="0" t="s">
        <v>5480</v>
      </c>
      <c r="I587" s="5" t="s">
        <v>7143</v>
      </c>
      <c r="K587" s="0" t="s">
        <v>35</v>
      </c>
      <c r="L587" s="0" t="s">
        <v>7144</v>
      </c>
    </row>
    <row r="588" customFormat="false" ht="17.15" hidden="false" customHeight="false" outlineLevel="0" collapsed="false">
      <c r="A588" s="0" t="s">
        <v>7145</v>
      </c>
      <c r="B588" s="0" t="s">
        <v>7126</v>
      </c>
      <c r="C588" s="0" t="s">
        <v>7146</v>
      </c>
      <c r="D588" s="0" t="s">
        <v>7147</v>
      </c>
      <c r="E588" s="0" t="s">
        <v>111</v>
      </c>
      <c r="F588" s="0" t="s">
        <v>4448</v>
      </c>
      <c r="G588" s="0" t="s">
        <v>1855</v>
      </c>
      <c r="H588" s="0" t="s">
        <v>5486</v>
      </c>
      <c r="I588" s="0" t="s">
        <v>7148</v>
      </c>
      <c r="K588" s="0" t="s">
        <v>35</v>
      </c>
      <c r="L588" s="0" t="s">
        <v>7144</v>
      </c>
    </row>
    <row r="589" customFormat="false" ht="17.15" hidden="false" customHeight="false" outlineLevel="0" collapsed="false">
      <c r="A589" s="0" t="s">
        <v>7149</v>
      </c>
      <c r="B589" s="0" t="s">
        <v>7126</v>
      </c>
      <c r="C589" s="0" t="s">
        <v>7150</v>
      </c>
      <c r="D589" s="0" t="s">
        <v>112</v>
      </c>
      <c r="E589" s="5" t="s">
        <v>76</v>
      </c>
      <c r="G589" s="0" t="s">
        <v>1909</v>
      </c>
      <c r="H589" s="0" t="s">
        <v>5502</v>
      </c>
      <c r="I589" s="5" t="s">
        <v>7151</v>
      </c>
      <c r="K589" s="0" t="s">
        <v>35</v>
      </c>
      <c r="L589" s="0" t="s">
        <v>7152</v>
      </c>
    </row>
    <row r="590" customFormat="false" ht="17.15" hidden="false" customHeight="false" outlineLevel="0" collapsed="false">
      <c r="A590" s="0" t="s">
        <v>7153</v>
      </c>
      <c r="B590" s="0" t="s">
        <v>7154</v>
      </c>
      <c r="C590" s="0" t="s">
        <v>7155</v>
      </c>
      <c r="D590" s="0" t="s">
        <v>112</v>
      </c>
      <c r="E590" s="5" t="s">
        <v>76</v>
      </c>
      <c r="F590" s="0" t="s">
        <v>7156</v>
      </c>
      <c r="G590" s="0" t="s">
        <v>1855</v>
      </c>
      <c r="H590" s="0" t="s">
        <v>5454</v>
      </c>
      <c r="I590" s="5" t="s">
        <v>7157</v>
      </c>
      <c r="K590" s="0" t="s">
        <v>35</v>
      </c>
      <c r="L590" s="0" t="s">
        <v>7158</v>
      </c>
    </row>
    <row r="591" customFormat="false" ht="17.15" hidden="false" customHeight="false" outlineLevel="0" collapsed="false">
      <c r="A591" s="0" t="s">
        <v>7159</v>
      </c>
      <c r="B591" s="0" t="s">
        <v>7160</v>
      </c>
      <c r="C591" s="0" t="s">
        <v>7161</v>
      </c>
      <c r="D591" s="0" t="s">
        <v>7162</v>
      </c>
      <c r="E591" s="5" t="s">
        <v>76</v>
      </c>
      <c r="F591" s="0" t="s">
        <v>6756</v>
      </c>
      <c r="G591" s="0" t="s">
        <v>1855</v>
      </c>
      <c r="H591" s="0" t="s">
        <v>5486</v>
      </c>
      <c r="I591" s="0" t="s">
        <v>7163</v>
      </c>
      <c r="K591" s="0" t="s">
        <v>35</v>
      </c>
      <c r="L591" s="0" t="s">
        <v>7164</v>
      </c>
    </row>
    <row r="592" customFormat="false" ht="17.15" hidden="false" customHeight="false" outlineLevel="0" collapsed="false">
      <c r="A592" s="0" t="s">
        <v>7165</v>
      </c>
      <c r="B592" s="0" t="s">
        <v>7160</v>
      </c>
      <c r="C592" s="0" t="s">
        <v>7166</v>
      </c>
      <c r="D592" s="0" t="s">
        <v>7167</v>
      </c>
      <c r="E592" s="5" t="s">
        <v>76</v>
      </c>
      <c r="F592" s="0" t="s">
        <v>6314</v>
      </c>
      <c r="G592" s="0" t="s">
        <v>1855</v>
      </c>
      <c r="H592" s="0" t="s">
        <v>5486</v>
      </c>
      <c r="I592" s="0" t="s">
        <v>7168</v>
      </c>
      <c r="K592" s="0" t="s">
        <v>35</v>
      </c>
      <c r="L592" s="0" t="s">
        <v>7169</v>
      </c>
    </row>
    <row r="593" customFormat="false" ht="17.15" hidden="false" customHeight="false" outlineLevel="0" collapsed="false">
      <c r="A593" s="0" t="s">
        <v>7170</v>
      </c>
      <c r="B593" s="0" t="s">
        <v>7171</v>
      </c>
      <c r="C593" s="0" t="s">
        <v>7172</v>
      </c>
      <c r="D593" s="0" t="s">
        <v>7173</v>
      </c>
      <c r="E593" s="0" t="s">
        <v>111</v>
      </c>
      <c r="F593" s="0" t="s">
        <v>4262</v>
      </c>
      <c r="G593" s="0" t="s">
        <v>1909</v>
      </c>
      <c r="H593" s="0" t="s">
        <v>5502</v>
      </c>
      <c r="I593" s="0" t="s">
        <v>7174</v>
      </c>
      <c r="K593" s="0" t="s">
        <v>35</v>
      </c>
      <c r="L593" s="0" t="s">
        <v>7175</v>
      </c>
    </row>
    <row r="594" customFormat="false" ht="17.15" hidden="false" customHeight="false" outlineLevel="0" collapsed="false">
      <c r="A594" s="0" t="s">
        <v>7176</v>
      </c>
      <c r="B594" s="0" t="s">
        <v>7177</v>
      </c>
      <c r="C594" s="0" t="s">
        <v>7178</v>
      </c>
      <c r="D594" s="0" t="s">
        <v>7179</v>
      </c>
      <c r="E594" s="0" t="s">
        <v>111</v>
      </c>
      <c r="F594" s="0" t="s">
        <v>7180</v>
      </c>
      <c r="G594" s="0" t="s">
        <v>1855</v>
      </c>
      <c r="H594" s="0" t="s">
        <v>5486</v>
      </c>
      <c r="I594" s="0" t="s">
        <v>7181</v>
      </c>
      <c r="K594" s="0" t="s">
        <v>35</v>
      </c>
      <c r="L594" s="0" t="s">
        <v>7182</v>
      </c>
    </row>
    <row r="595" customFormat="false" ht="17.15" hidden="false" customHeight="false" outlineLevel="0" collapsed="false">
      <c r="A595" s="0" t="s">
        <v>7183</v>
      </c>
      <c r="B595" s="0" t="s">
        <v>7171</v>
      </c>
      <c r="C595" s="0" t="s">
        <v>7184</v>
      </c>
      <c r="D595" s="0" t="s">
        <v>5791</v>
      </c>
      <c r="E595" s="0" t="s">
        <v>111</v>
      </c>
      <c r="F595" s="0" t="s">
        <v>7180</v>
      </c>
      <c r="G595" s="0" t="s">
        <v>1855</v>
      </c>
      <c r="H595" s="0" t="s">
        <v>5486</v>
      </c>
      <c r="I595" s="0" t="s">
        <v>7185</v>
      </c>
      <c r="K595" s="0" t="s">
        <v>35</v>
      </c>
      <c r="L595" s="0" t="s">
        <v>7182</v>
      </c>
    </row>
    <row r="596" customFormat="false" ht="17.15" hidden="false" customHeight="false" outlineLevel="0" collapsed="false">
      <c r="A596" s="0" t="s">
        <v>7186</v>
      </c>
      <c r="B596" s="0" t="s">
        <v>7187</v>
      </c>
      <c r="C596" s="0" t="s">
        <v>7188</v>
      </c>
      <c r="D596" s="0" t="s">
        <v>7189</v>
      </c>
      <c r="E596" s="5" t="s">
        <v>76</v>
      </c>
      <c r="F596" s="0" t="s">
        <v>6280</v>
      </c>
      <c r="G596" s="0" t="s">
        <v>1855</v>
      </c>
      <c r="H596" s="0" t="s">
        <v>5454</v>
      </c>
      <c r="I596" s="0" t="s">
        <v>7190</v>
      </c>
      <c r="K596" s="0" t="s">
        <v>35</v>
      </c>
      <c r="L596" s="0" t="s">
        <v>7191</v>
      </c>
    </row>
    <row r="597" customFormat="false" ht="17.15" hidden="false" customHeight="false" outlineLevel="0" collapsed="false">
      <c r="A597" s="0" t="s">
        <v>7192</v>
      </c>
      <c r="B597" s="0" t="s">
        <v>7187</v>
      </c>
      <c r="C597" s="0" t="s">
        <v>7193</v>
      </c>
      <c r="D597" s="0" t="s">
        <v>112</v>
      </c>
      <c r="E597" s="5" t="s">
        <v>76</v>
      </c>
      <c r="F597" s="0" t="s">
        <v>5461</v>
      </c>
      <c r="G597" s="0" t="s">
        <v>1909</v>
      </c>
      <c r="H597" s="0" t="s">
        <v>5519</v>
      </c>
      <c r="I597" s="5" t="s">
        <v>7194</v>
      </c>
      <c r="K597" s="0" t="s">
        <v>35</v>
      </c>
      <c r="L597" s="0" t="s">
        <v>7195</v>
      </c>
    </row>
    <row r="598" customFormat="false" ht="17.15" hidden="false" customHeight="false" outlineLevel="0" collapsed="false">
      <c r="A598" s="0" t="s">
        <v>7196</v>
      </c>
      <c r="B598" s="0" t="s">
        <v>7160</v>
      </c>
      <c r="C598" s="0" t="s">
        <v>7197</v>
      </c>
      <c r="D598" s="0" t="s">
        <v>7198</v>
      </c>
      <c r="E598" s="0" t="s">
        <v>111</v>
      </c>
      <c r="F598" s="0" t="s">
        <v>5719</v>
      </c>
      <c r="G598" s="0" t="s">
        <v>1909</v>
      </c>
      <c r="H598" s="0" t="s">
        <v>5519</v>
      </c>
      <c r="I598" s="0" t="s">
        <v>7199</v>
      </c>
      <c r="K598" s="0" t="s">
        <v>35</v>
      </c>
      <c r="L598" s="0" t="s">
        <v>7200</v>
      </c>
    </row>
    <row r="599" customFormat="false" ht="17.15" hidden="false" customHeight="false" outlineLevel="0" collapsed="false">
      <c r="A599" s="0" t="s">
        <v>7201</v>
      </c>
      <c r="B599" s="0" t="s">
        <v>7160</v>
      </c>
      <c r="C599" s="0" t="s">
        <v>7202</v>
      </c>
      <c r="D599" s="0" t="s">
        <v>7203</v>
      </c>
      <c r="E599" s="5" t="s">
        <v>76</v>
      </c>
      <c r="F599" s="0" t="s">
        <v>6185</v>
      </c>
      <c r="G599" s="0" t="s">
        <v>1855</v>
      </c>
      <c r="H599" s="0" t="s">
        <v>5486</v>
      </c>
      <c r="I599" s="0" t="s">
        <v>7204</v>
      </c>
      <c r="K599" s="0" t="s">
        <v>35</v>
      </c>
      <c r="L599" s="0" t="s">
        <v>7205</v>
      </c>
    </row>
    <row r="600" customFormat="false" ht="17.15" hidden="false" customHeight="false" outlineLevel="0" collapsed="false">
      <c r="A600" s="0" t="s">
        <v>7206</v>
      </c>
      <c r="B600" s="0" t="s">
        <v>7160</v>
      </c>
      <c r="C600" s="0" t="s">
        <v>7207</v>
      </c>
      <c r="D600" s="0" t="s">
        <v>7208</v>
      </c>
      <c r="E600" s="5" t="s">
        <v>76</v>
      </c>
      <c r="F600" s="0" t="s">
        <v>7209</v>
      </c>
      <c r="G600" s="0" t="s">
        <v>1866</v>
      </c>
      <c r="H600" s="0" t="s">
        <v>5454</v>
      </c>
      <c r="I600" s="0" t="s">
        <v>7210</v>
      </c>
      <c r="K600" s="0" t="s">
        <v>35</v>
      </c>
      <c r="L600" s="0" t="s">
        <v>7211</v>
      </c>
    </row>
    <row r="601" customFormat="false" ht="17.15" hidden="false" customHeight="false" outlineLevel="0" collapsed="false">
      <c r="A601" s="0" t="s">
        <v>7212</v>
      </c>
      <c r="B601" s="0" t="s">
        <v>7160</v>
      </c>
      <c r="C601" s="0" t="s">
        <v>7213</v>
      </c>
      <c r="D601" s="0" t="s">
        <v>4771</v>
      </c>
      <c r="E601" s="5" t="s">
        <v>76</v>
      </c>
      <c r="F601" s="0" t="s">
        <v>6185</v>
      </c>
      <c r="G601" s="0" t="s">
        <v>1909</v>
      </c>
      <c r="H601" s="0" t="s">
        <v>5502</v>
      </c>
      <c r="I601" s="5" t="s">
        <v>7214</v>
      </c>
      <c r="K601" s="0" t="s">
        <v>35</v>
      </c>
      <c r="L601" s="0" t="s">
        <v>7205</v>
      </c>
    </row>
    <row r="602" customFormat="false" ht="17.15" hidden="false" customHeight="false" outlineLevel="0" collapsed="false">
      <c r="A602" s="0" t="s">
        <v>7215</v>
      </c>
      <c r="B602" s="0" t="s">
        <v>7216</v>
      </c>
      <c r="C602" s="0" t="s">
        <v>7217</v>
      </c>
      <c r="D602" s="0" t="s">
        <v>5957</v>
      </c>
      <c r="E602" s="5" t="s">
        <v>76</v>
      </c>
      <c r="F602" s="0" t="s">
        <v>6314</v>
      </c>
      <c r="G602" s="0" t="s">
        <v>1909</v>
      </c>
      <c r="H602" s="0" t="s">
        <v>5502</v>
      </c>
      <c r="I602" s="0" t="s">
        <v>7218</v>
      </c>
      <c r="K602" s="0" t="s">
        <v>35</v>
      </c>
      <c r="L602" s="0" t="s">
        <v>7169</v>
      </c>
    </row>
    <row r="603" customFormat="false" ht="17.15" hidden="false" customHeight="false" outlineLevel="0" collapsed="false">
      <c r="A603" s="0" t="s">
        <v>7219</v>
      </c>
      <c r="B603" s="0" t="s">
        <v>7216</v>
      </c>
      <c r="C603" s="0" t="s">
        <v>7220</v>
      </c>
      <c r="D603" s="0" t="s">
        <v>112</v>
      </c>
      <c r="E603" s="5" t="s">
        <v>76</v>
      </c>
      <c r="F603" s="0" t="s">
        <v>7221</v>
      </c>
      <c r="G603" s="0" t="s">
        <v>1909</v>
      </c>
      <c r="H603" s="0" t="s">
        <v>5454</v>
      </c>
      <c r="I603" s="5" t="s">
        <v>7222</v>
      </c>
      <c r="K603" s="0" t="s">
        <v>35</v>
      </c>
      <c r="L603" s="0" t="s">
        <v>7223</v>
      </c>
    </row>
    <row r="604" customFormat="false" ht="17.15" hidden="false" customHeight="false" outlineLevel="0" collapsed="false">
      <c r="A604" s="0" t="s">
        <v>7224</v>
      </c>
      <c r="B604" s="0" t="s">
        <v>7216</v>
      </c>
      <c r="C604" s="0" t="s">
        <v>7225</v>
      </c>
      <c r="D604" s="0" t="s">
        <v>5791</v>
      </c>
      <c r="E604" s="5" t="s">
        <v>76</v>
      </c>
      <c r="F604" s="0" t="s">
        <v>5507</v>
      </c>
      <c r="G604" s="0" t="s">
        <v>1909</v>
      </c>
      <c r="H604" s="0" t="s">
        <v>5454</v>
      </c>
      <c r="I604" s="0" t="s">
        <v>7226</v>
      </c>
      <c r="K604" s="0" t="s">
        <v>35</v>
      </c>
      <c r="L604" s="0" t="s">
        <v>7227</v>
      </c>
    </row>
    <row r="605" customFormat="false" ht="17.15" hidden="false" customHeight="false" outlineLevel="0" collapsed="false">
      <c r="A605" s="0" t="s">
        <v>7228</v>
      </c>
      <c r="B605" s="0" t="s">
        <v>7216</v>
      </c>
      <c r="C605" s="0" t="s">
        <v>7229</v>
      </c>
      <c r="D605" s="0" t="s">
        <v>5731</v>
      </c>
      <c r="E605" s="5" t="s">
        <v>76</v>
      </c>
      <c r="F605" s="0" t="s">
        <v>5507</v>
      </c>
      <c r="G605" s="0" t="s">
        <v>1909</v>
      </c>
      <c r="H605" s="0" t="s">
        <v>5454</v>
      </c>
      <c r="I605" s="0" t="s">
        <v>7230</v>
      </c>
      <c r="K605" s="0" t="s">
        <v>35</v>
      </c>
      <c r="L605" s="0" t="s">
        <v>7227</v>
      </c>
    </row>
    <row r="606" customFormat="false" ht="17.15" hidden="false" customHeight="false" outlineLevel="0" collapsed="false">
      <c r="A606" s="0" t="s">
        <v>7231</v>
      </c>
      <c r="B606" s="0" t="s">
        <v>7232</v>
      </c>
      <c r="C606" s="0" t="s">
        <v>7233</v>
      </c>
      <c r="D606" s="0" t="s">
        <v>112</v>
      </c>
      <c r="E606" s="5" t="s">
        <v>76</v>
      </c>
      <c r="F606" s="0" t="s">
        <v>7234</v>
      </c>
      <c r="G606" s="0" t="s">
        <v>1909</v>
      </c>
      <c r="H606" s="0" t="s">
        <v>5502</v>
      </c>
      <c r="I606" s="5" t="s">
        <v>7235</v>
      </c>
      <c r="K606" s="0" t="s">
        <v>35</v>
      </c>
      <c r="L606" s="0" t="s">
        <v>7236</v>
      </c>
    </row>
    <row r="607" customFormat="false" ht="17.15" hidden="false" customHeight="false" outlineLevel="0" collapsed="false">
      <c r="A607" s="0" t="s">
        <v>7237</v>
      </c>
      <c r="B607" s="0" t="s">
        <v>7232</v>
      </c>
      <c r="C607" s="0" t="s">
        <v>7238</v>
      </c>
      <c r="D607" s="0" t="s">
        <v>7239</v>
      </c>
      <c r="E607" s="5" t="s">
        <v>76</v>
      </c>
      <c r="F607" s="0" t="s">
        <v>7240</v>
      </c>
      <c r="G607" s="0" t="s">
        <v>1909</v>
      </c>
      <c r="H607" s="0" t="s">
        <v>5502</v>
      </c>
      <c r="I607" s="5" t="s">
        <v>7241</v>
      </c>
      <c r="K607" s="0" t="s">
        <v>35</v>
      </c>
      <c r="L607" s="0" t="s">
        <v>7242</v>
      </c>
    </row>
    <row r="608" customFormat="false" ht="17.15" hidden="false" customHeight="false" outlineLevel="0" collapsed="false">
      <c r="A608" s="0" t="s">
        <v>7243</v>
      </c>
      <c r="B608" s="0" t="s">
        <v>7232</v>
      </c>
      <c r="C608" s="0" t="s">
        <v>7244</v>
      </c>
      <c r="D608" s="0" t="s">
        <v>6218</v>
      </c>
      <c r="E608" s="5" t="s">
        <v>76</v>
      </c>
      <c r="F608" s="0" t="s">
        <v>7240</v>
      </c>
      <c r="G608" s="0" t="s">
        <v>1909</v>
      </c>
      <c r="H608" s="0" t="s">
        <v>5502</v>
      </c>
      <c r="I608" s="0" t="s">
        <v>7245</v>
      </c>
      <c r="K608" s="0" t="s">
        <v>35</v>
      </c>
      <c r="L608" s="0" t="s">
        <v>7242</v>
      </c>
    </row>
    <row r="609" customFormat="false" ht="17.15" hidden="false" customHeight="false" outlineLevel="0" collapsed="false">
      <c r="A609" s="0" t="s">
        <v>7246</v>
      </c>
      <c r="B609" s="0" t="s">
        <v>7232</v>
      </c>
      <c r="C609" s="0" t="s">
        <v>7247</v>
      </c>
      <c r="D609" s="0" t="s">
        <v>5496</v>
      </c>
      <c r="E609" s="5" t="s">
        <v>76</v>
      </c>
      <c r="F609" s="0" t="s">
        <v>7248</v>
      </c>
      <c r="G609" s="0" t="s">
        <v>1909</v>
      </c>
      <c r="H609" s="0" t="s">
        <v>5486</v>
      </c>
      <c r="I609" s="5" t="s">
        <v>7249</v>
      </c>
      <c r="K609" s="0" t="s">
        <v>35</v>
      </c>
      <c r="L609" s="0" t="s">
        <v>7250</v>
      </c>
    </row>
    <row r="610" customFormat="false" ht="17.15" hidden="false" customHeight="false" outlineLevel="0" collapsed="false">
      <c r="A610" s="0" t="s">
        <v>7251</v>
      </c>
      <c r="B610" s="0" t="s">
        <v>7232</v>
      </c>
      <c r="C610" s="0" t="s">
        <v>7252</v>
      </c>
      <c r="D610" s="0" t="s">
        <v>7253</v>
      </c>
      <c r="E610" s="5" t="s">
        <v>76</v>
      </c>
      <c r="F610" s="0" t="s">
        <v>7234</v>
      </c>
      <c r="G610" s="0" t="s">
        <v>1909</v>
      </c>
      <c r="H610" s="0" t="s">
        <v>5454</v>
      </c>
      <c r="I610" s="0" t="s">
        <v>7254</v>
      </c>
      <c r="K610" s="0" t="s">
        <v>35</v>
      </c>
      <c r="L610" s="0" t="s">
        <v>7236</v>
      </c>
    </row>
    <row r="611" customFormat="false" ht="17.15" hidden="false" customHeight="false" outlineLevel="0" collapsed="false">
      <c r="A611" s="0" t="s">
        <v>7255</v>
      </c>
      <c r="B611" s="0" t="s">
        <v>7232</v>
      </c>
      <c r="C611" s="0" t="s">
        <v>7256</v>
      </c>
      <c r="D611" s="0" t="s">
        <v>7257</v>
      </c>
      <c r="E611" s="5" t="s">
        <v>76</v>
      </c>
      <c r="F611" s="0" t="s">
        <v>7258</v>
      </c>
      <c r="G611" s="0" t="s">
        <v>1855</v>
      </c>
      <c r="H611" s="0" t="s">
        <v>5497</v>
      </c>
      <c r="I611" s="5" t="s">
        <v>5707</v>
      </c>
      <c r="K611" s="0" t="s">
        <v>35</v>
      </c>
      <c r="L611" s="0" t="s">
        <v>7259</v>
      </c>
    </row>
    <row r="612" customFormat="false" ht="17.15" hidden="false" customHeight="false" outlineLevel="0" collapsed="false">
      <c r="A612" s="0" t="s">
        <v>7260</v>
      </c>
      <c r="B612" s="0" t="s">
        <v>7261</v>
      </c>
      <c r="C612" s="0" t="s">
        <v>7262</v>
      </c>
      <c r="D612" s="0" t="s">
        <v>7263</v>
      </c>
      <c r="E612" s="0" t="s">
        <v>111</v>
      </c>
      <c r="F612" s="0" t="s">
        <v>4662</v>
      </c>
      <c r="G612" s="0" t="s">
        <v>1909</v>
      </c>
      <c r="H612" s="0" t="s">
        <v>5486</v>
      </c>
      <c r="I612" s="0" t="s">
        <v>7264</v>
      </c>
      <c r="K612" s="0" t="s">
        <v>35</v>
      </c>
      <c r="L612" s="0" t="s">
        <v>7265</v>
      </c>
    </row>
    <row r="613" customFormat="false" ht="17.15" hidden="false" customHeight="false" outlineLevel="0" collapsed="false">
      <c r="A613" s="0" t="s">
        <v>7266</v>
      </c>
      <c r="B613" s="0" t="s">
        <v>7261</v>
      </c>
      <c r="C613" s="0" t="s">
        <v>7267</v>
      </c>
      <c r="D613" s="0" t="s">
        <v>6218</v>
      </c>
      <c r="E613" s="5" t="s">
        <v>76</v>
      </c>
      <c r="F613" s="0" t="s">
        <v>4715</v>
      </c>
      <c r="G613" s="0" t="s">
        <v>1855</v>
      </c>
      <c r="H613" s="0" t="s">
        <v>5486</v>
      </c>
      <c r="I613" s="0" t="s">
        <v>7268</v>
      </c>
      <c r="K613" s="0" t="s">
        <v>35</v>
      </c>
      <c r="L613" s="0" t="s">
        <v>7269</v>
      </c>
    </row>
    <row r="614" customFormat="false" ht="17.15" hidden="false" customHeight="false" outlineLevel="0" collapsed="false">
      <c r="A614" s="0" t="s">
        <v>7270</v>
      </c>
      <c r="B614" s="0" t="s">
        <v>7261</v>
      </c>
      <c r="C614" s="0" t="s">
        <v>7271</v>
      </c>
      <c r="D614" s="0" t="s">
        <v>7272</v>
      </c>
      <c r="E614" s="5" t="s">
        <v>76</v>
      </c>
      <c r="F614" s="0" t="s">
        <v>4662</v>
      </c>
      <c r="G614" s="0" t="s">
        <v>1909</v>
      </c>
      <c r="H614" s="0" t="s">
        <v>5502</v>
      </c>
      <c r="I614" s="0" t="s">
        <v>7273</v>
      </c>
      <c r="K614" s="0" t="s">
        <v>35</v>
      </c>
      <c r="L614" s="0" t="s">
        <v>7265</v>
      </c>
    </row>
    <row r="615" customFormat="false" ht="17.15" hidden="false" customHeight="false" outlineLevel="0" collapsed="false">
      <c r="A615" s="0" t="s">
        <v>7274</v>
      </c>
      <c r="B615" s="0" t="s">
        <v>7275</v>
      </c>
      <c r="C615" s="0" t="s">
        <v>7276</v>
      </c>
      <c r="D615" s="0" t="s">
        <v>5017</v>
      </c>
      <c r="E615" s="0" t="s">
        <v>111</v>
      </c>
      <c r="F615" s="0" t="s">
        <v>2393</v>
      </c>
      <c r="G615" s="0" t="s">
        <v>1909</v>
      </c>
      <c r="H615" s="0" t="s">
        <v>5454</v>
      </c>
      <c r="I615" s="5" t="s">
        <v>7277</v>
      </c>
      <c r="K615" s="0" t="s">
        <v>35</v>
      </c>
      <c r="L615" s="0" t="s">
        <v>7278</v>
      </c>
    </row>
    <row r="616" customFormat="false" ht="17.15" hidden="false" customHeight="false" outlineLevel="0" collapsed="false">
      <c r="A616" s="0" t="s">
        <v>7279</v>
      </c>
      <c r="B616" s="0" t="s">
        <v>7275</v>
      </c>
      <c r="C616" s="0" t="s">
        <v>7280</v>
      </c>
      <c r="D616" s="0" t="s">
        <v>5460</v>
      </c>
      <c r="E616" s="5" t="s">
        <v>76</v>
      </c>
      <c r="F616" s="0" t="s">
        <v>2111</v>
      </c>
      <c r="G616" s="0" t="s">
        <v>1909</v>
      </c>
      <c r="H616" s="0" t="s">
        <v>5454</v>
      </c>
      <c r="I616" s="0" t="s">
        <v>7281</v>
      </c>
      <c r="K616" s="0" t="s">
        <v>35</v>
      </c>
      <c r="L616" s="0" t="s">
        <v>7282</v>
      </c>
    </row>
    <row r="617" customFormat="false" ht="17.15" hidden="false" customHeight="false" outlineLevel="0" collapsed="false">
      <c r="A617" s="0" t="s">
        <v>7283</v>
      </c>
      <c r="B617" s="0" t="s">
        <v>7284</v>
      </c>
      <c r="C617" s="0" t="s">
        <v>7285</v>
      </c>
      <c r="D617" s="0" t="s">
        <v>4518</v>
      </c>
      <c r="E617" s="5" t="s">
        <v>76</v>
      </c>
      <c r="F617" s="0" t="s">
        <v>7286</v>
      </c>
      <c r="G617" s="0" t="s">
        <v>1909</v>
      </c>
      <c r="H617" s="0" t="s">
        <v>5519</v>
      </c>
      <c r="I617" s="0" t="s">
        <v>7287</v>
      </c>
      <c r="K617" s="0" t="s">
        <v>35</v>
      </c>
      <c r="L617" s="0" t="s">
        <v>7288</v>
      </c>
    </row>
    <row r="618" customFormat="false" ht="17.15" hidden="false" customHeight="false" outlineLevel="0" collapsed="false">
      <c r="A618" s="0" t="s">
        <v>7289</v>
      </c>
      <c r="B618" s="0" t="s">
        <v>7284</v>
      </c>
      <c r="C618" s="0" t="s">
        <v>7290</v>
      </c>
      <c r="D618" s="0" t="s">
        <v>5777</v>
      </c>
      <c r="E618" s="5" t="s">
        <v>76</v>
      </c>
      <c r="F618" s="0" t="s">
        <v>5004</v>
      </c>
      <c r="G618" s="0" t="s">
        <v>1909</v>
      </c>
      <c r="H618" s="0" t="s">
        <v>5454</v>
      </c>
      <c r="I618" s="0" t="s">
        <v>7291</v>
      </c>
      <c r="K618" s="0" t="s">
        <v>35</v>
      </c>
      <c r="L618" s="0" t="s">
        <v>7292</v>
      </c>
    </row>
    <row r="619" customFormat="false" ht="17.15" hidden="false" customHeight="false" outlineLevel="0" collapsed="false">
      <c r="A619" s="0" t="s">
        <v>7293</v>
      </c>
      <c r="B619" s="0" t="s">
        <v>7294</v>
      </c>
      <c r="C619" s="0" t="s">
        <v>7295</v>
      </c>
      <c r="D619" s="0" t="s">
        <v>5460</v>
      </c>
      <c r="E619" s="5" t="s">
        <v>76</v>
      </c>
      <c r="F619" s="0" t="s">
        <v>5507</v>
      </c>
      <c r="G619" s="0" t="s">
        <v>1909</v>
      </c>
      <c r="H619" s="0" t="s">
        <v>5454</v>
      </c>
      <c r="I619" s="0" t="s">
        <v>7296</v>
      </c>
      <c r="K619" s="0" t="s">
        <v>35</v>
      </c>
      <c r="L619" s="0" t="s">
        <v>7297</v>
      </c>
    </row>
    <row r="620" customFormat="false" ht="17.15" hidden="false" customHeight="false" outlineLevel="0" collapsed="false">
      <c r="A620" s="0" t="s">
        <v>7298</v>
      </c>
      <c r="B620" s="0" t="s">
        <v>7294</v>
      </c>
      <c r="C620" s="0" t="s">
        <v>7299</v>
      </c>
      <c r="D620" s="0" t="s">
        <v>5017</v>
      </c>
      <c r="E620" s="5" t="s">
        <v>76</v>
      </c>
      <c r="F620" s="0" t="s">
        <v>4977</v>
      </c>
      <c r="G620" s="0" t="s">
        <v>1909</v>
      </c>
      <c r="H620" s="0" t="s">
        <v>5486</v>
      </c>
      <c r="I620" s="5" t="s">
        <v>7300</v>
      </c>
      <c r="K620" s="0" t="s">
        <v>35</v>
      </c>
      <c r="L620" s="0" t="s">
        <v>7301</v>
      </c>
    </row>
    <row r="621" customFormat="false" ht="17.15" hidden="false" customHeight="false" outlineLevel="0" collapsed="false">
      <c r="A621" s="0" t="s">
        <v>7302</v>
      </c>
      <c r="B621" s="0" t="s">
        <v>7294</v>
      </c>
      <c r="C621" s="0" t="s">
        <v>7303</v>
      </c>
      <c r="D621" s="0" t="s">
        <v>6799</v>
      </c>
      <c r="E621" s="0" t="s">
        <v>111</v>
      </c>
      <c r="F621" s="0" t="s">
        <v>4977</v>
      </c>
      <c r="G621" s="0" t="s">
        <v>1866</v>
      </c>
      <c r="H621" s="0" t="s">
        <v>5502</v>
      </c>
      <c r="I621" s="5" t="s">
        <v>7304</v>
      </c>
      <c r="K621" s="0" t="s">
        <v>35</v>
      </c>
      <c r="L621" s="0" t="s">
        <v>7305</v>
      </c>
    </row>
    <row r="622" customFormat="false" ht="17.15" hidden="false" customHeight="false" outlineLevel="0" collapsed="false">
      <c r="A622" s="0" t="s">
        <v>7306</v>
      </c>
      <c r="B622" s="0" t="s">
        <v>7307</v>
      </c>
      <c r="C622" s="0" t="s">
        <v>7308</v>
      </c>
      <c r="D622" s="0" t="s">
        <v>5777</v>
      </c>
      <c r="E622" s="5" t="s">
        <v>76</v>
      </c>
      <c r="F622" s="0" t="s">
        <v>5925</v>
      </c>
      <c r="G622" s="0" t="s">
        <v>1909</v>
      </c>
      <c r="H622" s="0" t="s">
        <v>5519</v>
      </c>
      <c r="I622" s="0" t="s">
        <v>7309</v>
      </c>
      <c r="K622" s="0" t="s">
        <v>35</v>
      </c>
      <c r="L622" s="0" t="s">
        <v>7310</v>
      </c>
    </row>
    <row r="623" customFormat="false" ht="17.15" hidden="false" customHeight="false" outlineLevel="0" collapsed="false">
      <c r="A623" s="0" t="s">
        <v>7311</v>
      </c>
      <c r="B623" s="0" t="s">
        <v>7307</v>
      </c>
      <c r="C623" s="0" t="s">
        <v>7312</v>
      </c>
      <c r="D623" s="0" t="s">
        <v>5460</v>
      </c>
      <c r="E623" s="5" t="s">
        <v>76</v>
      </c>
      <c r="F623" s="0" t="s">
        <v>7313</v>
      </c>
      <c r="G623" s="0" t="s">
        <v>1909</v>
      </c>
      <c r="H623" s="0" t="s">
        <v>5480</v>
      </c>
      <c r="I623" s="5" t="s">
        <v>7314</v>
      </c>
      <c r="K623" s="0" t="s">
        <v>35</v>
      </c>
      <c r="L623" s="0" t="s">
        <v>7315</v>
      </c>
    </row>
    <row r="624" customFormat="false" ht="17.15" hidden="false" customHeight="false" outlineLevel="0" collapsed="false">
      <c r="A624" s="0" t="s">
        <v>7316</v>
      </c>
      <c r="B624" s="0" t="s">
        <v>7317</v>
      </c>
      <c r="C624" s="0" t="s">
        <v>7318</v>
      </c>
      <c r="D624" s="0" t="s">
        <v>5865</v>
      </c>
      <c r="E624" s="0" t="s">
        <v>111</v>
      </c>
      <c r="F624" s="0" t="s">
        <v>7319</v>
      </c>
      <c r="G624" s="0" t="s">
        <v>1909</v>
      </c>
      <c r="H624" s="0" t="s">
        <v>5497</v>
      </c>
      <c r="I624" s="5" t="s">
        <v>5498</v>
      </c>
      <c r="K624" s="0" t="s">
        <v>35</v>
      </c>
      <c r="L624" s="0" t="s">
        <v>7320</v>
      </c>
    </row>
    <row r="625" customFormat="false" ht="17.15" hidden="false" customHeight="false" outlineLevel="0" collapsed="false">
      <c r="A625" s="0" t="s">
        <v>7321</v>
      </c>
      <c r="B625" s="0" t="s">
        <v>7317</v>
      </c>
      <c r="C625" s="0" t="s">
        <v>7322</v>
      </c>
      <c r="D625" s="0" t="s">
        <v>5952</v>
      </c>
      <c r="E625" s="0" t="s">
        <v>111</v>
      </c>
      <c r="F625" s="0" t="s">
        <v>7323</v>
      </c>
      <c r="G625" s="0" t="s">
        <v>1909</v>
      </c>
      <c r="H625" s="0" t="s">
        <v>5454</v>
      </c>
      <c r="I625" s="0" t="s">
        <v>7324</v>
      </c>
      <c r="K625" s="0" t="s">
        <v>35</v>
      </c>
      <c r="L625" s="0" t="s">
        <v>7325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  <col collapsed="false" customWidth="true" hidden="false" outlineLevel="0" max="3" min="3" style="0" width="80"/>
  </cols>
  <sheetData>
    <row r="1" customFormat="false" ht="17.15" hidden="false" customHeight="false" outlineLevel="0" collapsed="false">
      <c r="A1" s="0" t="s">
        <v>7326</v>
      </c>
    </row>
    <row r="3" customFormat="false" ht="17.15" hidden="false" customHeight="false" outlineLevel="0" collapsed="false">
      <c r="A3" s="6" t="s">
        <v>19</v>
      </c>
      <c r="B3" s="6" t="s">
        <v>7327</v>
      </c>
      <c r="C3" s="6" t="s">
        <v>20</v>
      </c>
    </row>
    <row r="4" customFormat="false" ht="17.15" hidden="false" customHeight="false" outlineLevel="0" collapsed="false">
      <c r="A4" s="0" t="s">
        <v>418</v>
      </c>
      <c r="B4" s="0" t="s">
        <v>35</v>
      </c>
      <c r="C4" s="5" t="s">
        <v>7328</v>
      </c>
    </row>
    <row r="5" customFormat="false" ht="17.15" hidden="false" customHeight="false" outlineLevel="0" collapsed="false">
      <c r="A5" s="0" t="s">
        <v>283</v>
      </c>
      <c r="B5" s="0" t="s">
        <v>7329</v>
      </c>
      <c r="C5" s="0" t="s">
        <v>7330</v>
      </c>
    </row>
    <row r="6" customFormat="false" ht="17.15" hidden="false" customHeight="false" outlineLevel="0" collapsed="false">
      <c r="A6" s="0" t="s">
        <v>7331</v>
      </c>
      <c r="B6" s="0" t="s">
        <v>7332</v>
      </c>
      <c r="C6" s="0" t="s">
        <v>7333</v>
      </c>
    </row>
    <row r="7" customFormat="false" ht="17.15" hidden="false" customHeight="false" outlineLevel="0" collapsed="false">
      <c r="A7" s="0" t="s">
        <v>38</v>
      </c>
      <c r="B7" s="0" t="s">
        <v>7334</v>
      </c>
      <c r="C7" s="0" t="s">
        <v>7335</v>
      </c>
    </row>
    <row r="8" customFormat="false" ht="17.15" hidden="false" customHeight="false" outlineLevel="0" collapsed="false">
      <c r="A8" s="0" t="s">
        <v>48</v>
      </c>
      <c r="B8" s="0" t="s">
        <v>7336</v>
      </c>
      <c r="C8" s="0" t="s">
        <v>7337</v>
      </c>
    </row>
    <row r="9" customFormat="false" ht="17.15" hidden="false" customHeight="false" outlineLevel="0" collapsed="false">
      <c r="A9" s="0" t="s">
        <v>7338</v>
      </c>
      <c r="B9" s="5" t="s">
        <v>7339</v>
      </c>
      <c r="C9" s="0" t="s">
        <v>7340</v>
      </c>
    </row>
    <row r="10" customFormat="false" ht="17.15" hidden="false" customHeight="false" outlineLevel="0" collapsed="false">
      <c r="A10" s="0" t="s">
        <v>114</v>
      </c>
      <c r="B10" s="0" t="s">
        <v>7341</v>
      </c>
      <c r="C10" s="0" t="s">
        <v>7342</v>
      </c>
    </row>
    <row r="11" customFormat="false" ht="17.15" hidden="false" customHeight="false" outlineLevel="0" collapsed="false">
      <c r="A11" s="0" t="s">
        <v>391</v>
      </c>
      <c r="B11" s="0" t="s">
        <v>7343</v>
      </c>
      <c r="C11" s="0" t="s">
        <v>7344</v>
      </c>
    </row>
    <row r="12" customFormat="false" ht="17.15" hidden="false" customHeight="false" outlineLevel="0" collapsed="false">
      <c r="A12" s="0" t="s">
        <v>123</v>
      </c>
      <c r="B12" s="0" t="s">
        <v>7345</v>
      </c>
      <c r="C12" s="0" t="s">
        <v>7346</v>
      </c>
    </row>
    <row r="13" customFormat="false" ht="17.15" hidden="false" customHeight="false" outlineLevel="0" collapsed="false">
      <c r="A13" s="0" t="s">
        <v>395</v>
      </c>
      <c r="B13" s="0" t="s">
        <v>7347</v>
      </c>
      <c r="C13" s="0" t="s">
        <v>7348</v>
      </c>
    </row>
    <row r="14" customFormat="false" ht="17.15" hidden="false" customHeight="false" outlineLevel="0" collapsed="false">
      <c r="A14" s="0" t="s">
        <v>68</v>
      </c>
      <c r="B14" s="0" t="s">
        <v>7349</v>
      </c>
      <c r="C14" s="0" t="s">
        <v>7350</v>
      </c>
    </row>
    <row r="15" customFormat="false" ht="17.15" hidden="false" customHeight="false" outlineLevel="0" collapsed="false">
      <c r="A15" s="0" t="s">
        <v>399</v>
      </c>
      <c r="B15" s="0" t="s">
        <v>7351</v>
      </c>
      <c r="C15" s="0" t="s">
        <v>7352</v>
      </c>
    </row>
    <row r="16" customFormat="false" ht="17.15" hidden="false" customHeight="false" outlineLevel="0" collapsed="false">
      <c r="A16" s="0" t="s">
        <v>134</v>
      </c>
      <c r="B16" s="0" t="s">
        <v>7353</v>
      </c>
      <c r="C16" s="0" t="s">
        <v>7354</v>
      </c>
    </row>
    <row r="17" customFormat="false" ht="17.15" hidden="false" customHeight="false" outlineLevel="0" collapsed="false">
      <c r="A17" s="0" t="s">
        <v>406</v>
      </c>
      <c r="B17" s="0" t="s">
        <v>7355</v>
      </c>
      <c r="C17" s="0" t="s">
        <v>7356</v>
      </c>
    </row>
    <row r="18" customFormat="false" ht="17.15" hidden="false" customHeight="false" outlineLevel="0" collapsed="false">
      <c r="A18" s="0" t="s">
        <v>142</v>
      </c>
      <c r="B18" s="0" t="s">
        <v>7357</v>
      </c>
      <c r="C18" s="0" t="s">
        <v>7358</v>
      </c>
    </row>
    <row r="19" customFormat="false" ht="17.15" hidden="false" customHeight="false" outlineLevel="0" collapsed="false">
      <c r="A19" s="0" t="s">
        <v>410</v>
      </c>
      <c r="B19" s="0" t="s">
        <v>7359</v>
      </c>
      <c r="C19" s="0" t="s">
        <v>7360</v>
      </c>
    </row>
    <row r="20" customFormat="false" ht="17.15" hidden="false" customHeight="false" outlineLevel="0" collapsed="false">
      <c r="A20" s="0" t="s">
        <v>297</v>
      </c>
      <c r="B20" s="0" t="s">
        <v>7361</v>
      </c>
      <c r="C20" s="0" t="s">
        <v>7362</v>
      </c>
    </row>
    <row r="21" customFormat="false" ht="17.15" hidden="false" customHeight="false" outlineLevel="0" collapsed="false">
      <c r="A21" s="0" t="s">
        <v>192</v>
      </c>
      <c r="B21" s="0" t="s">
        <v>7363</v>
      </c>
      <c r="C21" s="0" t="s">
        <v>7364</v>
      </c>
    </row>
    <row r="22" customFormat="false" ht="17.15" hidden="false" customHeight="false" outlineLevel="0" collapsed="false">
      <c r="A22" s="0" t="s">
        <v>300</v>
      </c>
      <c r="B22" s="0" t="s">
        <v>7365</v>
      </c>
      <c r="C22" s="0" t="s">
        <v>7366</v>
      </c>
    </row>
    <row r="23" customFormat="false" ht="17.15" hidden="false" customHeight="false" outlineLevel="0" collapsed="false">
      <c r="A23" s="0" t="s">
        <v>7367</v>
      </c>
      <c r="B23" s="0" t="s">
        <v>7368</v>
      </c>
      <c r="C23" s="0" t="s">
        <v>7369</v>
      </c>
    </row>
    <row r="24" customFormat="false" ht="17.15" hidden="false" customHeight="false" outlineLevel="0" collapsed="false">
      <c r="A24" s="0" t="s">
        <v>7370</v>
      </c>
      <c r="B24" s="0" t="s">
        <v>7371</v>
      </c>
      <c r="C24" s="0" t="s">
        <v>7372</v>
      </c>
    </row>
    <row r="25" customFormat="false" ht="17.15" hidden="false" customHeight="false" outlineLevel="0" collapsed="false">
      <c r="A25" s="0" t="s">
        <v>485</v>
      </c>
      <c r="B25" s="0" t="s">
        <v>7373</v>
      </c>
      <c r="C25" s="5" t="s">
        <v>7374</v>
      </c>
    </row>
    <row r="26" customFormat="false" ht="17.15" hidden="false" customHeight="false" outlineLevel="0" collapsed="false">
      <c r="A26" s="0" t="s">
        <v>7375</v>
      </c>
      <c r="B26" s="0" t="s">
        <v>7376</v>
      </c>
      <c r="C26" s="0" t="s">
        <v>7377</v>
      </c>
    </row>
    <row r="27" customFormat="false" ht="17.15" hidden="false" customHeight="false" outlineLevel="0" collapsed="false">
      <c r="A27" s="0" t="s">
        <v>188</v>
      </c>
      <c r="B27" s="0" t="s">
        <v>7378</v>
      </c>
      <c r="C27" s="0" t="s">
        <v>7379</v>
      </c>
    </row>
    <row r="28" customFormat="false" ht="17.15" hidden="false" customHeight="false" outlineLevel="0" collapsed="false">
      <c r="A28" s="0" t="s">
        <v>78</v>
      </c>
      <c r="B28" s="0" t="s">
        <v>7380</v>
      </c>
      <c r="C28" s="0" t="s">
        <v>7381</v>
      </c>
    </row>
    <row r="29" customFormat="false" ht="17.15" hidden="false" customHeight="false" outlineLevel="0" collapsed="false">
      <c r="A29" s="0" t="s">
        <v>91</v>
      </c>
      <c r="B29" s="0" t="s">
        <v>7382</v>
      </c>
      <c r="C29" s="0" t="s">
        <v>7383</v>
      </c>
    </row>
    <row r="30" customFormat="false" ht="17.15" hidden="false" customHeight="false" outlineLevel="0" collapsed="false">
      <c r="A30" s="0" t="s">
        <v>43</v>
      </c>
      <c r="B30" s="0" t="s">
        <v>7384</v>
      </c>
      <c r="C30" s="0" t="s">
        <v>7385</v>
      </c>
    </row>
    <row r="31" customFormat="false" ht="17.15" hidden="false" customHeight="false" outlineLevel="0" collapsed="false">
      <c r="A31" s="0" t="s">
        <v>372</v>
      </c>
      <c r="B31" s="0" t="s">
        <v>7386</v>
      </c>
      <c r="C31" s="0" t="s">
        <v>7387</v>
      </c>
    </row>
    <row r="32" customFormat="false" ht="17.15" hidden="false" customHeight="false" outlineLevel="0" collapsed="false">
      <c r="A32" s="0" t="s">
        <v>163</v>
      </c>
      <c r="B32" s="0" t="s">
        <v>7388</v>
      </c>
      <c r="C32" s="0" t="s">
        <v>7389</v>
      </c>
    </row>
    <row r="33" customFormat="false" ht="17.15" hidden="false" customHeight="false" outlineLevel="0" collapsed="false">
      <c r="A33" s="0" t="s">
        <v>7390</v>
      </c>
      <c r="B33" s="0" t="s">
        <v>7391</v>
      </c>
      <c r="C33" s="0" t="s">
        <v>7392</v>
      </c>
    </row>
    <row r="34" customFormat="false" ht="17.15" hidden="false" customHeight="false" outlineLevel="0" collapsed="false">
      <c r="A34" s="0" t="s">
        <v>226</v>
      </c>
      <c r="B34" s="0" t="s">
        <v>7393</v>
      </c>
      <c r="C34" s="0" t="s">
        <v>7394</v>
      </c>
    </row>
    <row r="35" customFormat="false" ht="17.15" hidden="false" customHeight="false" outlineLevel="0" collapsed="false">
      <c r="A35" s="0" t="s">
        <v>230</v>
      </c>
      <c r="B35" s="0" t="s">
        <v>7395</v>
      </c>
      <c r="C35" s="0" t="s">
        <v>7396</v>
      </c>
    </row>
    <row r="36" customFormat="false" ht="17.15" hidden="false" customHeight="false" outlineLevel="0" collapsed="false">
      <c r="A36" s="0" t="s">
        <v>7397</v>
      </c>
      <c r="B36" s="0" t="s">
        <v>7398</v>
      </c>
      <c r="C36" s="0" t="s">
        <v>7399</v>
      </c>
    </row>
    <row r="37" customFormat="false" ht="17.15" hidden="false" customHeight="false" outlineLevel="0" collapsed="false">
      <c r="A37" s="0" t="s">
        <v>693</v>
      </c>
      <c r="B37" s="0" t="s">
        <v>7400</v>
      </c>
      <c r="C37" s="0" t="s">
        <v>7401</v>
      </c>
    </row>
    <row r="38" customFormat="false" ht="17.15" hidden="false" customHeight="false" outlineLevel="0" collapsed="false">
      <c r="A38" s="0" t="s">
        <v>7402</v>
      </c>
      <c r="B38" s="0" t="s">
        <v>7403</v>
      </c>
      <c r="C38" s="0" t="s">
        <v>7404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17.15" hidden="false" customHeight="false" outlineLevel="0" collapsed="false">
      <c r="A1" s="0" t="s">
        <v>7405</v>
      </c>
    </row>
    <row r="3" customFormat="false" ht="15" hidden="false" customHeight="false" outlineLevel="0" collapsed="false">
      <c r="A3" s="7" t="s">
        <v>1698</v>
      </c>
      <c r="B3" s="6" t="s">
        <v>7406</v>
      </c>
      <c r="C3" s="6" t="s">
        <v>7407</v>
      </c>
      <c r="D3" s="6" t="s">
        <v>7408</v>
      </c>
      <c r="E3" s="6" t="s">
        <v>4257</v>
      </c>
    </row>
    <row r="4" customFormat="false" ht="48.5" hidden="false" customHeight="false" outlineLevel="0" collapsed="false">
      <c r="A4" s="3" t="s">
        <v>7409</v>
      </c>
      <c r="B4" s="3" t="s">
        <v>7410</v>
      </c>
      <c r="C4" s="2" t="s">
        <v>7411</v>
      </c>
      <c r="D4" s="2" t="s">
        <v>7412</v>
      </c>
      <c r="E4" s="2" t="s">
        <v>7413</v>
      </c>
    </row>
    <row r="5" customFormat="false" ht="17.15" hidden="false" customHeight="false" outlineLevel="0" collapsed="false">
      <c r="A5" s="3" t="s">
        <v>7414</v>
      </c>
      <c r="B5" s="3" t="s">
        <v>7415</v>
      </c>
      <c r="C5" s="3" t="s">
        <v>7416</v>
      </c>
      <c r="D5" s="2" t="s">
        <v>7417</v>
      </c>
      <c r="E5" s="2" t="s">
        <v>7418</v>
      </c>
    </row>
    <row r="6" customFormat="false" ht="17.15" hidden="false" customHeight="false" outlineLevel="0" collapsed="false">
      <c r="A6" s="3" t="s">
        <v>7419</v>
      </c>
      <c r="B6" s="3" t="s">
        <v>7410</v>
      </c>
      <c r="C6" s="3" t="s">
        <v>7420</v>
      </c>
      <c r="D6" s="2" t="s">
        <v>7421</v>
      </c>
      <c r="E6" s="3" t="s">
        <v>7422</v>
      </c>
    </row>
    <row r="7" customFormat="false" ht="48.5" hidden="false" customHeight="false" outlineLevel="0" collapsed="false">
      <c r="A7" s="3" t="s">
        <v>7423</v>
      </c>
      <c r="B7" s="2" t="s">
        <v>7424</v>
      </c>
      <c r="C7" s="2" t="s">
        <v>7425</v>
      </c>
      <c r="D7" s="3" t="s">
        <v>7426</v>
      </c>
      <c r="E7" s="3" t="s">
        <v>7422</v>
      </c>
    </row>
    <row r="8" customFormat="false" ht="17.15" hidden="false" customHeight="false" outlineLevel="0" collapsed="false">
      <c r="A8" s="3" t="s">
        <v>7427</v>
      </c>
      <c r="B8" s="3" t="s">
        <v>7410</v>
      </c>
      <c r="C8" s="2" t="s">
        <v>7428</v>
      </c>
      <c r="D8" s="3" t="s">
        <v>7429</v>
      </c>
      <c r="E8" s="2" t="s">
        <v>7430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2026-10-28T09:48:49Z</dcterms:created>
  <dc:creator>openpyxl</dc:creator>
  <dc:description/>
  <dc:language>en-US</dc:language>
  <cp:lastModifiedBy/>
  <dcterms:modified xsi:type="dcterms:W3CDTF">2026-10-28T09:48:49Z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